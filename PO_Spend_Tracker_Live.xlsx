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s" sheetId="1" state="visible" r:id="rId3"/>
    <sheet name="PO Tracker" sheetId="2" state="visible" r:id="rId4"/>
    <sheet name="Vendor Rollup" sheetId="3" state="visible" r:id="rId5"/>
    <sheet name="Monthly Trend" sheetId="4" state="visible" r:id="rId6"/>
    <sheet name="Data Quality" sheetId="5" state="visible" r:id="rId7"/>
    <sheet name="SC Change Orders" sheetId="6" state="visible" r:id="rId8"/>
    <sheet name="_MainTable" sheetId="7" state="visible" r:id="rId9"/>
    <sheet name="_RefTable" sheetId="8" state="visible" r:id="rId10"/>
    <sheet name="PO Index" sheetId="9" state="hidden" r:id="rId11"/>
  </sheets>
  <definedNames>
    <definedName function="false" hidden="true" localSheetId="6" name="_xlnm._FilterDatabase" vbProcedure="false">_MainTable!$A$1:$R$2001</definedName>
    <definedName function="false" hidden="true" localSheetId="7" name="_xlnm._FilterDatabase" vbProcedure="false">_RefTable!$A$1:$F$501</definedName>
    <definedName function="false" hidden="true" localSheetId="4" name="_xlnm._FilterDatabase" vbProcedure="false">'Data Quality'!$A$19:$J$519</definedName>
    <definedName function="false" hidden="true" localSheetId="1" name="_xlnm._FilterDatabase" vbProcedure="false">'PO Tracker'!$A$4:$R$84</definedName>
    <definedName function="false" hidden="true" localSheetId="5" name="_xlnm._FilterDatabase" vbProcedure="false">'SC Change Orders'!$A$1:$I$501</definedName>
    <definedName function="false" hidden="true" localSheetId="2" name="_xlnm._FilterDatabase" vbProcedure="false">'Vendor Rollup'!$A$4:$M$44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<sst xmlns="http://schemas.openxmlformats.org/spreadsheetml/2006/main" count="2920" uniqueCount="561">
  <si>
    <t xml:space="preserve">PO SPEND TRACKER — CONTROLS</t>
  </si>
  <si>
    <t xml:space="preserve">Central assumptions. Blue cells on a cream fill are the only ones you edit. Everything else calculates.</t>
  </si>
  <si>
    <t xml:space="preserve">FY Start</t>
  </si>
  <si>
    <t xml:space="preserve">First day of the fiscal year (Oct 1). Drives every PO, vendor and monthly figure.</t>
  </si>
  <si>
    <t xml:space="preserve">FY End</t>
  </si>
  <si>
    <t xml:space="preserve">Last day of the fiscal year (Sep 30).</t>
  </si>
  <si>
    <t xml:space="preserve">Last Closed Month</t>
  </si>
  <si>
    <t xml:space="preserve">First day of the most recent CLOSED invoice month. Drives months elapsed, run-rate and projections.</t>
  </si>
  <si>
    <t xml:space="preserve">Watch Threshold</t>
  </si>
  <si>
    <t xml:space="preserve">A PO at or above this % of its funds is flagged Watch.</t>
  </si>
  <si>
    <t xml:space="preserve">Trend Window (months)</t>
  </si>
  <si>
    <t xml:space="preserve">How many trailing closed months feed the run-rate.</t>
  </si>
  <si>
    <t xml:space="preserve">Months Elapsed</t>
  </si>
  <si>
    <t xml:space="preserve">Closed months from FY Start through Last Closed Month.</t>
  </si>
  <si>
    <t xml:space="preserve">Months Remaining</t>
  </si>
  <si>
    <t xml:space="preserve">Remaining months in the fiscal year.</t>
  </si>
  <si>
    <t xml:space="preserve">Trend Start</t>
  </si>
  <si>
    <t xml:space="preserve">First month included in the trailing run-rate window.</t>
  </si>
  <si>
    <t xml:space="preserve">DATA COVERAGE (read-only)</t>
  </si>
  <si>
    <t xml:space="preserve">Latest invoice date in data</t>
  </si>
  <si>
    <t xml:space="preserve">Newest Invoice Date present on the Invoices tab. Keep Last Closed Month at or before this.</t>
  </si>
  <si>
    <t xml:space="preserve">Invoice rows loaded</t>
  </si>
  <si>
    <t xml:space="preserve">Rows on the Invoices tab with a usable Invoice Date.</t>
  </si>
  <si>
    <t xml:space="preserve">Change-order rows loaded</t>
  </si>
  <si>
    <t xml:space="preserve">Rows on the Change Orders tab with a usable Date Submitted.</t>
  </si>
  <si>
    <t xml:space="preserve">POs in this fiscal year</t>
  </si>
  <si>
    <t xml:space="preserve">Distinct POs with activity between FY Start and FY End. The tracker sizes itself to this.</t>
  </si>
  <si>
    <t xml:space="preserve">Total invoiced this FY</t>
  </si>
  <si>
    <t xml:space="preserve">Every FY invoice dollar, whether or not the PO carries a funding record.</t>
  </si>
  <si>
    <t xml:space="preserve">RANGE CAPACITY</t>
  </si>
  <si>
    <t xml:space="preserve">Wired range status</t>
  </si>
  <si>
    <t xml:space="preserve">Formulas read 2,000 invoice rows and 500 change-order rows. If a refresh ever pushes past that, this says EXTEND RANGES and the ranges need widening.</t>
  </si>
  <si>
    <t xml:space="preserve">HOW THE FUNDING NUMBERS ARE BUILT</t>
  </si>
  <si>
    <t xml:space="preserve">Starting Funds      =  smallest "Original Amount" on the PO's change orders inside the FY window (MINIFS).</t>
  </si>
  <si>
    <t xml:space="preserve">Total Funds Added   =  sum of "Amount Added" on the PO's change orders inside the FY window (SUMIFS).</t>
  </si>
  <si>
    <t xml:space="preserve">Total Available     =  Starting Funds + Total Funds Added.</t>
  </si>
  <si>
    <t xml:space="preserve">Spend to Date       =  sum of "Invoice $" on _MainTable for that PO, invoice-dated inside the FY window.</t>
  </si>
  <si>
    <t xml:space="preserve">Same definitions as the Data tab of Vendor_PO_Spending, so the figures tie to what you have today.</t>
  </si>
  <si>
    <t xml:space="preserve">Rows the change-order log records ambiguously are listed on the Data Quality tab.</t>
  </si>
  <si>
    <t xml:space="preserve">HOW TO CONNECT THIS TO YOUR LIVE POWER QUERIES</t>
  </si>
  <si>
    <t xml:space="preserve">This file is a working snapshot. To drive it from the live SharePoint queries instead:</t>
  </si>
  <si>
    <t xml:space="preserve">1.  Open Vendor_PO_Spending.xlsx (the workbook that holds the queries) alongside this one.</t>
  </si>
  <si>
    <t xml:space="preserve">2.  Here, click the "Controls" tab, then SHIFT-click "Data Quality" so all five tabs are selected together.</t>
  </si>
  <si>
    <t xml:space="preserve">     Copying them in one go is what keeps the formulas between them intact.</t>
  </si>
  <si>
    <t xml:space="preserve">3.  Right-click the selection &gt; Move or Copy &gt; To book: Vendor_PO_Spending.xlsx, tick "Create a copy".</t>
  </si>
  <si>
    <t xml:space="preserve">4.  In that workbook press Ctrl+H.  Find:  [PO_Spend_Tracker_Live.xlsx]      Replace with: (leave empty)</t>
  </si>
  <si>
    <t xml:space="preserve">     Set "Within: Workbook", then Replace All. This re-points every formula at your live query tables.</t>
  </si>
  <si>
    <t xml:space="preserve">5.  Data &gt; Refresh All.  The tracker now rebuilds itself from SharePoint on every refresh.</t>
  </si>
  <si>
    <t xml:space="preserve">The calc tabs read three query outputs by name: _MainTable, _RefTable and SC Change Orders.</t>
  </si>
  <si>
    <t xml:space="preserve">NOTE: the older Vendor_PO_Spending.xlsx carries only two queries — it has no _RefTable.</t>
  </si>
  <si>
    <t xml:space="preserve">Without _RefTable the tracker still works, but Vendor, Service, Sr Leader and Primary Owner fall back</t>
  </si>
  <si>
    <t xml:space="preserve">to whatever _MainTable carries. Add the third query (its M code is in Vendor_PO_Spending_1.xlsx) to get</t>
  </si>
  <si>
    <t xml:space="preserve">full ownership detail. Nothing else needs changing — the PO list is driven by the data, not by a list.</t>
  </si>
  <si>
    <t xml:space="preserve">PO SPEND TRACKER</t>
  </si>
  <si>
    <t xml:space="preserve">One row per PO with change-order or invoice activity between FY Start and FY End — the list builds itself, nothing here is typed. Funding comes from the Change Orders tab, spend from the Invoices tab. Run-rate is the trailing window from Controls, falling back to cumulative early in the year.</t>
  </si>
  <si>
    <t xml:space="preserve">Vendor</t>
  </si>
  <si>
    <t xml:space="preserve">PO</t>
  </si>
  <si>
    <t xml:space="preserve">Service</t>
  </si>
  <si>
    <t xml:space="preserve">Sr Leader</t>
  </si>
  <si>
    <t xml:space="preserve">Primary Owner</t>
  </si>
  <si>
    <t xml:space="preserve">Starting Funds</t>
  </si>
  <si>
    <t xml:space="preserve">Total Funds Added</t>
  </si>
  <si>
    <t xml:space="preserve">Total Available Funding</t>
  </si>
  <si>
    <t xml:space="preserve">Spend to Date</t>
  </si>
  <si>
    <t xml:space="preserve">Actual % of Funds</t>
  </si>
  <si>
    <t xml:space="preserve">Total Remaining</t>
  </si>
  <si>
    <t xml:space="preserve">Run-Rate / Mo</t>
  </si>
  <si>
    <t xml:space="preserve">Projected Add'l Spend</t>
  </si>
  <si>
    <t xml:space="preserve">Projected Total Spend</t>
  </si>
  <si>
    <t xml:space="preserve">Projected % of Funds</t>
  </si>
  <si>
    <t xml:space="preserve">Projected Over/(Under)</t>
  </si>
  <si>
    <t xml:space="preserve">Mos to Depletion</t>
  </si>
  <si>
    <t xml:space="preserve">Status</t>
  </si>
  <si>
    <t xml:space="preserve">TOTAL — all POs in FY</t>
  </si>
  <si>
    <t xml:space="preserve">VENDOR ROLLUP</t>
  </si>
  <si>
    <t xml:space="preserve">Aggregates the PO Tracker to the vendor level. The vendor list builds itself from whichever POs are live this FY.</t>
  </si>
  <si>
    <t xml:space="preserve"># POs</t>
  </si>
  <si>
    <t xml:space="preserve">TOTAL</t>
  </si>
  <si>
    <t xml:space="preserve">MONTHLY SPEND BY PO</t>
  </si>
  <si>
    <t xml:space="preserve">Invoice dollars by invoice month, straight off the Invoices tab. Months follow FY Start, so changing the fiscal year on Controls re-labels and re-populates the whole grid.</t>
  </si>
  <si>
    <t xml:space="preserve">FY Total</t>
  </si>
  <si>
    <t xml:space="preserve">DATA QUALITY  —  change-order log exceptions</t>
  </si>
  <si>
    <t xml:space="preserve">The funding figures are only as good as the change-order log. Each row below is tested live; fix a row on the Change Orders tab and its flag clears here and the numbers move on every other tab. Filter column J to "OK" to hide clean rows.</t>
  </si>
  <si>
    <t xml:space="preserve">Rows tested</t>
  </si>
  <si>
    <t xml:space="preserve">Rows with at least one flag</t>
  </si>
  <si>
    <t xml:space="preserve">PO number missing or not numeric</t>
  </si>
  <si>
    <t xml:space="preserve">Date missing or outside the FY</t>
  </si>
  <si>
    <t xml:space="preserve">Amount held as text (ignored)</t>
  </si>
  <si>
    <t xml:space="preserve">Original + Added &lt;&gt; Total Allotted</t>
  </si>
  <si>
    <t xml:space="preserve">Looks like an exact duplicate row</t>
  </si>
  <si>
    <t xml:space="preserve">Same amount booked twice on a PO</t>
  </si>
  <si>
    <t xml:space="preserve">INVOICE-SIDE COVERAGE</t>
  </si>
  <si>
    <t xml:space="preserve">Invoice rows this FY with no usable PO number</t>
  </si>
  <si>
    <t xml:space="preserve">Invoice $ dropped because the PO is unusable</t>
  </si>
  <si>
    <t xml:space="preserve">FY invoice $ on POs carrying no funding record</t>
  </si>
  <si>
    <t xml:space="preserve">Src Row</t>
  </si>
  <si>
    <t xml:space="preserve">Date Submitted</t>
  </si>
  <si>
    <t xml:space="preserve">Updated Line</t>
  </si>
  <si>
    <t xml:space="preserve">Original Amount</t>
  </si>
  <si>
    <t xml:space="preserve">Amount Added</t>
  </si>
  <si>
    <t xml:space="preserve">Total Line Cost Allotted</t>
  </si>
  <si>
    <t xml:space="preserve">In FY Window</t>
  </si>
  <si>
    <t xml:space="preserve">Flag</t>
  </si>
  <si>
    <t xml:space="preserve">Purchase Order #</t>
  </si>
  <si>
    <t xml:space="preserve">Updated Line </t>
  </si>
  <si>
    <t xml:space="preserve">Total Line Cost Allotted </t>
  </si>
  <si>
    <t xml:space="preserve">Completed</t>
  </si>
  <si>
    <t xml:space="preserve">Additional Notes</t>
  </si>
  <si>
    <t xml:space="preserve">ASPIRION HEALTH RESOURCES</t>
  </si>
  <si>
    <t xml:space="preserve">$617,000.00 Adam to chat w/ Michelle first
02/18: Cost should level once backlog completed- soon.</t>
  </si>
  <si>
    <t xml:space="preserve">line 1 MVA/TPL</t>
  </si>
  <si>
    <t xml:space="preserve">added 100k to line to cover invoice 14234 </t>
  </si>
  <si>
    <t xml:space="preserve">line 2 VA and Tricare</t>
  </si>
  <si>
    <t xml:space="preserve">inv18008 </t>
  </si>
  <si>
    <t xml:space="preserve">Tricare/VA </t>
  </si>
  <si>
    <t xml:space="preserve">added funds </t>
  </si>
  <si>
    <t xml:space="preserve">invoice coverage</t>
  </si>
  <si>
    <t xml:space="preserve">invoice 14322-1</t>
  </si>
  <si>
    <t xml:space="preserve">invoice INV19250</t>
  </si>
  <si>
    <t xml:space="preserve">MVA</t>
  </si>
  <si>
    <t xml:space="preserve">Tircare/VA</t>
  </si>
  <si>
    <t xml:space="preserve">CLOUDMED</t>
  </si>
  <si>
    <t xml:space="preserve">charge capture hosp</t>
  </si>
  <si>
    <t xml:space="preserve">SC 8658 only has $3,203.09 remaining on it.  Please increase to cover this invoice for $29,483.38 plus additional to cover future invoices through 7/1/26.  </t>
  </si>
  <si>
    <t xml:space="preserve">Appeals</t>
  </si>
  <si>
    <t xml:space="preserve">funds to cover remainder of FY26</t>
  </si>
  <si>
    <t xml:space="preserve">Bluecard</t>
  </si>
  <si>
    <t xml:space="preserve">EPIC ADVISORS GROUP LLC</t>
  </si>
  <si>
    <t xml:space="preserve">FY 2026 Consulting Services</t>
  </si>
  <si>
    <t xml:space="preserve">Amendment to increase hourly cap an additional 50,000.00 for limited engagement </t>
  </si>
  <si>
    <t xml:space="preserve">FY 2026 Travel Costs</t>
  </si>
  <si>
    <t xml:space="preserve">Note no changes to travel costs as there is still $72,000.00 left on line item.</t>
  </si>
  <si>
    <t xml:space="preserve">Cover costs remaining in FY 2026</t>
  </si>
  <si>
    <t xml:space="preserve">New</t>
  </si>
  <si>
    <t xml:space="preserve">Cover costs through contract term in April 2027</t>
  </si>
  <si>
    <t xml:space="preserve">EXPERIAN HEALTH</t>
  </si>
  <si>
    <t xml:space="preserve">168,00.00</t>
  </si>
  <si>
    <t xml:space="preserve">invoice coverage and remainder of FY26</t>
  </si>
  <si>
    <t xml:space="preserve">invoice coverage INV1151714</t>
  </si>
  <si>
    <t xml:space="preserve">3 FY 2027</t>
  </si>
  <si>
    <t xml:space="preserve">Added estimated costs for 2027 -Had to redo</t>
  </si>
  <si>
    <t xml:space="preserve">FY26</t>
  </si>
  <si>
    <t xml:space="preserve">added remain '26 funds </t>
  </si>
  <si>
    <t xml:space="preserve">Monthly Costs</t>
  </si>
  <si>
    <t xml:space="preserve">FINTHRIVE HEALTHCARE INC</t>
  </si>
  <si>
    <t xml:space="preserve">TBD</t>
  </si>
  <si>
    <t xml:space="preserve">Need to create a new PO for Costs after Oct 2026 - KnowledgeSource &amp; CDM Manager</t>
  </si>
  <si>
    <t xml:space="preserve">GUIDEHOUSE INC</t>
  </si>
  <si>
    <t xml:space="preserve">Coding</t>
  </si>
  <si>
    <t xml:space="preserve">funds to cover 2 invoices 0400018033 and 0400018262</t>
  </si>
  <si>
    <t xml:space="preserve">Invoice 0400018413 supplemental staff coding</t>
  </si>
  <si>
    <t xml:space="preserve">invoice 0100105782 projects </t>
  </si>
  <si>
    <t xml:space="preserve">FY26 Supplemental Staffing</t>
  </si>
  <si>
    <t xml:space="preserve">testing</t>
  </si>
  <si>
    <t xml:space="preserve">FY27 Start</t>
  </si>
  <si>
    <t xml:space="preserve">HYVE HEALTHCARE</t>
  </si>
  <si>
    <t xml:space="preserve">Created</t>
  </si>
  <si>
    <t xml:space="preserve">W9 saved in Teams/C360
Amount for PO $96,000.00 BT to open</t>
  </si>
  <si>
    <t xml:space="preserve">Cost Center</t>
  </si>
  <si>
    <t xml:space="preserve">NA</t>
  </si>
  <si>
    <t xml:space="preserve">MEDLYTIX LLC</t>
  </si>
  <si>
    <t xml:space="preserve">W9 needs updated (from 09.18.2025)
Don't send to SC to vendor</t>
  </si>
  <si>
    <t xml:space="preserve">UASI</t>
  </si>
  <si>
    <t xml:space="preserve">W9 saved in Teams/C360
BT outreached to find account contact to include first</t>
  </si>
  <si>
    <t xml:space="preserve">WAYSTAR HEALTH</t>
  </si>
  <si>
    <t xml:space="preserve">esolutions/clearinghouse</t>
  </si>
  <si>
    <t xml:space="preserve">request from AP to increase funds to cover invoice</t>
  </si>
  <si>
    <t xml:space="preserve">RTA</t>
  </si>
  <si>
    <t xml:space="preserve">Vendor #</t>
  </si>
  <si>
    <t xml:space="preserve">PO#</t>
  </si>
  <si>
    <t xml:space="preserve">Invoice Date</t>
  </si>
  <si>
    <t xml:space="preserve">Invoice #</t>
  </si>
  <si>
    <t xml:space="preserve">Invoice Month</t>
  </si>
  <si>
    <t xml:space="preserve">FY</t>
  </si>
  <si>
    <t xml:space="preserve">Invoice $</t>
  </si>
  <si>
    <t xml:space="preserve">Assigned Date</t>
  </si>
  <si>
    <t xml:space="preserve">Reference</t>
  </si>
  <si>
    <t xml:space="preserve">Rate/Actual</t>
  </si>
  <si>
    <t xml:space="preserve">Pass/Fail</t>
  </si>
  <si>
    <t xml:space="preserve">Notes</t>
  </si>
  <si>
    <t xml:space="preserve">Approved Date</t>
  </si>
  <si>
    <t xml:space="preserve">Instructions</t>
  </si>
  <si>
    <t xml:space="preserve">TERNIUM LLC</t>
  </si>
  <si>
    <t xml:space="preserve">High dollar appeals</t>
  </si>
  <si>
    <t xml:space="preserve">Jake Reid</t>
  </si>
  <si>
    <t xml:space="preserve">Cody Thornock</t>
  </si>
  <si>
    <t xml:space="preserve">January</t>
  </si>
  <si>
    <t xml:space="preserve">Full Review</t>
  </si>
  <si>
    <t xml:space="preserve">PASS</t>
  </si>
  <si>
    <t xml:space="preserve">Lost, resent</t>
  </si>
  <si>
    <t xml:space="preserve">Use Ternium Invoice Tool, Document Total Collections in notes</t>
  </si>
  <si>
    <t xml:space="preserve">February</t>
  </si>
  <si>
    <t xml:space="preserve">ASA</t>
  </si>
  <si>
    <t xml:space="preserve">Rachel Seaman</t>
  </si>
  <si>
    <t xml:space="preserve">FMS INC</t>
  </si>
  <si>
    <t xml:space="preserve">2BD</t>
  </si>
  <si>
    <t xml:space="preserve">Letisia Speelman</t>
  </si>
  <si>
    <t xml:space="preserve">1010-032026</t>
  </si>
  <si>
    <t xml:space="preserve">March</t>
  </si>
  <si>
    <t xml:space="preserve">MV EBO</t>
  </si>
  <si>
    <t xml:space="preserve">857-032026</t>
  </si>
  <si>
    <t xml:space="preserve">22%/17%</t>
  </si>
  <si>
    <t xml:space="preserve">MIX</t>
  </si>
  <si>
    <t xml:space="preserve">Base Recover</t>
  </si>
  <si>
    <t xml:space="preserve">8563-032026</t>
  </si>
  <si>
    <t xml:space="preserve">FAIL</t>
  </si>
  <si>
    <t xml:space="preserve">Early Out</t>
  </si>
  <si>
    <t xml:space="preserve">1000-032226</t>
  </si>
  <si>
    <t xml:space="preserve">Use FMS EBO (not ready yet)</t>
  </si>
  <si>
    <t xml:space="preserve">Claims Clearinghouse</t>
  </si>
  <si>
    <t xml:space="preserve">Adam Vardaman</t>
  </si>
  <si>
    <t xml:space="preserve">INV1138636</t>
  </si>
  <si>
    <t xml:space="preserve">Transunion</t>
  </si>
  <si>
    <t xml:space="preserve">Sona Buchanan</t>
  </si>
  <si>
    <t xml:space="preserve">Tawnya Kraus</t>
  </si>
  <si>
    <t xml:space="preserve">INV20390077</t>
  </si>
  <si>
    <t xml:space="preserve">DAIDA</t>
  </si>
  <si>
    <t xml:space="preserve">Scanner Maintenance</t>
  </si>
  <si>
    <t xml:space="preserve">Natalie Cooksey</t>
  </si>
  <si>
    <t xml:space="preserve">RMP LLC</t>
  </si>
  <si>
    <t xml:space="preserve">1BD</t>
  </si>
  <si>
    <t xml:space="preserve">RMPPBD033126</t>
  </si>
  <si>
    <t xml:space="preserve">Use Meduit PPD SS (refresh data)</t>
  </si>
  <si>
    <t xml:space="preserve">Insurance Follow-Up/MyChart</t>
  </si>
  <si>
    <t xml:space="preserve">$35/Hour</t>
  </si>
  <si>
    <t xml:space="preserve">Insurance Project</t>
  </si>
  <si>
    <t xml:space="preserve">Charge Capture</t>
  </si>
  <si>
    <t xml:space="preserve">Heather Geile</t>
  </si>
  <si>
    <t xml:space="preserve">Consultation</t>
  </si>
  <si>
    <t xml:space="preserve">Michelle Lewis</t>
  </si>
  <si>
    <t xml:space="preserve">April</t>
  </si>
  <si>
    <t xml:space="preserve">consult and residence fees</t>
  </si>
  <si>
    <t xml:space="preserve">HEALTHFUSE LLC</t>
  </si>
  <si>
    <t xml:space="preserve">FORTE LLC</t>
  </si>
  <si>
    <t xml:space="preserve">Probate Finder</t>
  </si>
  <si>
    <t xml:space="preserve">DRG Validation</t>
  </si>
  <si>
    <t xml:space="preserve">8570-032726</t>
  </si>
  <si>
    <t xml:space="preserve">UNIFIED HEALTH SERVICES LLC</t>
  </si>
  <si>
    <t xml:space="preserve">Work Comp</t>
  </si>
  <si>
    <t xml:space="preserve">SLHS032026</t>
  </si>
  <si>
    <t xml:space="preserve">McCall BD</t>
  </si>
  <si>
    <t xml:space="preserve">8552-032726</t>
  </si>
  <si>
    <t xml:space="preserve">1010-032726</t>
  </si>
  <si>
    <t xml:space="preserve">1000-032926</t>
  </si>
  <si>
    <t xml:space="preserve">SLHSINMAR26</t>
  </si>
  <si>
    <t xml:space="preserve">$35/hour</t>
  </si>
  <si>
    <t xml:space="preserve">Skim Overflow</t>
  </si>
  <si>
    <t xml:space="preserve">SLHSCO-0326</t>
  </si>
  <si>
    <t xml:space="preserve">REVSPRING INC</t>
  </si>
  <si>
    <t xml:space="preserve">Payment processing- IVR</t>
  </si>
  <si>
    <t xml:space="preserve">INV1437869</t>
  </si>
  <si>
    <t xml:space="preserve">EPIC Pay tx fees</t>
  </si>
  <si>
    <t xml:space="preserve">HIMAGINE SOLUTIONS INC</t>
  </si>
  <si>
    <t xml:space="preserve">Trauma Registry</t>
  </si>
  <si>
    <t xml:space="preserve">SIN135891</t>
  </si>
  <si>
    <t xml:space="preserve">Payment processing- Persona Pay</t>
  </si>
  <si>
    <t xml:space="preserve">INV1437870</t>
  </si>
  <si>
    <t xml:space="preserve">Underpayment</t>
  </si>
  <si>
    <t xml:space="preserve">Jaime Burnham</t>
  </si>
  <si>
    <t xml:space="preserve">CCC</t>
  </si>
  <si>
    <t xml:space="preserve">Anne Jensen</t>
  </si>
  <si>
    <t xml:space="preserve">Laney Rivera</t>
  </si>
  <si>
    <t xml:space="preserve">RMPPB040726</t>
  </si>
  <si>
    <t xml:space="preserve">P2P, PARO</t>
  </si>
  <si>
    <t xml:space="preserve">Cassie Hammon</t>
  </si>
  <si>
    <t xml:space="preserve">Use GH Coding Tool</t>
  </si>
  <si>
    <t xml:space="preserve">1000-040526</t>
  </si>
  <si>
    <t xml:space="preserve">1010-040326</t>
  </si>
  <si>
    <t xml:space="preserve">8570-040326</t>
  </si>
  <si>
    <t xml:space="preserve">8563-040326</t>
  </si>
  <si>
    <t xml:space="preserve">AR Follow up</t>
  </si>
  <si>
    <t xml:space="preserve">Denials- Viability Review</t>
  </si>
  <si>
    <t xml:space="preserve">Unit x $125</t>
  </si>
  <si>
    <t xml:space="preserve">Denials</t>
  </si>
  <si>
    <t xml:space="preserve">travel expenses</t>
  </si>
  <si>
    <t xml:space="preserve">HEALTHSTREAM</t>
  </si>
  <si>
    <t xml:space="preserve">Education</t>
  </si>
  <si>
    <t xml:space="preserve">ETYON</t>
  </si>
  <si>
    <t xml:space="preserve">Analytics</t>
  </si>
  <si>
    <t xml:space="preserve">Matt Morishita</t>
  </si>
  <si>
    <t xml:space="preserve">Amanda Leroue</t>
  </si>
  <si>
    <t xml:space="preserve">1000-041226</t>
  </si>
  <si>
    <t xml:space="preserve">1010-041026</t>
  </si>
  <si>
    <t xml:space="preserve">8563-041026</t>
  </si>
  <si>
    <t xml:space="preserve">RMPPB041426</t>
  </si>
  <si>
    <t xml:space="preserve">RMPPB042126</t>
  </si>
  <si>
    <t xml:space="preserve">INV20390076</t>
  </si>
  <si>
    <t xml:space="preserve">8570-041026</t>
  </si>
  <si>
    <t xml:space="preserve">8563-042126</t>
  </si>
  <si>
    <t xml:space="preserve">8570-042126</t>
  </si>
  <si>
    <t xml:space="preserve">1010-041726</t>
  </si>
  <si>
    <t xml:space="preserve">1000-041926</t>
  </si>
  <si>
    <t xml:space="preserve">Tricare/VA</t>
  </si>
  <si>
    <t xml:space="preserve">INV18008</t>
  </si>
  <si>
    <t xml:space="preserve">INV18435</t>
  </si>
  <si>
    <t xml:space="preserve">14256-1</t>
  </si>
  <si>
    <t xml:space="preserve">RMPPB042826</t>
  </si>
  <si>
    <t xml:space="preserve">SLHS042026</t>
  </si>
  <si>
    <t xml:space="preserve">RMPPB050526</t>
  </si>
  <si>
    <t xml:space="preserve">May</t>
  </si>
  <si>
    <t xml:space="preserve">1000-042626</t>
  </si>
  <si>
    <t xml:space="preserve">SLHSINAPR26</t>
  </si>
  <si>
    <t xml:space="preserve">Project work @35 an hour ins f/up &amp; mychart</t>
  </si>
  <si>
    <t xml:space="preserve">8570-042426</t>
  </si>
  <si>
    <t xml:space="preserve">Credit will be issued on next invoice $-3.01; will include multiple previous invoices, logged on RFTracker, total $-28.11</t>
  </si>
  <si>
    <t xml:space="preserve">1010-042426</t>
  </si>
  <si>
    <t xml:space="preserve">14278-1</t>
  </si>
  <si>
    <t xml:space="preserve">ACCESSONE</t>
  </si>
  <si>
    <t xml:space="preserve">Patient Financing</t>
  </si>
  <si>
    <t xml:space="preserve">INV1166</t>
  </si>
  <si>
    <t xml:space="preserve">SLHS022026</t>
  </si>
  <si>
    <t xml:space="preserve">Hourly and travel expenses</t>
  </si>
  <si>
    <t xml:space="preserve">INV1143066</t>
  </si>
  <si>
    <t xml:space="preserve">INV20393775</t>
  </si>
  <si>
    <t xml:space="preserve">INV20393782</t>
  </si>
  <si>
    <t xml:space="preserve">8570-050126</t>
  </si>
  <si>
    <t xml:space="preserve">Jeremy</t>
  </si>
  <si>
    <t xml:space="preserve">1010-050126</t>
  </si>
  <si>
    <t xml:space="preserve">1000-050326</t>
  </si>
  <si>
    <t xml:space="preserve">8552-050126</t>
  </si>
  <si>
    <t xml:space="preserve">CIOX HEALTH LLC</t>
  </si>
  <si>
    <t xml:space="preserve">Labor Only- ROI</t>
  </si>
  <si>
    <t xml:space="preserve">Melissa Daniels</t>
  </si>
  <si>
    <t xml:space="preserve">IN20006195</t>
  </si>
  <si>
    <t xml:space="preserve">35/hr</t>
  </si>
  <si>
    <t xml:space="preserve">Validated hrs with Melissa Daniels</t>
  </si>
  <si>
    <t xml:space="preserve">152 x 125</t>
  </si>
  <si>
    <t xml:space="preserve">RTA Auth</t>
  </si>
  <si>
    <t xml:space="preserve">Becca Osmanagic</t>
  </si>
  <si>
    <t xml:space="preserve">RTA February'26 - July'26 132k corrected invoice </t>
  </si>
  <si>
    <t xml:space="preserve">EBO SP Collections Bad Debt &amp; Unassigned - Jeremy</t>
  </si>
  <si>
    <t xml:space="preserve">INV18673</t>
  </si>
  <si>
    <t xml:space="preserve">Funds were approved and added 5/18</t>
  </si>
  <si>
    <t xml:space="preserve">EBO SP Collections MyChart hours - Jeremy</t>
  </si>
  <si>
    <t xml:space="preserve">INV1442690</t>
  </si>
  <si>
    <t xml:space="preserve">Jeremy; base plus incidentals</t>
  </si>
  <si>
    <t xml:space="preserve">INV1442750</t>
  </si>
  <si>
    <t xml:space="preserve">Subscription - Staff assisted - Jeremy </t>
  </si>
  <si>
    <t xml:space="preserve">Contingency on Payments - Jeremy; includes credit 330.38</t>
  </si>
  <si>
    <t xml:space="preserve">RMPPBD051226</t>
  </si>
  <si>
    <t xml:space="preserve">Postage</t>
  </si>
  <si>
    <t xml:space="preserve">Foreign and Domestic - Jeremy </t>
  </si>
  <si>
    <t xml:space="preserve">Use Meduit Postage Tool</t>
  </si>
  <si>
    <t xml:space="preserve">Storage</t>
  </si>
  <si>
    <t xml:space="preserve">$60/Unit</t>
  </si>
  <si>
    <t xml:space="preserve">Production</t>
  </si>
  <si>
    <t xml:space="preserve">Domestic - Jeremy </t>
  </si>
  <si>
    <t xml:space="preserve">Address Change Service - Jeremy </t>
  </si>
  <si>
    <t xml:space="preserve">Express Processing Fee- PDF file output- Duplex Page- Jeremy</t>
  </si>
  <si>
    <t xml:space="preserve">RMPPB051926</t>
  </si>
  <si>
    <t xml:space="preserve">SLHSCO-0426</t>
  </si>
  <si>
    <t xml:space="preserve">8570-050826</t>
  </si>
  <si>
    <t xml:space="preserve">Includes the correction for FMSSBD commission error Total before credit: $36.30</t>
  </si>
  <si>
    <t xml:space="preserve">1010-050826</t>
  </si>
  <si>
    <t xml:space="preserve">1000-051026</t>
  </si>
  <si>
    <t xml:space="preserve">8563-051526</t>
  </si>
  <si>
    <t xml:space="preserve">Will be credited along with previous base recover</t>
  </si>
  <si>
    <t xml:space="preserve">1010-051526</t>
  </si>
  <si>
    <t xml:space="preserve">1000-051726</t>
  </si>
  <si>
    <t xml:space="preserve">8570-051526</t>
  </si>
  <si>
    <t xml:space="preserve">RMPPB052626</t>
  </si>
  <si>
    <t xml:space="preserve">HAWLEY TROXELL ENNIS HAWLEY</t>
  </si>
  <si>
    <t xml:space="preserve">Estate/Probate</t>
  </si>
  <si>
    <t xml:space="preserve">Jeremy &amp; Saul to complete reassignment</t>
  </si>
  <si>
    <t xml:space="preserve">June</t>
  </si>
  <si>
    <t xml:space="preserve">8570-052226</t>
  </si>
  <si>
    <t xml:space="preserve">1010-052226</t>
  </si>
  <si>
    <t xml:space="preserve">1000-052426</t>
  </si>
  <si>
    <t xml:space="preserve">SLHS052026</t>
  </si>
  <si>
    <t xml:space="preserve">RMPPB060226</t>
  </si>
  <si>
    <t xml:space="preserve">SLHSINMAY26</t>
  </si>
  <si>
    <t xml:space="preserve">Jeremy to  reassign, mychart/insurance project</t>
  </si>
  <si>
    <t xml:space="preserve">Rodney Frank</t>
  </si>
  <si>
    <t xml:space="preserve">Use Waystar Tool</t>
  </si>
  <si>
    <t xml:space="preserve">SOLVENTUM HEALTH INFO SYSTEM</t>
  </si>
  <si>
    <t xml:space="preserve">Ambulatory CDI</t>
  </si>
  <si>
    <t xml:space="preserve">Janae Schumacher</t>
  </si>
  <si>
    <t xml:space="preserve">SC00277573</t>
  </si>
  <si>
    <t xml:space="preserve">Contractual Review</t>
  </si>
  <si>
    <t xml:space="preserve">ADV CDI TRAN YR Services Year 4 25% of $332820/Amendmt 17</t>
  </si>
  <si>
    <t xml:space="preserve">INV19007</t>
  </si>
  <si>
    <t xml:space="preserve">14299-1</t>
  </si>
  <si>
    <t xml:space="preserve">My Chart Project</t>
  </si>
  <si>
    <t xml:space="preserve">Hourly expenses ($11450 Remaining to Cap)</t>
  </si>
  <si>
    <t xml:space="preserve">8570-052926</t>
  </si>
  <si>
    <t xml:space="preserve">22/17</t>
  </si>
  <si>
    <t xml:space="preserve">1010-052926</t>
  </si>
  <si>
    <t xml:space="preserve">1000-053126</t>
  </si>
  <si>
    <t xml:space="preserve">8552-052926</t>
  </si>
  <si>
    <t xml:space="preserve">SLHSCO-0526</t>
  </si>
  <si>
    <t xml:space="preserve">IN20006683</t>
  </si>
  <si>
    <t xml:space="preserve">Per Melissa D</t>
  </si>
  <si>
    <t xml:space="preserve">RMPPB060926</t>
  </si>
  <si>
    <t xml:space="preserve">INV1447849</t>
  </si>
  <si>
    <t xml:space="preserve">Integrated IVR charges 98.82</t>
  </si>
  <si>
    <t xml:space="preserve">INV1447850</t>
  </si>
  <si>
    <t xml:space="preserve">INV20397031</t>
  </si>
  <si>
    <t xml:space="preserve">INV20397034</t>
  </si>
  <si>
    <t xml:space="preserve">Estate</t>
  </si>
  <si>
    <t xml:space="preserve">MCBEE ASSOCIATES INC</t>
  </si>
  <si>
    <t xml:space="preserve">DC to Home Validation</t>
  </si>
  <si>
    <t xml:space="preserve">BD0783431</t>
  </si>
  <si>
    <t xml:space="preserve">Transfer DRG</t>
  </si>
  <si>
    <t xml:space="preserve">BD0783430</t>
  </si>
  <si>
    <t xml:space="preserve">INV1147486</t>
  </si>
  <si>
    <t xml:space="preserve">credit issued for 1662.74</t>
  </si>
  <si>
    <t xml:space="preserve">8570-060526</t>
  </si>
  <si>
    <t xml:space="preserve">1010-060526</t>
  </si>
  <si>
    <t xml:space="preserve">1000-060726</t>
  </si>
  <si>
    <t xml:space="preserve">credit issued  $45.95</t>
  </si>
  <si>
    <t xml:space="preserve">RMPPB061626</t>
  </si>
  <si>
    <t xml:space="preserve">8570-061226</t>
  </si>
  <si>
    <t xml:space="preserve">1000-061426</t>
  </si>
  <si>
    <t xml:space="preserve">RMPPB062326</t>
  </si>
  <si>
    <t xml:space="preserve">CAC</t>
  </si>
  <si>
    <t xml:space="preserve">SC00282700</t>
  </si>
  <si>
    <t xml:space="preserve">Amendment 17 Exhibit B part 1B</t>
  </si>
  <si>
    <t xml:space="preserve">SC00282721</t>
  </si>
  <si>
    <t xml:space="preserve">Amendment 17 Exhibit B part 1B Reporting only, not billed for  in 2025- validated</t>
  </si>
  <si>
    <t xml:space="preserve">SLHS062026</t>
  </si>
  <si>
    <t xml:space="preserve">IN20007159</t>
  </si>
  <si>
    <t xml:space="preserve">verified with Mary</t>
  </si>
  <si>
    <t xml:space="preserve">8563-061926</t>
  </si>
  <si>
    <t xml:space="preserve">Credits issued $42.97</t>
  </si>
  <si>
    <t xml:space="preserve">1010-061926</t>
  </si>
  <si>
    <t xml:space="preserve">1000-062126</t>
  </si>
  <si>
    <t xml:space="preserve">RMPPB063026</t>
  </si>
  <si>
    <t xml:space="preserve">July</t>
  </si>
  <si>
    <t xml:space="preserve">8570-062626</t>
  </si>
  <si>
    <t xml:space="preserve">1010-062626</t>
  </si>
  <si>
    <t xml:space="preserve">1000-062826</t>
  </si>
  <si>
    <t xml:space="preserve">SLHSINJUN26</t>
  </si>
  <si>
    <t xml:space="preserve">RMPPB070726</t>
  </si>
  <si>
    <t xml:space="preserve">INV19250</t>
  </si>
  <si>
    <t xml:space="preserve">14322-1</t>
  </si>
  <si>
    <t xml:space="preserve">Approved pending credit, expected: $1391.23</t>
  </si>
  <si>
    <t xml:space="preserve">$160 overcharge Physician Fees: Validated with vendor Physician review fees include 4 hrs @125 for supervisor work, 25hrs physician review @85, charge correct, no update to invoice requested</t>
  </si>
  <si>
    <t xml:space="preserve">INV1151714</t>
  </si>
  <si>
    <t xml:space="preserve">there should be credits discuss with Matt, FAIL for tracking purposes, will approve pending credit</t>
  </si>
  <si>
    <t xml:space="preserve">INV20401439</t>
  </si>
  <si>
    <t xml:space="preserve">INV20401443</t>
  </si>
  <si>
    <t xml:space="preserve">SLHSCO-0626</t>
  </si>
  <si>
    <t xml:space="preserve">8570-070326</t>
  </si>
  <si>
    <t xml:space="preserve">1000-070526</t>
  </si>
  <si>
    <t xml:space="preserve">1010-070326</t>
  </si>
  <si>
    <t xml:space="preserve">RMPPB071426</t>
  </si>
  <si>
    <t xml:space="preserve">this is BD1, PO should be 10415</t>
  </si>
  <si>
    <t xml:space="preserve">8563-071026</t>
  </si>
  <si>
    <t xml:space="preserve">1000-071226</t>
  </si>
  <si>
    <t xml:space="preserve">1010-071026</t>
  </si>
  <si>
    <t xml:space="preserve">8570-071026</t>
  </si>
  <si>
    <t xml:space="preserve">credit issued  $36.93</t>
  </si>
  <si>
    <t xml:space="preserve">RMPPB072026</t>
  </si>
  <si>
    <t xml:space="preserve">INV1453334</t>
  </si>
  <si>
    <t xml:space="preserve">Corrected June and correct PO is 10418</t>
  </si>
  <si>
    <t xml:space="preserve">PO needs corrected to 10419</t>
  </si>
  <si>
    <t xml:space="preserve">June </t>
  </si>
  <si>
    <t xml:space="preserve">corrected to June, correct PO is 10420</t>
  </si>
  <si>
    <t xml:space="preserve">corrected inv month to June, correct PO is 10418</t>
  </si>
  <si>
    <t xml:space="preserve">corrected inv month to June, correct PO is 10419- rate?</t>
  </si>
  <si>
    <t xml:space="preserve">INV1453335</t>
  </si>
  <si>
    <t xml:space="preserve">8563-071726</t>
  </si>
  <si>
    <t xml:space="preserve">1010-071726</t>
  </si>
  <si>
    <t xml:space="preserve">1000-071926</t>
  </si>
  <si>
    <t xml:space="preserve">RMPPB072826</t>
  </si>
  <si>
    <t xml:space="preserve">SLHS072026</t>
  </si>
  <si>
    <t xml:space="preserve"> </t>
  </si>
  <si>
    <t xml:space="preserve">8570-072426</t>
  </si>
  <si>
    <t xml:space="preserve">1010-072426</t>
  </si>
  <si>
    <t xml:space="preserve">1000-072626</t>
  </si>
  <si>
    <t xml:space="preserve">August</t>
  </si>
  <si>
    <t xml:space="preserve">SLHSINJUL26</t>
  </si>
  <si>
    <t xml:space="preserve">SLHSCO-0726</t>
  </si>
  <si>
    <t xml:space="preserve">BD0812233</t>
  </si>
  <si>
    <t xml:space="preserve">BD0812232</t>
  </si>
  <si>
    <t xml:space="preserve">BD0812234</t>
  </si>
  <si>
    <t xml:space="preserve">Coverage Detection</t>
  </si>
  <si>
    <t xml:space="preserve">P1412260701</t>
  </si>
  <si>
    <t xml:space="preserve">.50 per unit</t>
  </si>
  <si>
    <t xml:space="preserve">Revised Invoice</t>
  </si>
  <si>
    <t xml:space="preserve">P1391260701</t>
  </si>
  <si>
    <t xml:space="preserve">P1390260701</t>
  </si>
  <si>
    <t xml:space="preserve">P1269260701</t>
  </si>
  <si>
    <t xml:space="preserve">P1268260701</t>
  </si>
  <si>
    <t xml:space="preserve">Indigency/Other</t>
  </si>
  <si>
    <t xml:space="preserve">Jeremy reviewed </t>
  </si>
  <si>
    <t xml:space="preserve">Looks good - unless additional review is needed</t>
  </si>
  <si>
    <t xml:space="preserve">RMPPB080426</t>
  </si>
  <si>
    <t xml:space="preserve">INV1209</t>
  </si>
  <si>
    <t xml:space="preserve">INV1156057</t>
  </si>
  <si>
    <t xml:space="preserve">Claimsource billed, no read only fee- approved with follow up</t>
  </si>
  <si>
    <t xml:space="preserve">INV1158492</t>
  </si>
  <si>
    <t xml:space="preserve">Claimsource billed- approved with follow up</t>
  </si>
  <si>
    <t xml:space="preserve">SC00283954</t>
  </si>
  <si>
    <t xml:space="preserve">Rejected</t>
  </si>
  <si>
    <t xml:space="preserve">Inpatient CDI</t>
  </si>
  <si>
    <t xml:space="preserve">SC00289620</t>
  </si>
  <si>
    <t xml:space="preserve">8563-073126</t>
  </si>
  <si>
    <t xml:space="preserve">8570-073126</t>
  </si>
  <si>
    <t xml:space="preserve">8552-073126</t>
  </si>
  <si>
    <t xml:space="preserve">1010-073126</t>
  </si>
  <si>
    <t xml:space="preserve">1000-080226</t>
  </si>
  <si>
    <t xml:space="preserve">This looks to be billing at the .04% rate - under PO 10407</t>
  </si>
  <si>
    <t xml:space="preserve">INV20405176</t>
  </si>
  <si>
    <t xml:space="preserve">INV20405177</t>
  </si>
  <si>
    <t xml:space="preserve">8552-062626</t>
  </si>
  <si>
    <t xml:space="preserve">RMPPB081126</t>
  </si>
  <si>
    <t xml:space="preserve">Billing at 0.3750 rate under PO 10417</t>
  </si>
  <si>
    <t xml:space="preserve">Approved with Credit Expected $6967.24</t>
  </si>
  <si>
    <t xml:space="preserve">Approved with Credit Expected $25.59</t>
  </si>
  <si>
    <t xml:space="preserve">Approved with Credit expected $3723.28</t>
  </si>
  <si>
    <t xml:space="preserve">UNITED AUDIT SYSTEMS INC</t>
  </si>
  <si>
    <t xml:space="preserve">Coding Audit</t>
  </si>
  <si>
    <t xml:space="preserve">REVIEW03730</t>
  </si>
  <si>
    <t xml:space="preserve">Subscription </t>
  </si>
  <si>
    <t xml:space="preserve">RMPPB081826</t>
  </si>
  <si>
    <t xml:space="preserve">8563-080726</t>
  </si>
  <si>
    <t xml:space="preserve">8570-080726</t>
  </si>
  <si>
    <t xml:space="preserve">1010-080726</t>
  </si>
  <si>
    <t xml:space="preserve">1000-080926</t>
  </si>
  <si>
    <t xml:space="preserve">Service/Product</t>
  </si>
  <si>
    <t xml:space="preserve">IDR_OON</t>
  </si>
  <si>
    <t xml:space="preserve">ZBR</t>
  </si>
  <si>
    <t xml:space="preserve">DAYTECH LLC</t>
  </si>
  <si>
    <t xml:space="preserve">Elmore LTC Retail Pharm</t>
  </si>
  <si>
    <t xml:space="preserve">ELEVATE PFS</t>
  </si>
  <si>
    <t xml:space="preserve">Medicaid enrollment</t>
  </si>
  <si>
    <t xml:space="preserve">Knowledgesource, CDM manager</t>
  </si>
  <si>
    <t xml:space="preserve">Matthew Morishita</t>
  </si>
  <si>
    <t xml:space="preserve">Jerome EBO</t>
  </si>
  <si>
    <t xml:space="preserve">DECISION RESOURCES INC</t>
  </si>
  <si>
    <t xml:space="preserve">HELVETIC CREDIT SOLUTIONS AG</t>
  </si>
  <si>
    <t xml:space="preserve">International collections</t>
  </si>
  <si>
    <t xml:space="preserve">Jolene Armstrong</t>
  </si>
  <si>
    <t xml:space="preserve">Labor</t>
  </si>
  <si>
    <t xml:space="preserve">Hyland Software</t>
  </si>
  <si>
    <t xml:space="preserve">HIM</t>
  </si>
  <si>
    <t xml:space="preserve">Mary Pifer</t>
  </si>
  <si>
    <t xml:space="preserve">Price Transparency</t>
  </si>
  <si>
    <t xml:space="preserve">IRON MOUNTAIN INC</t>
  </si>
  <si>
    <t xml:space="preserve">Records storage</t>
  </si>
  <si>
    <t xml:space="preserve">Loomis</t>
  </si>
  <si>
    <t xml:space="preserve">Cash transport</t>
  </si>
  <si>
    <t xml:space="preserve">PACER SERVICE CENTER</t>
  </si>
  <si>
    <t xml:space="preserve">Court Records</t>
  </si>
  <si>
    <t xml:space="preserve">RCMS</t>
  </si>
  <si>
    <t xml:space="preserve">Payment processing</t>
  </si>
  <si>
    <t xml:space="preserve">Sycurio/Semafone</t>
  </si>
  <si>
    <t xml:space="preserve">Transworld</t>
  </si>
  <si>
    <t xml:space="preserve">BD legacy collections</t>
  </si>
  <si>
    <t xml:space="preserve">UiPath (Healthcare &amp; Life Sciences)</t>
  </si>
  <si>
    <t xml:space="preserve">PO INDEX  —  helper</t>
  </si>
  <si>
    <t xml:space="preserve">Builds the distinct PO and vendor lists that the PO Tracker, Vendor Rollup and Monthly Trend read. There is no manual list anywhere: a PO appears the moment it has a change order or an invoice dated inside the FY window, and drops off when it does not.</t>
  </si>
  <si>
    <t xml:space="preserve">n</t>
  </si>
  <si>
    <t xml:space="preserve">next in Change Orders</t>
  </si>
  <si>
    <t xml:space="preserve">next in Invoices</t>
  </si>
  <si>
    <t xml:space="preserve">Tracker vendor</t>
  </si>
  <si>
    <t xml:space="preserve">First-seen #</t>
  </si>
  <si>
    <t xml:space="preserve">Vendor (as seen)</t>
  </si>
  <si>
    <t xml:space="preserve">Alpha rank</t>
  </si>
  <si>
    <t xml:space="preserve">Vendor (sorted)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</si>
</sst>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mmm\ yy"/>
    <numFmt numFmtId="167" formatCode="0.0%;\(0.0%\);\-"/>
    <numFmt numFmtId="168" formatCode="0"/>
    <numFmt numFmtId="169" formatCode="\$#,##0;&quot;($&quot;#,##0\);\-"/>
    <numFmt numFmtId="170" formatCode="0.0;;\-"/>
    <numFmt numFmtId="171" formatCode="0;;\-"/>
    <numFmt numFmtId="172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F2F2F2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9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45931</v>
      </c>
      <c r="D5" s="2" t="s">
        <v>3</v>
      </c>
    </row>
    <row r="6" customFormat="false" ht="15" hidden="false" customHeight="false" outlineLevel="0" collapsed="false">
      <c r="B6" s="3" t="s">
        <v>4</v>
      </c>
      <c r="C6" s="4" t="n">
        <v>46295</v>
      </c>
      <c r="D6" s="2" t="s">
        <v>5</v>
      </c>
    </row>
    <row r="7" customFormat="false" ht="15" hidden="false" customHeight="false" outlineLevel="0" collapsed="false">
      <c r="B7" s="3" t="s">
        <v>6</v>
      </c>
      <c r="C7" s="5" t="n">
        <v>46204</v>
      </c>
      <c r="D7" s="2" t="s">
        <v>7</v>
      </c>
    </row>
    <row r="8" customFormat="false" ht="15" hidden="false" customHeight="false" outlineLevel="0" collapsed="false">
      <c r="B8" s="3" t="s">
        <v>8</v>
      </c>
      <c r="C8" s="6" t="n">
        <v>0.8</v>
      </c>
      <c r="D8" s="2" t="s">
        <v>9</v>
      </c>
    </row>
    <row r="9" customFormat="false" ht="15" hidden="false" customHeight="false" outlineLevel="0" collapsed="false">
      <c r="B9" s="3" t="s">
        <v>10</v>
      </c>
      <c r="C9" s="7" t="n">
        <v>3</v>
      </c>
      <c r="D9" s="2" t="s">
        <v>11</v>
      </c>
    </row>
    <row r="10" customFormat="false" ht="15" hidden="false" customHeight="false" outlineLevel="0" collapsed="false">
      <c r="B10" s="3" t="s">
        <v>12</v>
      </c>
      <c r="C10" s="8" t="n">
        <f aca="false">(YEAR(Controls!$C$7)-YEAR(Controls!$C$5))*12+(MONTH(Controls!$C$7)-MONTH(Controls!$C$5))+1</f>
        <v>10</v>
      </c>
      <c r="D10" s="2" t="s">
        <v>13</v>
      </c>
    </row>
    <row r="11" customFormat="false" ht="15" hidden="false" customHeight="false" outlineLevel="0" collapsed="false">
      <c r="B11" s="3" t="s">
        <v>14</v>
      </c>
      <c r="C11" s="8" t="n">
        <f aca="false">12-Controls!$C$10</f>
        <v>2</v>
      </c>
      <c r="D11" s="2" t="s">
        <v>15</v>
      </c>
    </row>
    <row r="12" customFormat="false" ht="15" hidden="false" customHeight="false" outlineLevel="0" collapsed="false">
      <c r="B12" s="3" t="s">
        <v>16</v>
      </c>
      <c r="C12" s="9" t="n">
        <f aca="false">EDATE(Controls!$C$7,-(Controls!$C$9-1))</f>
        <v>46143</v>
      </c>
      <c r="D12" s="2" t="s">
        <v>17</v>
      </c>
    </row>
    <row r="14" customFormat="false" ht="15" hidden="false" customHeight="false" outlineLevel="0" collapsed="false">
      <c r="B14" s="10" t="s">
        <v>18</v>
      </c>
    </row>
    <row r="15" customFormat="false" ht="15" hidden="false" customHeight="false" outlineLevel="0" collapsed="false">
      <c r="B15" s="3" t="s">
        <v>19</v>
      </c>
      <c r="C15" s="11" t="n">
        <f aca="false">IFERROR(MAX(_MainTable!$G$2:$G$2001),0)</f>
        <v>46252</v>
      </c>
      <c r="D15" s="2" t="s">
        <v>20</v>
      </c>
    </row>
    <row r="16" customFormat="false" ht="15" hidden="false" customHeight="false" outlineLevel="0" collapsed="false">
      <c r="B16" s="3" t="s">
        <v>21</v>
      </c>
      <c r="C16" s="12" t="n">
        <f aca="false">COUNT(_MainTable!$G$2:$G$2001)</f>
        <v>328</v>
      </c>
      <c r="D16" s="2" t="s">
        <v>22</v>
      </c>
    </row>
    <row r="17" customFormat="false" ht="15" hidden="false" customHeight="false" outlineLevel="0" collapsed="false">
      <c r="B17" s="3" t="s">
        <v>23</v>
      </c>
      <c r="C17" s="12" t="n">
        <f aca="false">COUNT('SC Change Orders'!$C$2:$C$501)</f>
        <v>36</v>
      </c>
      <c r="D17" s="2" t="s">
        <v>24</v>
      </c>
    </row>
    <row r="18" customFormat="false" ht="15" hidden="false" customHeight="false" outlineLevel="0" collapsed="false">
      <c r="B18" s="3" t="s">
        <v>25</v>
      </c>
      <c r="C18" s="12" t="n">
        <f aca="false">COUNT('PO Index'!$B$5:$B$84)</f>
        <v>43</v>
      </c>
      <c r="D18" s="2" t="s">
        <v>26</v>
      </c>
    </row>
    <row r="19" customFormat="false" ht="15" hidden="false" customHeight="false" outlineLevel="0" collapsed="false">
      <c r="B19" s="3" t="s">
        <v>27</v>
      </c>
      <c r="C19" s="13" t="n">
        <f aca="false">SUMIFS(_MainTable!$K$2:$K$2001,_MainTable!$G$2:$G$2001,"&gt;="&amp;Controls!$C$5,_MainTable!$G$2:$G$2001,"&lt;="&amp;Controls!$C$6)</f>
        <v>13750125.24</v>
      </c>
      <c r="D19" s="2" t="s">
        <v>28</v>
      </c>
    </row>
    <row r="21" customFormat="false" ht="15" hidden="false" customHeight="false" outlineLevel="0" collapsed="false">
      <c r="B21" s="10" t="s">
        <v>29</v>
      </c>
    </row>
    <row r="22" customFormat="false" ht="15" hidden="false" customHeight="false" outlineLevel="0" collapsed="false">
      <c r="B22" s="3" t="s">
        <v>30</v>
      </c>
      <c r="C22" s="14" t="str">
        <f aca="false">IF(OR(COUNT(_MainTable!$G$2:$G$2001)&gt;=1979,COUNT('SC Change Orders'!$C$2:$C$501)&gt;=479),"EXTEND RANGES","OK")</f>
        <v>OK</v>
      </c>
      <c r="D22" s="2" t="s">
        <v>31</v>
      </c>
    </row>
    <row r="24" customFormat="false" ht="15" hidden="false" customHeight="false" outlineLevel="0" collapsed="false">
      <c r="B24" s="10" t="s">
        <v>32</v>
      </c>
    </row>
    <row r="25" customFormat="false" ht="15" hidden="false" customHeight="false" outlineLevel="0" collapsed="false">
      <c r="B25" s="2" t="s">
        <v>33</v>
      </c>
    </row>
    <row r="26" customFormat="false" ht="15" hidden="false" customHeight="false" outlineLevel="0" collapsed="false">
      <c r="B26" s="2" t="s">
        <v>34</v>
      </c>
    </row>
    <row r="27" customFormat="false" ht="15" hidden="false" customHeight="false" outlineLevel="0" collapsed="false">
      <c r="B27" s="2" t="s">
        <v>35</v>
      </c>
    </row>
    <row r="28" customFormat="false" ht="15" hidden="false" customHeight="false" outlineLevel="0" collapsed="false">
      <c r="B28" s="2" t="s">
        <v>36</v>
      </c>
    </row>
    <row r="29" customFormat="false" ht="15" hidden="false" customHeight="false" outlineLevel="0" collapsed="false">
      <c r="B29" s="2" t="s">
        <v>37</v>
      </c>
    </row>
    <row r="30" customFormat="false" ht="15" hidden="false" customHeight="false" outlineLevel="0" collapsed="false">
      <c r="B30" s="2" t="s">
        <v>38</v>
      </c>
    </row>
    <row r="32" customFormat="false" ht="15" hidden="false" customHeight="false" outlineLevel="0" collapsed="false">
      <c r="B32" s="15" t="s">
        <v>39</v>
      </c>
    </row>
    <row r="33" customFormat="false" ht="15" hidden="false" customHeight="false" outlineLevel="0" collapsed="false">
      <c r="B33" s="2" t="s">
        <v>40</v>
      </c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2" t="s">
        <v>41</v>
      </c>
    </row>
    <row r="36" customFormat="false" ht="15" hidden="false" customHeight="false" outlineLevel="0" collapsed="false">
      <c r="B36" s="2" t="s">
        <v>42</v>
      </c>
    </row>
    <row r="37" customFormat="false" ht="15" hidden="false" customHeight="false" outlineLevel="0" collapsed="false">
      <c r="B37" s="2" t="s">
        <v>43</v>
      </c>
    </row>
    <row r="38" customFormat="false" ht="15" hidden="false" customHeight="false" outlineLevel="0" collapsed="false">
      <c r="B38" s="2" t="s">
        <v>44</v>
      </c>
    </row>
    <row r="39" customFormat="false" ht="15" hidden="false" customHeight="false" outlineLevel="0" collapsed="false">
      <c r="B39" s="2" t="s">
        <v>45</v>
      </c>
    </row>
    <row r="40" customFormat="false" ht="15" hidden="false" customHeight="false" outlineLevel="0" collapsed="false">
      <c r="B40" s="2" t="s">
        <v>46</v>
      </c>
    </row>
    <row r="41" customFormat="false" ht="15" hidden="false" customHeight="false" outlineLevel="0" collapsed="false">
      <c r="B41" s="2" t="s">
        <v>47</v>
      </c>
    </row>
    <row r="42" customFormat="false" ht="15" hidden="false" customHeight="false" outlineLevel="0" collapsed="false">
      <c r="B42" s="2"/>
    </row>
    <row r="43" customFormat="false" ht="15" hidden="false" customHeight="false" outlineLevel="0" collapsed="false">
      <c r="B43" s="2" t="s">
        <v>48</v>
      </c>
    </row>
    <row r="44" customFormat="false" ht="15" hidden="false" customHeight="false" outlineLevel="0" collapsed="false">
      <c r="B44" s="2" t="s">
        <v>49</v>
      </c>
    </row>
    <row r="45" customFormat="false" ht="15" hidden="false" customHeight="false" outlineLevel="0" collapsed="false">
      <c r="B45" s="2" t="s">
        <v>50</v>
      </c>
    </row>
    <row r="46" customFormat="false" ht="15" hidden="false" customHeight="false" outlineLevel="0" collapsed="false">
      <c r="B46" s="2" t="s">
        <v>51</v>
      </c>
    </row>
    <row r="47" customFormat="false" ht="15" hidden="false" customHeight="false" outlineLevel="0" collapsed="false">
      <c r="B47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16" t="s">
        <v>55</v>
      </c>
      <c r="B4" s="16" t="s">
        <v>56</v>
      </c>
      <c r="C4" s="16" t="s">
        <v>57</v>
      </c>
      <c r="D4" s="16" t="s">
        <v>58</v>
      </c>
      <c r="E4" s="16" t="s">
        <v>59</v>
      </c>
      <c r="F4" s="16" t="s">
        <v>60</v>
      </c>
      <c r="G4" s="16" t="s">
        <v>61</v>
      </c>
      <c r="H4" s="16" t="s">
        <v>62</v>
      </c>
      <c r="I4" s="16" t="s">
        <v>63</v>
      </c>
      <c r="J4" s="16" t="s">
        <v>64</v>
      </c>
      <c r="K4" s="16" t="s">
        <v>65</v>
      </c>
      <c r="L4" s="16" t="s">
        <v>66</v>
      </c>
      <c r="M4" s="16" t="s">
        <v>67</v>
      </c>
      <c r="N4" s="16" t="s">
        <v>68</v>
      </c>
      <c r="O4" s="16" t="s">
        <v>69</v>
      </c>
      <c r="P4" s="16" t="s">
        <v>70</v>
      </c>
      <c r="Q4" s="16" t="s">
        <v>71</v>
      </c>
      <c r="R4" s="16" t="s">
        <v>72</v>
      </c>
    </row>
    <row r="5" customFormat="false" ht="15" hidden="false" customHeight="false" outlineLevel="0" collapsed="false">
      <c r="A5" s="17" t="str">
        <f aca="false">IF($B5="","",IF((IFERROR(INDEX(_RefTable!$A$2:$A$501,MATCH($B5,_RefTable!$C$2:$C$501,0)),IFERROR(INDEX(_MainTable!$A$2:$A$2001,MATCH($B5,_MainTable!$F$2:$F$2001,0)),IFERROR(INDEX('SC Change Orders'!$A$2:$A$501,MATCH($B5,'SC Change Orders'!$B$2:$B$501,0)),"(unknown vendor)"))))&amp;""="","—",(IFERROR(INDEX(_RefTable!$A$2:$A$501,MATCH($B5,_RefTable!$C$2:$C$501,0)),IFERROR(INDEX(_MainTable!$A$2:$A$2001,MATCH($B5,_MainTable!$F$2:$F$2001,0)),IFERROR(INDEX('SC Change Orders'!$A$2:$A$501,MATCH($B5,'SC Change Orders'!$B$2:$B$501,0)),"(unknown vendor)"))))))</f>
        <v>FMS INC</v>
      </c>
      <c r="B5" s="18" t="n">
        <f aca="false">IFERROR(INDEX('PO Index'!$B$5:$B$84,1),"")</f>
        <v>7892</v>
      </c>
      <c r="C5" s="17" t="str">
        <f aca="false">IF($B5="","",IF((IFERROR(INDEX(_RefTable!$B$2:$B$501,MATCH($B5,_RefTable!$C$2:$C$501,0))&amp;IF(COUNTIF(_RefTable!$C$2:$C$501,$B5)&gt;1," (+"&amp;COUNTIF(_RefTable!$C$2:$C$501,$B5)-1&amp;" more)",""),IFERROR(INDEX(_MainTable!$B$2:$B$2001,MATCH($B5,_MainTable!$F$2:$F$2001,0)),"")))&amp;""="","—",(IFERROR(INDEX(_RefTable!$B$2:$B$501,MATCH($B5,_RefTable!$C$2:$C$501,0))&amp;IF(COUNTIF(_RefTable!$C$2:$C$501,$B5)&gt;1," (+"&amp;COUNTIF(_RefTable!$C$2:$C$501,$B5)-1&amp;" more)",""),IFERROR(INDEX(_MainTable!$B$2:$B$2001,MATCH($B5,_MainTable!$F$2:$F$2001,0)),"")))))</f>
        <v>McCall BD</v>
      </c>
      <c r="D5" s="17" t="str">
        <f aca="false">IF($B5="","",IF((IFERROR(INDEX(_RefTable!$E$2:$E$501,MATCH($B5,_RefTable!$C$2:$C$501,0)),IFERROR(INDEX(_MainTable!$C$2:$C$2001,MATCH($B5,_MainTable!$F$2:$F$2001,0)),"")))&amp;""="","—",(IFERROR(INDEX(_RefTable!$E$2:$E$501,MATCH($B5,_RefTable!$C$2:$C$501,0)),IFERROR(INDEX(_MainTable!$C$2:$C$2001,MATCH($B5,_MainTable!$F$2:$F$2001,0)),"")))))</f>
        <v>Jake Reid</v>
      </c>
      <c r="E5" s="17" t="str">
        <f aca="false">IF($B5="","",IF((IFERROR(INDEX(_RefTable!$F$2:$F$501,MATCH($B5,_RefTable!$C$2:$C$501,0)),IFERROR(INDEX(_MainTable!$D$2:$D$2001,MATCH($B5,_MainTable!$F$2:$F$2001,0)),"")))&amp;""="","—",(IFERROR(INDEX(_RefTable!$F$2:$F$501,MATCH($B5,_RefTable!$C$2:$C$501,0)),IFERROR(INDEX(_MainTable!$D$2:$D$2001,MATCH($B5,_MainTable!$F$2:$F$2001,0)),"")))))</f>
        <v>Letisia Speelman</v>
      </c>
      <c r="F5" s="19" t="n">
        <f aca="false">IF($B5="","",IFERROR(_xlfn.MINIFS('SC Change Orders'!$E$2:$E$501,'SC Change Orders'!$B$2:$B$501,$B5,'SC Change Orders'!$C$2:$C$501,"&gt;="&amp;Controls!$C$5,'SC Change Orders'!$C$2:$C$501,"&lt;="&amp;Controls!$C$6),0))</f>
        <v>0</v>
      </c>
      <c r="G5" s="19" t="n">
        <f aca="false">IF($B5="","",SUMIFS('SC Change Orders'!$F$2:$F$501,'SC Change Orders'!$B$2:$B$501,$B5,'SC Change Orders'!$C$2:$C$501,"&gt;="&amp;Controls!$C$5,'SC Change Orders'!$C$2:$C$501,"&lt;="&amp;Controls!$C$6))</f>
        <v>0</v>
      </c>
      <c r="H5" s="19" t="n">
        <f aca="false">IF($B5="","",$F5+$G5)</f>
        <v>0</v>
      </c>
      <c r="I5" s="19" t="n">
        <f aca="false">IF($B5="","",SUMIFS(_MainTable!$K$2:$K$2001,_MainTable!$F$2:$F$2001,$B5,_MainTable!$G$2:$G$2001,"&gt;="&amp;Controls!$C$5,_MainTable!$G$2:$G$2001,"&lt;="&amp;Controls!$C$6))</f>
        <v>20.4</v>
      </c>
      <c r="J5" s="20" t="n">
        <f aca="false">IF($B5="","",IFERROR($I5/$H5,0))</f>
        <v>0</v>
      </c>
      <c r="K5" s="19" t="n">
        <f aca="false">IF($B5="","",$H5-$I5)</f>
        <v>-20.4</v>
      </c>
      <c r="L5" s="19" t="n">
        <f aca="false">IF($B5="","",IFERROR(SUMIFS(_MainTable!$K$2:$K$2001,_MainTable!$F$2:$F$2001,$B5,_MainTable!$G$2:$G$2001,"&gt;="&amp;Controls!$C$12,_MainTable!$G$2:$G$2001,"&lt;="&amp;EOMONTH(Controls!$C$7,0))/MIN(Controls!$C$9,Controls!$C$10),0))</f>
        <v>3.4</v>
      </c>
      <c r="M5" s="19" t="n">
        <f aca="false">IF($B5="","",$L5*Controls!$C$11)</f>
        <v>6.8</v>
      </c>
      <c r="N5" s="19" t="n">
        <f aca="false">IF($B5="","",$I5+$M5)</f>
        <v>27.2</v>
      </c>
      <c r="O5" s="20" t="n">
        <f aca="false">IF($B5="","",IFERROR($N5/$H5,0))</f>
        <v>0</v>
      </c>
      <c r="P5" s="19" t="n">
        <f aca="false">IF($B5="","",$H5-$N5)</f>
        <v>-27.2</v>
      </c>
      <c r="Q5" s="21" t="n">
        <f aca="false">IF($B5="","",IF($L5&lt;=0,"n/a",IFERROR($K5/$L5,"n/a")))</f>
        <v>-6</v>
      </c>
      <c r="R5" s="22" t="str">
        <f aca="false">IF($B5="","",IF(AND($H5=0,$I5=0),"⚪ No Activity",IF(AND($H5=0,COUNTIFS('SC Change Orders'!$B$2:$B$501,$B5,'SC Change Orders'!$C$2:$C$501,"&gt;="&amp;Controls!$C$5,'SC Change Orders'!$C$2:$C$501,"&lt;="&amp;Controls!$C$6)=0),"⚪ No Funding on File",IF($H5=0,"🔴 Unfunded Spend",IF($I5&gt;=$H5,"🔴 Over Budget",IF($N5&gt;$H5,"🔴 Projected Shortfall",IF($J5&gt;=Controls!$C$8,"🟡 Watch","🟢 On Track")))))))</f>
        <v>⚪ No Funding on File</v>
      </c>
    </row>
    <row r="6" customFormat="false" ht="15" hidden="false" customHeight="false" outlineLevel="0" collapsed="false">
      <c r="A6" s="17" t="str">
        <f aca="false">IF($B6="","",IF((IFERROR(INDEX(_RefTable!$A$2:$A$501,MATCH($B6,_RefTable!$C$2:$C$501,0)),IFERROR(INDEX(_MainTable!$A$2:$A$2001,MATCH($B6,_MainTable!$F$2:$F$2001,0)),IFERROR(INDEX('SC Change Orders'!$A$2:$A$501,MATCH($B6,'SC Change Orders'!$B$2:$B$501,0)),"(unknown vendor)"))))&amp;""="","—",(IFERROR(INDEX(_RefTable!$A$2:$A$501,MATCH($B6,_RefTable!$C$2:$C$501,0)),IFERROR(INDEX(_MainTable!$A$2:$A$2001,MATCH($B6,_MainTable!$F$2:$F$2001,0)),IFERROR(INDEX('SC Change Orders'!$A$2:$A$501,MATCH($B6,'SC Change Orders'!$B$2:$B$501,0)),"(unknown vendor)"))))))</f>
        <v>FMS INC</v>
      </c>
      <c r="B6" s="18" t="n">
        <f aca="false">IFERROR(INDEX('PO Index'!$B$5:$B$84,2),"")</f>
        <v>7893</v>
      </c>
      <c r="C6" s="17" t="str">
        <f aca="false">IF($B6="","",IF((IFERROR(INDEX(_RefTable!$B$2:$B$501,MATCH($B6,_RefTable!$C$2:$C$501,0))&amp;IF(COUNTIF(_RefTable!$C$2:$C$501,$B6)&gt;1," (+"&amp;COUNTIF(_RefTable!$C$2:$C$501,$B6)-1&amp;" more)",""),IFERROR(INDEX(_MainTable!$B$2:$B$2001,MATCH($B6,_MainTable!$F$2:$F$2001,0)),"")))&amp;""="","—",(IFERROR(INDEX(_RefTable!$B$2:$B$501,MATCH($B6,_RefTable!$C$2:$C$501,0))&amp;IF(COUNTIF(_RefTable!$C$2:$C$501,$B6)&gt;1," (+"&amp;COUNTIF(_RefTable!$C$2:$C$501,$B6)-1&amp;" more)",""),IFERROR(INDEX(_MainTable!$B$2:$B$2001,MATCH($B6,_MainTable!$F$2:$F$2001,0)),"")))))</f>
        <v>Base Recover</v>
      </c>
      <c r="D6" s="17" t="str">
        <f aca="false">IF($B6="","",IF((IFERROR(INDEX(_RefTable!$E$2:$E$501,MATCH($B6,_RefTable!$C$2:$C$501,0)),IFERROR(INDEX(_MainTable!$C$2:$C$2001,MATCH($B6,_MainTable!$F$2:$F$2001,0)),"")))&amp;""="","—",(IFERROR(INDEX(_RefTable!$E$2:$E$501,MATCH($B6,_RefTable!$C$2:$C$501,0)),IFERROR(INDEX(_MainTable!$C$2:$C$2001,MATCH($B6,_MainTable!$F$2:$F$2001,0)),"")))))</f>
        <v>Jake Reid</v>
      </c>
      <c r="E6" s="17" t="str">
        <f aca="false">IF($B6="","",IF((IFERROR(INDEX(_RefTable!$F$2:$F$501,MATCH($B6,_RefTable!$C$2:$C$501,0)),IFERROR(INDEX(_MainTable!$D$2:$D$2001,MATCH($B6,_MainTable!$F$2:$F$2001,0)),"")))&amp;""="","—",(IFERROR(INDEX(_RefTable!$F$2:$F$501,MATCH($B6,_RefTable!$C$2:$C$501,0)),IFERROR(INDEX(_MainTable!$D$2:$D$2001,MATCH($B6,_MainTable!$F$2:$F$2001,0)),"")))))</f>
        <v>Letisia Speelman</v>
      </c>
      <c r="F6" s="19" t="n">
        <f aca="false">IF($B6="","",IFERROR(_xlfn.MINIFS('SC Change Orders'!$E$2:$E$501,'SC Change Orders'!$B$2:$B$501,$B6,'SC Change Orders'!$C$2:$C$501,"&gt;="&amp;Controls!$C$5,'SC Change Orders'!$C$2:$C$501,"&lt;="&amp;Controls!$C$6),0))</f>
        <v>0</v>
      </c>
      <c r="G6" s="19" t="n">
        <f aca="false">IF($B6="","",SUMIFS('SC Change Orders'!$F$2:$F$501,'SC Change Orders'!$B$2:$B$501,$B6,'SC Change Orders'!$C$2:$C$501,"&gt;="&amp;Controls!$C$5,'SC Change Orders'!$C$2:$C$501,"&lt;="&amp;Controls!$C$6))</f>
        <v>0</v>
      </c>
      <c r="H6" s="19" t="n">
        <f aca="false">IF($B6="","",$F6+$G6)</f>
        <v>0</v>
      </c>
      <c r="I6" s="19" t="n">
        <f aca="false">IF($B6="","",SUMIFS(_MainTable!$K$2:$K$2001,_MainTable!$F$2:$F$2001,$B6,_MainTable!$G$2:$G$2001,"&gt;="&amp;Controls!$C$5,_MainTable!$G$2:$G$2001,"&lt;="&amp;Controls!$C$6))</f>
        <v>219.85</v>
      </c>
      <c r="J6" s="20" t="n">
        <f aca="false">IF($B6="","",IFERROR($I6/$H6,0))</f>
        <v>0</v>
      </c>
      <c r="K6" s="19" t="n">
        <f aca="false">IF($B6="","",$H6-$I6)</f>
        <v>-219.85</v>
      </c>
      <c r="L6" s="19" t="n">
        <f aca="false">IF($B6="","",IFERROR(SUMIFS(_MainTable!$K$2:$K$2001,_MainTable!$F$2:$F$2001,$B6,_MainTable!$G$2:$G$2001,"&gt;="&amp;Controls!$C$12,_MainTable!$G$2:$G$2001,"&lt;="&amp;EOMONTH(Controls!$C$7,0))/MIN(Controls!$C$9,Controls!$C$10),0))</f>
        <v>29.5466666666667</v>
      </c>
      <c r="M6" s="19" t="n">
        <f aca="false">IF($B6="","",$L6*Controls!$C$11)</f>
        <v>59.0933333333333</v>
      </c>
      <c r="N6" s="19" t="n">
        <f aca="false">IF($B6="","",$I6+$M6)</f>
        <v>278.943333333333</v>
      </c>
      <c r="O6" s="20" t="n">
        <f aca="false">IF($B6="","",IFERROR($N6/$H6,0))</f>
        <v>0</v>
      </c>
      <c r="P6" s="19" t="n">
        <f aca="false">IF($B6="","",$H6-$N6)</f>
        <v>-278.943333333333</v>
      </c>
      <c r="Q6" s="21" t="n">
        <f aca="false">IF($B6="","",IF($L6&lt;=0,"n/a",IFERROR($K6/$L6,"n/a")))</f>
        <v>-7.44077166064982</v>
      </c>
      <c r="R6" s="22" t="str">
        <f aca="false">IF($B6="","",IF(AND($H6=0,$I6=0),"⚪ No Activity",IF(AND($H6=0,COUNTIFS('SC Change Orders'!$B$2:$B$501,$B6,'SC Change Orders'!$C$2:$C$501,"&gt;="&amp;Controls!$C$5,'SC Change Orders'!$C$2:$C$501,"&lt;="&amp;Controls!$C$6)=0),"⚪ No Funding on File",IF($H6=0,"🔴 Unfunded Spend",IF($I6&gt;=$H6,"🔴 Over Budget",IF($N6&gt;$H6,"🔴 Projected Shortfall",IF($J6&gt;=Controls!$C$8,"🟡 Watch","🟢 On Track")))))))</f>
        <v>⚪ No Funding on File</v>
      </c>
    </row>
    <row r="7" customFormat="false" ht="15" hidden="false" customHeight="false" outlineLevel="0" collapsed="false">
      <c r="A7" s="17" t="str">
        <f aca="false">IF($B7="","",IF((IFERROR(INDEX(_RefTable!$A$2:$A$501,MATCH($B7,_RefTable!$C$2:$C$501,0)),IFERROR(INDEX(_MainTable!$A$2:$A$2001,MATCH($B7,_MainTable!$F$2:$F$2001,0)),IFERROR(INDEX('SC Change Orders'!$A$2:$A$501,MATCH($B7,'SC Change Orders'!$B$2:$B$501,0)),"(unknown vendor)"))))&amp;""="","—",(IFERROR(INDEX(_RefTable!$A$2:$A$501,MATCH($B7,_RefTable!$C$2:$C$501,0)),IFERROR(INDEX(_MainTable!$A$2:$A$2001,MATCH($B7,_MainTable!$F$2:$F$2001,0)),IFERROR(INDEX('SC Change Orders'!$A$2:$A$501,MATCH($B7,'SC Change Orders'!$B$2:$B$501,0)),"(unknown vendor)"))))))</f>
        <v>FMS INC</v>
      </c>
      <c r="B7" s="18" t="n">
        <f aca="false">IFERROR(INDEX('PO Index'!$B$5:$B$84,3),"")</f>
        <v>7894</v>
      </c>
      <c r="C7" s="17" t="str">
        <f aca="false">IF($B7="","",IF((IFERROR(INDEX(_RefTable!$B$2:$B$501,MATCH($B7,_RefTable!$C$2:$C$501,0))&amp;IF(COUNTIF(_RefTable!$C$2:$C$501,$B7)&gt;1," (+"&amp;COUNTIF(_RefTable!$C$2:$C$501,$B7)-1&amp;" more)",""),IFERROR(INDEX(_MainTable!$B$2:$B$2001,MATCH($B7,_MainTable!$F$2:$F$2001,0)),"")))&amp;""="","—",(IFERROR(INDEX(_RefTable!$B$2:$B$501,MATCH($B7,_RefTable!$C$2:$C$501,0))&amp;IF(COUNTIF(_RefTable!$C$2:$C$501,$B7)&gt;1," (+"&amp;COUNTIF(_RefTable!$C$2:$C$501,$B7)-1&amp;" more)",""),IFERROR(INDEX(_MainTable!$B$2:$B$2001,MATCH($B7,_MainTable!$F$2:$F$2001,0)),"")))))</f>
        <v>Skim Overflow</v>
      </c>
      <c r="D7" s="17" t="str">
        <f aca="false">IF($B7="","",IF((IFERROR(INDEX(_RefTable!$E$2:$E$501,MATCH($B7,_RefTable!$C$2:$C$501,0)),IFERROR(INDEX(_MainTable!$C$2:$C$2001,MATCH($B7,_MainTable!$F$2:$F$2001,0)),"")))&amp;""="","—",(IFERROR(INDEX(_RefTable!$E$2:$E$501,MATCH($B7,_RefTable!$C$2:$C$501,0)),IFERROR(INDEX(_MainTable!$C$2:$C$2001,MATCH($B7,_MainTable!$F$2:$F$2001,0)),"")))))</f>
        <v>Jake Reid</v>
      </c>
      <c r="E7" s="17" t="str">
        <f aca="false">IF($B7="","",IF((IFERROR(INDEX(_RefTable!$F$2:$F$501,MATCH($B7,_RefTable!$C$2:$C$501,0)),IFERROR(INDEX(_MainTable!$D$2:$D$2001,MATCH($B7,_MainTable!$F$2:$F$2001,0)),"")))&amp;""="","—",(IFERROR(INDEX(_RefTable!$F$2:$F$501,MATCH($B7,_RefTable!$C$2:$C$501,0)),IFERROR(INDEX(_MainTable!$D$2:$D$2001,MATCH($B7,_MainTable!$F$2:$F$2001,0)),"")))))</f>
        <v>Letisia Speelman</v>
      </c>
      <c r="F7" s="19" t="n">
        <f aca="false">IF($B7="","",IFERROR(_xlfn.MINIFS('SC Change Orders'!$E$2:$E$501,'SC Change Orders'!$B$2:$B$501,$B7,'SC Change Orders'!$C$2:$C$501,"&gt;="&amp;Controls!$C$5,'SC Change Orders'!$C$2:$C$501,"&lt;="&amp;Controls!$C$6),0))</f>
        <v>0</v>
      </c>
      <c r="G7" s="19" t="n">
        <f aca="false">IF($B7="","",SUMIFS('SC Change Orders'!$F$2:$F$501,'SC Change Orders'!$B$2:$B$501,$B7,'SC Change Orders'!$C$2:$C$501,"&gt;="&amp;Controls!$C$5,'SC Change Orders'!$C$2:$C$501,"&lt;="&amp;Controls!$C$6))</f>
        <v>0</v>
      </c>
      <c r="H7" s="19" t="n">
        <f aca="false">IF($B7="","",$F7+$G7)</f>
        <v>0</v>
      </c>
      <c r="I7" s="19" t="n">
        <f aca="false">IF($B7="","",SUMIFS(_MainTable!$K$2:$K$2001,_MainTable!$F$2:$F$2001,$B7,_MainTable!$G$2:$G$2001,"&gt;="&amp;Controls!$C$5,_MainTable!$G$2:$G$2001,"&lt;="&amp;Controls!$C$6))</f>
        <v>50650.61</v>
      </c>
      <c r="J7" s="20" t="n">
        <f aca="false">IF($B7="","",IFERROR($I7/$H7,0))</f>
        <v>0</v>
      </c>
      <c r="K7" s="19" t="n">
        <f aca="false">IF($B7="","",$H7-$I7)</f>
        <v>-50650.61</v>
      </c>
      <c r="L7" s="19" t="n">
        <f aca="false">IF($B7="","",IFERROR(SUMIFS(_MainTable!$K$2:$K$2001,_MainTable!$F$2:$F$2001,$B7,_MainTable!$G$2:$G$2001,"&gt;="&amp;Controls!$C$12,_MainTable!$G$2:$G$2001,"&lt;="&amp;EOMONTH(Controls!$C$7,0))/MIN(Controls!$C$9,Controls!$C$10),0))</f>
        <v>9042.36</v>
      </c>
      <c r="M7" s="19" t="n">
        <f aca="false">IF($B7="","",$L7*Controls!$C$11)</f>
        <v>18084.72</v>
      </c>
      <c r="N7" s="19" t="n">
        <f aca="false">IF($B7="","",$I7+$M7)</f>
        <v>68735.33</v>
      </c>
      <c r="O7" s="20" t="n">
        <f aca="false">IF($B7="","",IFERROR($N7/$H7,0))</f>
        <v>0</v>
      </c>
      <c r="P7" s="19" t="n">
        <f aca="false">IF($B7="","",$H7-$N7)</f>
        <v>-68735.33</v>
      </c>
      <c r="Q7" s="21" t="n">
        <f aca="false">IF($B7="","",IF($L7&lt;=0,"n/a",IFERROR($K7/$L7,"n/a")))</f>
        <v>-5.60148125047001</v>
      </c>
      <c r="R7" s="22" t="str">
        <f aca="false">IF($B7="","",IF(AND($H7=0,$I7=0),"⚪ No Activity",IF(AND($H7=0,COUNTIFS('SC Change Orders'!$B$2:$B$501,$B7,'SC Change Orders'!$C$2:$C$501,"&gt;="&amp;Controls!$C$5,'SC Change Orders'!$C$2:$C$501,"&lt;="&amp;Controls!$C$6)=0),"⚪ No Funding on File",IF($H7=0,"🔴 Unfunded Spend",IF($I7&gt;=$H7,"🔴 Over Budget",IF($N7&gt;$H7,"🔴 Projected Shortfall",IF($J7&gt;=Controls!$C$8,"🟡 Watch","🟢 On Track")))))))</f>
        <v>⚪ No Funding on File</v>
      </c>
    </row>
    <row r="8" customFormat="false" ht="15" hidden="false" customHeight="false" outlineLevel="0" collapsed="false">
      <c r="A8" s="17" t="str">
        <f aca="false">IF($B8="","",IF((IFERROR(INDEX(_RefTable!$A$2:$A$501,MATCH($B8,_RefTable!$C$2:$C$501,0)),IFERROR(INDEX(_MainTable!$A$2:$A$2001,MATCH($B8,_MainTable!$F$2:$F$2001,0)),IFERROR(INDEX('SC Change Orders'!$A$2:$A$501,MATCH($B8,'SC Change Orders'!$B$2:$B$501,0)),"(unknown vendor)"))))&amp;""="","—",(IFERROR(INDEX(_RefTable!$A$2:$A$501,MATCH($B8,_RefTable!$C$2:$C$501,0)),IFERROR(INDEX(_MainTable!$A$2:$A$2001,MATCH($B8,_MainTable!$F$2:$F$2001,0)),IFERROR(INDEX('SC Change Orders'!$A$2:$A$501,MATCH($B8,'SC Change Orders'!$B$2:$B$501,0)),"(unknown vendor)"))))))</f>
        <v>FMS INC</v>
      </c>
      <c r="B8" s="18" t="n">
        <f aca="false">IFERROR(INDEX('PO Index'!$B$5:$B$84,4),"")</f>
        <v>7896</v>
      </c>
      <c r="C8" s="17" t="str">
        <f aca="false">IF($B8="","",IF((IFERROR(INDEX(_RefTable!$B$2:$B$501,MATCH($B8,_RefTable!$C$2:$C$501,0))&amp;IF(COUNTIF(_RefTable!$C$2:$C$501,$B8)&gt;1," (+"&amp;COUNTIF(_RefTable!$C$2:$C$501,$B8)-1&amp;" more)",""),IFERROR(INDEX(_MainTable!$B$2:$B$2001,MATCH($B8,_MainTable!$F$2:$F$2001,0)),"")))&amp;""="","—",(IFERROR(INDEX(_RefTable!$B$2:$B$501,MATCH($B8,_RefTable!$C$2:$C$501,0))&amp;IF(COUNTIF(_RefTable!$C$2:$C$501,$B8)&gt;1," (+"&amp;COUNTIF(_RefTable!$C$2:$C$501,$B8)-1&amp;" more)",""),IFERROR(INDEX(_MainTable!$B$2:$B$2001,MATCH($B8,_MainTable!$F$2:$F$2001,0)),"")))))</f>
        <v>MV EBO</v>
      </c>
      <c r="D8" s="17" t="str">
        <f aca="false">IF($B8="","",IF((IFERROR(INDEX(_RefTable!$E$2:$E$501,MATCH($B8,_RefTable!$C$2:$C$501,0)),IFERROR(INDEX(_MainTable!$C$2:$C$2001,MATCH($B8,_MainTable!$F$2:$F$2001,0)),"")))&amp;""="","—",(IFERROR(INDEX(_RefTable!$E$2:$E$501,MATCH($B8,_RefTable!$C$2:$C$501,0)),IFERROR(INDEX(_MainTable!$C$2:$C$2001,MATCH($B8,_MainTable!$F$2:$F$2001,0)),"")))))</f>
        <v>Jake Reid</v>
      </c>
      <c r="E8" s="17" t="str">
        <f aca="false">IF($B8="","",IF((IFERROR(INDEX(_RefTable!$F$2:$F$501,MATCH($B8,_RefTable!$C$2:$C$501,0)),IFERROR(INDEX(_MainTable!$D$2:$D$2001,MATCH($B8,_MainTable!$F$2:$F$2001,0)),"")))&amp;""="","—",(IFERROR(INDEX(_RefTable!$F$2:$F$501,MATCH($B8,_RefTable!$C$2:$C$501,0)),IFERROR(INDEX(_MainTable!$D$2:$D$2001,MATCH($B8,_MainTable!$F$2:$F$2001,0)),"")))))</f>
        <v>Letisia Speelman</v>
      </c>
      <c r="F8" s="19" t="n">
        <f aca="false">IF($B8="","",IFERROR(_xlfn.MINIFS('SC Change Orders'!$E$2:$E$501,'SC Change Orders'!$B$2:$B$501,$B8,'SC Change Orders'!$C$2:$C$501,"&gt;="&amp;Controls!$C$5,'SC Change Orders'!$C$2:$C$501,"&lt;="&amp;Controls!$C$6),0))</f>
        <v>0</v>
      </c>
      <c r="G8" s="19" t="n">
        <f aca="false">IF($B8="","",SUMIFS('SC Change Orders'!$F$2:$F$501,'SC Change Orders'!$B$2:$B$501,$B8,'SC Change Orders'!$C$2:$C$501,"&gt;="&amp;Controls!$C$5,'SC Change Orders'!$C$2:$C$501,"&lt;="&amp;Controls!$C$6))</f>
        <v>0</v>
      </c>
      <c r="H8" s="19" t="n">
        <f aca="false">IF($B8="","",$F8+$G8)</f>
        <v>0</v>
      </c>
      <c r="I8" s="19" t="n">
        <f aca="false">IF($B8="","",SUMIFS(_MainTable!$K$2:$K$2001,_MainTable!$F$2:$F$2001,$B8,_MainTable!$G$2:$G$2001,"&gt;="&amp;Controls!$C$5,_MainTable!$G$2:$G$2001,"&lt;="&amp;Controls!$C$6))</f>
        <v>462.43</v>
      </c>
      <c r="J8" s="20" t="n">
        <f aca="false">IF($B8="","",IFERROR($I8/$H8,0))</f>
        <v>0</v>
      </c>
      <c r="K8" s="19" t="n">
        <f aca="false">IF($B8="","",$H8-$I8)</f>
        <v>-462.43</v>
      </c>
      <c r="L8" s="19" t="n">
        <f aca="false">IF($B8="","",IFERROR(SUMIFS(_MainTable!$K$2:$K$2001,_MainTable!$F$2:$F$2001,$B8,_MainTable!$G$2:$G$2001,"&gt;="&amp;Controls!$C$12,_MainTable!$G$2:$G$2001,"&lt;="&amp;EOMONTH(Controls!$C$7,0))/MIN(Controls!$C$9,Controls!$C$10),0))</f>
        <v>89.68</v>
      </c>
      <c r="M8" s="19" t="n">
        <f aca="false">IF($B8="","",$L8*Controls!$C$11)</f>
        <v>179.36</v>
      </c>
      <c r="N8" s="19" t="n">
        <f aca="false">IF($B8="","",$I8+$M8)</f>
        <v>641.79</v>
      </c>
      <c r="O8" s="20" t="n">
        <f aca="false">IF($B8="","",IFERROR($N8/$H8,0))</f>
        <v>0</v>
      </c>
      <c r="P8" s="19" t="n">
        <f aca="false">IF($B8="","",$H8-$N8)</f>
        <v>-641.79</v>
      </c>
      <c r="Q8" s="21" t="n">
        <f aca="false">IF($B8="","",IF($L8&lt;=0,"n/a",IFERROR($K8/$L8,"n/a")))</f>
        <v>-5.1564451382694</v>
      </c>
      <c r="R8" s="22" t="str">
        <f aca="false">IF($B8="","",IF(AND($H8=0,$I8=0),"⚪ No Activity",IF(AND($H8=0,COUNTIFS('SC Change Orders'!$B$2:$B$501,$B8,'SC Change Orders'!$C$2:$C$501,"&gt;="&amp;Controls!$C$5,'SC Change Orders'!$C$2:$C$501,"&lt;="&amp;Controls!$C$6)=0),"⚪ No Funding on File",IF($H8=0,"🔴 Unfunded Spend",IF($I8&gt;=$H8,"🔴 Over Budget",IF($N8&gt;$H8,"🔴 Projected Shortfall",IF($J8&gt;=Controls!$C$8,"🟡 Watch","🟢 On Track")))))))</f>
        <v>⚪ No Funding on File</v>
      </c>
    </row>
    <row r="9" customFormat="false" ht="15" hidden="false" customHeight="false" outlineLevel="0" collapsed="false">
      <c r="A9" s="17" t="str">
        <f aca="false">IF($B9="","",IF((IFERROR(INDEX(_RefTable!$A$2:$A$501,MATCH($B9,_RefTable!$C$2:$C$501,0)),IFERROR(INDEX(_MainTable!$A$2:$A$2001,MATCH($B9,_MainTable!$F$2:$F$2001,0)),IFERROR(INDEX('SC Change Orders'!$A$2:$A$501,MATCH($B9,'SC Change Orders'!$B$2:$B$501,0)),"(unknown vendor)"))))&amp;""="","—",(IFERROR(INDEX(_RefTable!$A$2:$A$501,MATCH($B9,_RefTable!$C$2:$C$501,0)),IFERROR(INDEX(_MainTable!$A$2:$A$2001,MATCH($B9,_MainTable!$F$2:$F$2001,0)),IFERROR(INDEX('SC Change Orders'!$A$2:$A$501,MATCH($B9,'SC Change Orders'!$B$2:$B$501,0)),"(unknown vendor)"))))))</f>
        <v>FORTE LLC</v>
      </c>
      <c r="B9" s="18" t="n">
        <f aca="false">IFERROR(INDEX('PO Index'!$B$5:$B$84,5),"")</f>
        <v>7910</v>
      </c>
      <c r="C9" s="17" t="str">
        <f aca="false">IF($B9="","",IF((IFERROR(INDEX(_RefTable!$B$2:$B$501,MATCH($B9,_RefTable!$C$2:$C$501,0))&amp;IF(COUNTIF(_RefTable!$C$2:$C$501,$B9)&gt;1," (+"&amp;COUNTIF(_RefTable!$C$2:$C$501,$B9)-1&amp;" more)",""),IFERROR(INDEX(_MainTable!$B$2:$B$2001,MATCH($B9,_MainTable!$F$2:$F$2001,0)),"")))&amp;""="","—",(IFERROR(INDEX(_RefTable!$B$2:$B$501,MATCH($B9,_RefTable!$C$2:$C$501,0))&amp;IF(COUNTIF(_RefTable!$C$2:$C$501,$B9)&gt;1," (+"&amp;COUNTIF(_RefTable!$C$2:$C$501,$B9)-1&amp;" more)",""),IFERROR(INDEX(_MainTable!$B$2:$B$2001,MATCH($B9,_MainTable!$F$2:$F$2001,0)),"")))))</f>
        <v>Probate Finder</v>
      </c>
      <c r="D9" s="17" t="str">
        <f aca="false">IF($B9="","",IF((IFERROR(INDEX(_RefTable!$E$2:$E$501,MATCH($B9,_RefTable!$C$2:$C$501,0)),IFERROR(INDEX(_MainTable!$C$2:$C$2001,MATCH($B9,_MainTable!$F$2:$F$2001,0)),"")))&amp;""="","—",(IFERROR(INDEX(_RefTable!$E$2:$E$501,MATCH($B9,_RefTable!$C$2:$C$501,0)),IFERROR(INDEX(_MainTable!$C$2:$C$2001,MATCH($B9,_MainTable!$F$2:$F$2001,0)),"")))))</f>
        <v>Jake Reid</v>
      </c>
      <c r="E9" s="17" t="str">
        <f aca="false">IF($B9="","",IF((IFERROR(INDEX(_RefTable!$F$2:$F$501,MATCH($B9,_RefTable!$C$2:$C$501,0)),IFERROR(INDEX(_MainTable!$D$2:$D$2001,MATCH($B9,_MainTable!$F$2:$F$2001,0)),"")))&amp;""="","—",(IFERROR(INDEX(_RefTable!$F$2:$F$501,MATCH($B9,_RefTable!$C$2:$C$501,0)),IFERROR(INDEX(_MainTable!$D$2:$D$2001,MATCH($B9,_MainTable!$F$2:$F$2001,0)),"")))))</f>
        <v>Letisia Speelman</v>
      </c>
      <c r="F9" s="19" t="n">
        <f aca="false">IF($B9="","",IFERROR(_xlfn.MINIFS('SC Change Orders'!$E$2:$E$501,'SC Change Orders'!$B$2:$B$501,$B9,'SC Change Orders'!$C$2:$C$501,"&gt;="&amp;Controls!$C$5,'SC Change Orders'!$C$2:$C$501,"&lt;="&amp;Controls!$C$6),0))</f>
        <v>0</v>
      </c>
      <c r="G9" s="19" t="n">
        <f aca="false">IF($B9="","",SUMIFS('SC Change Orders'!$F$2:$F$501,'SC Change Orders'!$B$2:$B$501,$B9,'SC Change Orders'!$C$2:$C$501,"&gt;="&amp;Controls!$C$5,'SC Change Orders'!$C$2:$C$501,"&lt;="&amp;Controls!$C$6))</f>
        <v>0</v>
      </c>
      <c r="H9" s="19" t="n">
        <f aca="false">IF($B9="","",$F9+$G9)</f>
        <v>0</v>
      </c>
      <c r="I9" s="19" t="n">
        <f aca="false">IF($B9="","",SUMIFS(_MainTable!$K$2:$K$2001,_MainTable!$F$2:$F$2001,$B9,_MainTable!$G$2:$G$2001,"&gt;="&amp;Controls!$C$5,_MainTable!$G$2:$G$2001,"&lt;="&amp;Controls!$C$6))</f>
        <v>18414.44</v>
      </c>
      <c r="J9" s="20" t="n">
        <f aca="false">IF($B9="","",IFERROR($I9/$H9,0))</f>
        <v>0</v>
      </c>
      <c r="K9" s="19" t="n">
        <f aca="false">IF($B9="","",$H9-$I9)</f>
        <v>-18414.44</v>
      </c>
      <c r="L9" s="19" t="n">
        <f aca="false">IF($B9="","",IFERROR(SUMIFS(_MainTable!$K$2:$K$2001,_MainTable!$F$2:$F$2001,$B9,_MainTable!$G$2:$G$2001,"&gt;="&amp;Controls!$C$12,_MainTable!$G$2:$G$2001,"&lt;="&amp;EOMONTH(Controls!$C$7,0))/MIN(Controls!$C$9,Controls!$C$10),0))</f>
        <v>2274.28333333333</v>
      </c>
      <c r="M9" s="19" t="n">
        <f aca="false">IF($B9="","",$L9*Controls!$C$11)</f>
        <v>4548.56666666667</v>
      </c>
      <c r="N9" s="19" t="n">
        <f aca="false">IF($B9="","",$I9+$M9)</f>
        <v>22963.0066666667</v>
      </c>
      <c r="O9" s="20" t="n">
        <f aca="false">IF($B9="","",IFERROR($N9/$H9,0))</f>
        <v>0</v>
      </c>
      <c r="P9" s="19" t="n">
        <f aca="false">IF($B9="","",$H9-$N9)</f>
        <v>-22963.0066666667</v>
      </c>
      <c r="Q9" s="21" t="n">
        <f aca="false">IF($B9="","",IF($L9&lt;=0,"n/a",IFERROR($K9/$L9,"n/a")))</f>
        <v>-8.09680998409755</v>
      </c>
      <c r="R9" s="22" t="str">
        <f aca="false">IF($B9="","",IF(AND($H9=0,$I9=0),"⚪ No Activity",IF(AND($H9=0,COUNTIFS('SC Change Orders'!$B$2:$B$501,$B9,'SC Change Orders'!$C$2:$C$501,"&gt;="&amp;Controls!$C$5,'SC Change Orders'!$C$2:$C$501,"&lt;="&amp;Controls!$C$6)=0),"⚪ No Funding on File",IF($H9=0,"🔴 Unfunded Spend",IF($I9&gt;=$H9,"🔴 Over Budget",IF($N9&gt;$H9,"🔴 Projected Shortfall",IF($J9&gt;=Controls!$C$8,"🟡 Watch","🟢 On Track")))))))</f>
        <v>⚪ No Funding on File</v>
      </c>
    </row>
    <row r="10" customFormat="false" ht="15" hidden="false" customHeight="false" outlineLevel="0" collapsed="false">
      <c r="A10" s="17" t="str">
        <f aca="false">IF($B10="","",IF((IFERROR(INDEX(_RefTable!$A$2:$A$501,MATCH($B10,_RefTable!$C$2:$C$501,0)),IFERROR(INDEX(_MainTable!$A$2:$A$2001,MATCH($B10,_MainTable!$F$2:$F$2001,0)),IFERROR(INDEX('SC Change Orders'!$A$2:$A$501,MATCH($B10,'SC Change Orders'!$B$2:$B$501,0)),"(unknown vendor)"))))&amp;""="","—",(IFERROR(INDEX(_RefTable!$A$2:$A$501,MATCH($B10,_RefTable!$C$2:$C$501,0)),IFERROR(INDEX(_MainTable!$A$2:$A$2001,MATCH($B10,_MainTable!$F$2:$F$2001,0)),IFERROR(INDEX('SC Change Orders'!$A$2:$A$501,MATCH($B10,'SC Change Orders'!$B$2:$B$501,0)),"(unknown vendor)"))))))</f>
        <v>HAWLEY TROXELL ENNIS HAWLEY</v>
      </c>
      <c r="B10" s="18" t="n">
        <f aca="false">IFERROR(INDEX('PO Index'!$B$5:$B$84,6),"")</f>
        <v>7911</v>
      </c>
      <c r="C10" s="17" t="str">
        <f aca="false">IF($B10="","",IF((IFERROR(INDEX(_RefTable!$B$2:$B$501,MATCH($B10,_RefTable!$C$2:$C$501,0))&amp;IF(COUNTIF(_RefTable!$C$2:$C$501,$B10)&gt;1," (+"&amp;COUNTIF(_RefTable!$C$2:$C$501,$B10)-1&amp;" more)",""),IFERROR(INDEX(_MainTable!$B$2:$B$2001,MATCH($B10,_MainTable!$F$2:$F$2001,0)),"")))&amp;""="","—",(IFERROR(INDEX(_RefTable!$B$2:$B$501,MATCH($B10,_RefTable!$C$2:$C$501,0))&amp;IF(COUNTIF(_RefTable!$C$2:$C$501,$B10)&gt;1," (+"&amp;COUNTIF(_RefTable!$C$2:$C$501,$B10)-1&amp;" more)",""),IFERROR(INDEX(_MainTable!$B$2:$B$2001,MATCH($B10,_MainTable!$F$2:$F$2001,0)),"")))))</f>
        <v>Estate/Probate (+1 more)</v>
      </c>
      <c r="D10" s="17" t="str">
        <f aca="false">IF($B10="","",IF((IFERROR(INDEX(_RefTable!$E$2:$E$501,MATCH($B10,_RefTable!$C$2:$C$501,0)),IFERROR(INDEX(_MainTable!$C$2:$C$2001,MATCH($B10,_MainTable!$F$2:$F$2001,0)),"")))&amp;""="","—",(IFERROR(INDEX(_RefTable!$E$2:$E$501,MATCH($B10,_RefTable!$C$2:$C$501,0)),IFERROR(INDEX(_MainTable!$C$2:$C$2001,MATCH($B10,_MainTable!$F$2:$F$2001,0)),"")))))</f>
        <v>Jake Reid</v>
      </c>
      <c r="E10" s="17" t="str">
        <f aca="false">IF($B10="","",IF((IFERROR(INDEX(_RefTable!$F$2:$F$501,MATCH($B10,_RefTable!$C$2:$C$501,0)),IFERROR(INDEX(_MainTable!$D$2:$D$2001,MATCH($B10,_MainTable!$F$2:$F$2001,0)),"")))&amp;""="","—",(IFERROR(INDEX(_RefTable!$F$2:$F$501,MATCH($B10,_RefTable!$C$2:$C$501,0)),IFERROR(INDEX(_MainTable!$D$2:$D$2001,MATCH($B10,_MainTable!$F$2:$F$2001,0)),"")))))</f>
        <v>Letisia Speelman</v>
      </c>
      <c r="F10" s="19" t="n">
        <f aca="false">IF($B10="","",IFERROR(_xlfn.MINIFS('SC Change Orders'!$E$2:$E$501,'SC Change Orders'!$B$2:$B$501,$B10,'SC Change Orders'!$C$2:$C$501,"&gt;="&amp;Controls!$C$5,'SC Change Orders'!$C$2:$C$501,"&lt;="&amp;Controls!$C$6),0))</f>
        <v>0</v>
      </c>
      <c r="G10" s="19" t="n">
        <f aca="false">IF($B10="","",SUMIFS('SC Change Orders'!$F$2:$F$501,'SC Change Orders'!$B$2:$B$501,$B10,'SC Change Orders'!$C$2:$C$501,"&gt;="&amp;Controls!$C$5,'SC Change Orders'!$C$2:$C$501,"&lt;="&amp;Controls!$C$6))</f>
        <v>0</v>
      </c>
      <c r="H10" s="19" t="n">
        <f aca="false">IF($B10="","",$F10+$G10)</f>
        <v>0</v>
      </c>
      <c r="I10" s="19" t="n">
        <f aca="false">IF($B10="","",SUMIFS(_MainTable!$K$2:$K$2001,_MainTable!$F$2:$F$2001,$B10,_MainTable!$G$2:$G$2001,"&gt;="&amp;Controls!$C$5,_MainTable!$G$2:$G$2001,"&lt;="&amp;Controls!$C$6))</f>
        <v>7945.44</v>
      </c>
      <c r="J10" s="20" t="n">
        <f aca="false">IF($B10="","",IFERROR($I10/$H10,0))</f>
        <v>0</v>
      </c>
      <c r="K10" s="19" t="n">
        <f aca="false">IF($B10="","",$H10-$I10)</f>
        <v>-7945.44</v>
      </c>
      <c r="L10" s="19" t="n">
        <f aca="false">IF($B10="","",IFERROR(SUMIFS(_MainTable!$K$2:$K$2001,_MainTable!$F$2:$F$2001,$B10,_MainTable!$G$2:$G$2001,"&gt;="&amp;Controls!$C$12,_MainTable!$G$2:$G$2001,"&lt;="&amp;EOMONTH(Controls!$C$7,0))/MIN(Controls!$C$9,Controls!$C$10),0))</f>
        <v>2466.16666666667</v>
      </c>
      <c r="M10" s="19" t="n">
        <f aca="false">IF($B10="","",$L10*Controls!$C$11)</f>
        <v>4932.33333333333</v>
      </c>
      <c r="N10" s="19" t="n">
        <f aca="false">IF($B10="","",$I10+$M10)</f>
        <v>12877.7733333333</v>
      </c>
      <c r="O10" s="20" t="n">
        <f aca="false">IF($B10="","",IFERROR($N10/$H10,0))</f>
        <v>0</v>
      </c>
      <c r="P10" s="19" t="n">
        <f aca="false">IF($B10="","",$H10-$N10)</f>
        <v>-12877.7733333333</v>
      </c>
      <c r="Q10" s="21" t="n">
        <f aca="false">IF($B10="","",IF($L10&lt;=0,"n/a",IFERROR($K10/$L10,"n/a")))</f>
        <v>-3.22177738730824</v>
      </c>
      <c r="R10" s="22" t="str">
        <f aca="false">IF($B10="","",IF(AND($H10=0,$I10=0),"⚪ No Activity",IF(AND($H10=0,COUNTIFS('SC Change Orders'!$B$2:$B$501,$B10,'SC Change Orders'!$C$2:$C$501,"&gt;="&amp;Controls!$C$5,'SC Change Orders'!$C$2:$C$501,"&lt;="&amp;Controls!$C$6)=0),"⚪ No Funding on File",IF($H10=0,"🔴 Unfunded Spend",IF($I10&gt;=$H10,"🔴 Over Budget",IF($N10&gt;$H10,"🔴 Projected Shortfall",IF($J10&gt;=Controls!$C$8,"🟡 Watch","🟢 On Track")))))))</f>
        <v>⚪ No Funding on File</v>
      </c>
    </row>
    <row r="11" customFormat="false" ht="15" hidden="false" customHeight="false" outlineLevel="0" collapsed="false">
      <c r="A11" s="17" t="str">
        <f aca="false">IF($B11="","",IF((IFERROR(INDEX(_RefTable!$A$2:$A$501,MATCH($B11,_RefTable!$C$2:$C$501,0)),IFERROR(INDEX(_MainTable!$A$2:$A$2001,MATCH($B11,_MainTable!$F$2:$F$2001,0)),IFERROR(INDEX('SC Change Orders'!$A$2:$A$501,MATCH($B11,'SC Change Orders'!$B$2:$B$501,0)),"(unknown vendor)"))))&amp;""="","—",(IFERROR(INDEX(_RefTable!$A$2:$A$501,MATCH($B11,_RefTable!$C$2:$C$501,0)),IFERROR(INDEX(_MainTable!$A$2:$A$2001,MATCH($B11,_MainTable!$F$2:$F$2001,0)),IFERROR(INDEX('SC Change Orders'!$A$2:$A$501,MATCH($B11,'SC Change Orders'!$B$2:$B$501,0)),"(unknown vendor)"))))))</f>
        <v>ETYON</v>
      </c>
      <c r="B11" s="18" t="n">
        <f aca="false">IFERROR(INDEX('PO Index'!$B$5:$B$84,7),"")</f>
        <v>7927</v>
      </c>
      <c r="C11" s="17" t="str">
        <f aca="false">IF($B11="","",IF((IFERROR(INDEX(_RefTable!$B$2:$B$501,MATCH($B11,_RefTable!$C$2:$C$501,0))&amp;IF(COUNTIF(_RefTable!$C$2:$C$501,$B11)&gt;1," (+"&amp;COUNTIF(_RefTable!$C$2:$C$501,$B11)-1&amp;" more)",""),IFERROR(INDEX(_MainTable!$B$2:$B$2001,MATCH($B11,_MainTable!$F$2:$F$2001,0)),"")))&amp;""="","—",(IFERROR(INDEX(_RefTable!$B$2:$B$501,MATCH($B11,_RefTable!$C$2:$C$501,0))&amp;IF(COUNTIF(_RefTable!$C$2:$C$501,$B11)&gt;1," (+"&amp;COUNTIF(_RefTable!$C$2:$C$501,$B11)-1&amp;" more)",""),IFERROR(INDEX(_MainTable!$B$2:$B$2001,MATCH($B11,_MainTable!$F$2:$F$2001,0)),"")))))</f>
        <v>Analytics</v>
      </c>
      <c r="D11" s="17" t="str">
        <f aca="false">IF($B11="","",IF((IFERROR(INDEX(_RefTable!$E$2:$E$501,MATCH($B11,_RefTable!$C$2:$C$501,0)),IFERROR(INDEX(_MainTable!$C$2:$C$2001,MATCH($B11,_MainTable!$F$2:$F$2001,0)),"")))&amp;""="","—",(IFERROR(INDEX(_RefTable!$E$2:$E$501,MATCH($B11,_RefTable!$C$2:$C$501,0)),IFERROR(INDEX(_MainTable!$C$2:$C$2001,MATCH($B11,_MainTable!$F$2:$F$2001,0)),"")))))</f>
        <v>Matt Morishita</v>
      </c>
      <c r="E11" s="17" t="str">
        <f aca="false">IF($B11="","",IF((IFERROR(INDEX(_RefTable!$F$2:$F$501,MATCH($B11,_RefTable!$C$2:$C$501,0)),IFERROR(INDEX(_MainTable!$D$2:$D$2001,MATCH($B11,_MainTable!$F$2:$F$2001,0)),"")))&amp;""="","—",(IFERROR(INDEX(_RefTable!$F$2:$F$501,MATCH($B11,_RefTable!$C$2:$C$501,0)),IFERROR(INDEX(_MainTable!$D$2:$D$2001,MATCH($B11,_MainTable!$F$2:$F$2001,0)),"")))))</f>
        <v>Amanda Leroue</v>
      </c>
      <c r="F11" s="19" t="n">
        <f aca="false">IF($B11="","",IFERROR(_xlfn.MINIFS('SC Change Orders'!$E$2:$E$501,'SC Change Orders'!$B$2:$B$501,$B11,'SC Change Orders'!$C$2:$C$501,"&gt;="&amp;Controls!$C$5,'SC Change Orders'!$C$2:$C$501,"&lt;="&amp;Controls!$C$6),0))</f>
        <v>0</v>
      </c>
      <c r="G11" s="19" t="n">
        <f aca="false">IF($B11="","",SUMIFS('SC Change Orders'!$F$2:$F$501,'SC Change Orders'!$B$2:$B$501,$B11,'SC Change Orders'!$C$2:$C$501,"&gt;="&amp;Controls!$C$5,'SC Change Orders'!$C$2:$C$501,"&lt;="&amp;Controls!$C$6))</f>
        <v>0</v>
      </c>
      <c r="H11" s="19" t="n">
        <f aca="false">IF($B11="","",$F11+$G11)</f>
        <v>0</v>
      </c>
      <c r="I11" s="19" t="n">
        <f aca="false">IF($B11="","",SUMIFS(_MainTable!$K$2:$K$2001,_MainTable!$F$2:$F$2001,$B11,_MainTable!$G$2:$G$2001,"&gt;="&amp;Controls!$C$5,_MainTable!$G$2:$G$2001,"&lt;="&amp;Controls!$C$6))</f>
        <v>39026</v>
      </c>
      <c r="J11" s="20" t="n">
        <f aca="false">IF($B11="","",IFERROR($I11/$H11,0))</f>
        <v>0</v>
      </c>
      <c r="K11" s="19" t="n">
        <f aca="false">IF($B11="","",$H11-$I11)</f>
        <v>-39026</v>
      </c>
      <c r="L11" s="19" t="n">
        <f aca="false">IF($B11="","",IFERROR(SUMIFS(_MainTable!$K$2:$K$2001,_MainTable!$F$2:$F$2001,$B11,_MainTable!$G$2:$G$2001,"&gt;="&amp;Controls!$C$12,_MainTable!$G$2:$G$2001,"&lt;="&amp;EOMONTH(Controls!$C$7,0))/MIN(Controls!$C$9,Controls!$C$10),0))</f>
        <v>9756.5</v>
      </c>
      <c r="M11" s="19" t="n">
        <f aca="false">IF($B11="","",$L11*Controls!$C$11)</f>
        <v>19513</v>
      </c>
      <c r="N11" s="19" t="n">
        <f aca="false">IF($B11="","",$I11+$M11)</f>
        <v>58539</v>
      </c>
      <c r="O11" s="20" t="n">
        <f aca="false">IF($B11="","",IFERROR($N11/$H11,0))</f>
        <v>0</v>
      </c>
      <c r="P11" s="19" t="n">
        <f aca="false">IF($B11="","",$H11-$N11)</f>
        <v>-58539</v>
      </c>
      <c r="Q11" s="21" t="n">
        <f aca="false">IF($B11="","",IF($L11&lt;=0,"n/a",IFERROR($K11/$L11,"n/a")))</f>
        <v>-4</v>
      </c>
      <c r="R11" s="22" t="str">
        <f aca="false">IF($B11="","",IF(AND($H11=0,$I11=0),"⚪ No Activity",IF(AND($H11=0,COUNTIFS('SC Change Orders'!$B$2:$B$501,$B11,'SC Change Orders'!$C$2:$C$501,"&gt;="&amp;Controls!$C$5,'SC Change Orders'!$C$2:$C$501,"&lt;="&amp;Controls!$C$6)=0),"⚪ No Funding on File",IF($H11=0,"🔴 Unfunded Spend",IF($I11&gt;=$H11,"🔴 Over Budget",IF($N11&gt;$H11,"🔴 Projected Shortfall",IF($J11&gt;=Controls!$C$8,"🟡 Watch","🟢 On Track")))))))</f>
        <v>⚪ No Funding on File</v>
      </c>
    </row>
    <row r="12" customFormat="false" ht="15" hidden="false" customHeight="false" outlineLevel="0" collapsed="false">
      <c r="A12" s="17" t="str">
        <f aca="false">IF($B12="","",IF((IFERROR(INDEX(_RefTable!$A$2:$A$501,MATCH($B12,_RefTable!$C$2:$C$501,0)),IFERROR(INDEX(_MainTable!$A$2:$A$2001,MATCH($B12,_MainTable!$F$2:$F$2001,0)),IFERROR(INDEX('SC Change Orders'!$A$2:$A$501,MATCH($B12,'SC Change Orders'!$B$2:$B$501,0)),"(unknown vendor)"))))&amp;""="","—",(IFERROR(INDEX(_RefTable!$A$2:$A$501,MATCH($B12,_RefTable!$C$2:$C$501,0)),IFERROR(INDEX(_MainTable!$A$2:$A$2001,MATCH($B12,_MainTable!$F$2:$F$2001,0)),IFERROR(INDEX('SC Change Orders'!$A$2:$A$501,MATCH($B12,'SC Change Orders'!$B$2:$B$501,0)),"(unknown vendor)"))))))</f>
        <v>HEALTHFUSE LLC</v>
      </c>
      <c r="B12" s="18" t="n">
        <f aca="false">IFERROR(INDEX('PO Index'!$B$5:$B$84,8),"")</f>
        <v>8438</v>
      </c>
      <c r="C12" s="17" t="str">
        <f aca="false">IF($B12="","",IF((IFERROR(INDEX(_RefTable!$B$2:$B$501,MATCH($B12,_RefTable!$C$2:$C$501,0))&amp;IF(COUNTIF(_RefTable!$C$2:$C$501,$B12)&gt;1," (+"&amp;COUNTIF(_RefTable!$C$2:$C$501,$B12)-1&amp;" more)",""),IFERROR(INDEX(_MainTable!$B$2:$B$2001,MATCH($B12,_MainTable!$F$2:$F$2001,0)),"")))&amp;""="","—",(IFERROR(INDEX(_RefTable!$B$2:$B$501,MATCH($B12,_RefTable!$C$2:$C$501,0))&amp;IF(COUNTIF(_RefTable!$C$2:$C$501,$B12)&gt;1," (+"&amp;COUNTIF(_RefTable!$C$2:$C$501,$B12)-1&amp;" more)",""),IFERROR(INDEX(_MainTable!$B$2:$B$2001,MATCH($B12,_MainTable!$F$2:$F$2001,0)),"")))))</f>
        <v>Consultation</v>
      </c>
      <c r="D12" s="17" t="str">
        <f aca="false">IF($B12="","",IF((IFERROR(INDEX(_RefTable!$E$2:$E$501,MATCH($B12,_RefTable!$C$2:$C$501,0)),IFERROR(INDEX(_MainTable!$C$2:$C$2001,MATCH($B12,_MainTable!$F$2:$F$2001,0)),"")))&amp;""="","—",(IFERROR(INDEX(_RefTable!$E$2:$E$501,MATCH($B12,_RefTable!$C$2:$C$501,0)),IFERROR(INDEX(_MainTable!$C$2:$C$2001,MATCH($B12,_MainTable!$F$2:$F$2001,0)),"")))))</f>
        <v>Adam Vardaman</v>
      </c>
      <c r="E12" s="17" t="str">
        <f aca="false">IF($B12="","",IF((IFERROR(INDEX(_RefTable!$F$2:$F$501,MATCH($B12,_RefTable!$C$2:$C$501,0)),IFERROR(INDEX(_MainTable!$D$2:$D$2001,MATCH($B12,_MainTable!$F$2:$F$2001,0)),"")))&amp;""="","—",(IFERROR(INDEX(_RefTable!$F$2:$F$501,MATCH($B12,_RefTable!$C$2:$C$501,0)),IFERROR(INDEX(_MainTable!$D$2:$D$2001,MATCH($B12,_MainTable!$F$2:$F$2001,0)),"")))))</f>
        <v>—</v>
      </c>
      <c r="F12" s="19" t="n">
        <f aca="false">IF($B12="","",IFERROR(_xlfn.MINIFS('SC Change Orders'!$E$2:$E$501,'SC Change Orders'!$B$2:$B$501,$B12,'SC Change Orders'!$C$2:$C$501,"&gt;="&amp;Controls!$C$5,'SC Change Orders'!$C$2:$C$501,"&lt;="&amp;Controls!$C$6),0))</f>
        <v>0</v>
      </c>
      <c r="G12" s="19" t="n">
        <f aca="false">IF($B12="","",SUMIFS('SC Change Orders'!$F$2:$F$501,'SC Change Orders'!$B$2:$B$501,$B12,'SC Change Orders'!$C$2:$C$501,"&gt;="&amp;Controls!$C$5,'SC Change Orders'!$C$2:$C$501,"&lt;="&amp;Controls!$C$6))</f>
        <v>0</v>
      </c>
      <c r="H12" s="19" t="n">
        <f aca="false">IF($B12="","",$F12+$G12)</f>
        <v>0</v>
      </c>
      <c r="I12" s="19" t="n">
        <f aca="false">IF($B12="","",SUMIFS(_MainTable!$K$2:$K$2001,_MainTable!$F$2:$F$2001,$B12,_MainTable!$G$2:$G$2001,"&gt;="&amp;Controls!$C$5,_MainTable!$G$2:$G$2001,"&lt;="&amp;Controls!$C$6))</f>
        <v>218875</v>
      </c>
      <c r="J12" s="20" t="n">
        <f aca="false">IF($B12="","",IFERROR($I12/$H12,0))</f>
        <v>0</v>
      </c>
      <c r="K12" s="19" t="n">
        <f aca="false">IF($B12="","",$H12-$I12)</f>
        <v>-218875</v>
      </c>
      <c r="L12" s="19" t="n">
        <f aca="false">IF($B12="","",IFERROR(SUMIFS(_MainTable!$K$2:$K$2001,_MainTable!$F$2:$F$2001,$B12,_MainTable!$G$2:$G$2001,"&gt;="&amp;Controls!$C$12,_MainTable!$G$2:$G$2001,"&lt;="&amp;EOMONTH(Controls!$C$7,0))/MIN(Controls!$C$9,Controls!$C$10),0))</f>
        <v>43775</v>
      </c>
      <c r="M12" s="19" t="n">
        <f aca="false">IF($B12="","",$L12*Controls!$C$11)</f>
        <v>87550</v>
      </c>
      <c r="N12" s="19" t="n">
        <f aca="false">IF($B12="","",$I12+$M12)</f>
        <v>306425</v>
      </c>
      <c r="O12" s="20" t="n">
        <f aca="false">IF($B12="","",IFERROR($N12/$H12,0))</f>
        <v>0</v>
      </c>
      <c r="P12" s="19" t="n">
        <f aca="false">IF($B12="","",$H12-$N12)</f>
        <v>-306425</v>
      </c>
      <c r="Q12" s="21" t="n">
        <f aca="false">IF($B12="","",IF($L12&lt;=0,"n/a",IFERROR($K12/$L12,"n/a")))</f>
        <v>-5</v>
      </c>
      <c r="R12" s="22" t="str">
        <f aca="false">IF($B12="","",IF(AND($H12=0,$I12=0),"⚪ No Activity",IF(AND($H12=0,COUNTIFS('SC Change Orders'!$B$2:$B$501,$B12,'SC Change Orders'!$C$2:$C$501,"&gt;="&amp;Controls!$C$5,'SC Change Orders'!$C$2:$C$501,"&lt;="&amp;Controls!$C$6)=0),"⚪ No Funding on File",IF($H12=0,"🔴 Unfunded Spend",IF($I12&gt;=$H12,"🔴 Over Budget",IF($N12&gt;$H12,"🔴 Projected Shortfall",IF($J12&gt;=Controls!$C$8,"🟡 Watch","🟢 On Track")))))))</f>
        <v>⚪ No Funding on File</v>
      </c>
    </row>
    <row r="13" customFormat="false" ht="15" hidden="false" customHeight="false" outlineLevel="0" collapsed="false">
      <c r="A13" s="17" t="str">
        <f aca="false">IF($B13="","",IF((IFERROR(INDEX(_RefTable!$A$2:$A$501,MATCH($B13,_RefTable!$C$2:$C$501,0)),IFERROR(INDEX(_MainTable!$A$2:$A$2001,MATCH($B13,_MainTable!$F$2:$F$2001,0)),IFERROR(INDEX('SC Change Orders'!$A$2:$A$501,MATCH($B13,'SC Change Orders'!$B$2:$B$501,0)),"(unknown vendor)"))))&amp;""="","—",(IFERROR(INDEX(_RefTable!$A$2:$A$501,MATCH($B13,_RefTable!$C$2:$C$501,0)),IFERROR(INDEX(_MainTable!$A$2:$A$2001,MATCH($B13,_MainTable!$F$2:$F$2001,0)),IFERROR(INDEX('SC Change Orders'!$A$2:$A$501,MATCH($B13,'SC Change Orders'!$B$2:$B$501,0)),"(unknown vendor)"))))))</f>
        <v>CLOUDMED</v>
      </c>
      <c r="B13" s="18" t="n">
        <f aca="false">IFERROR(INDEX('PO Index'!$B$5:$B$84,9),"")</f>
        <v>8658</v>
      </c>
      <c r="C13" s="17" t="str">
        <f aca="false">IF($B13="","",IF((IFERROR(INDEX(_RefTable!$B$2:$B$501,MATCH($B13,_RefTable!$C$2:$C$501,0))&amp;IF(COUNTIF(_RefTable!$C$2:$C$501,$B13)&gt;1," (+"&amp;COUNTIF(_RefTable!$C$2:$C$501,$B13)-1&amp;" more)",""),IFERROR(INDEX(_MainTable!$B$2:$B$2001,MATCH($B13,_MainTable!$F$2:$F$2001,0)),"")))&amp;""="","—",(IFERROR(INDEX(_RefTable!$B$2:$B$501,MATCH($B13,_RefTable!$C$2:$C$501,0))&amp;IF(COUNTIF(_RefTable!$C$2:$C$501,$B13)&gt;1," (+"&amp;COUNTIF(_RefTable!$C$2:$C$501,$B13)-1&amp;" more)",""),IFERROR(INDEX(_MainTable!$B$2:$B$2001,MATCH($B13,_MainTable!$F$2:$F$2001,0)),"")))))</f>
        <v>Charge Capture</v>
      </c>
      <c r="D13" s="17" t="str">
        <f aca="false">IF($B13="","",IF((IFERROR(INDEX(_RefTable!$E$2:$E$501,MATCH($B13,_RefTable!$C$2:$C$501,0)),IFERROR(INDEX(_MainTable!$C$2:$C$2001,MATCH($B13,_MainTable!$F$2:$F$2001,0)),"")))&amp;""="","—",(IFERROR(INDEX(_RefTable!$E$2:$E$501,MATCH($B13,_RefTable!$C$2:$C$501,0)),IFERROR(INDEX(_MainTable!$C$2:$C$2001,MATCH($B13,_MainTable!$F$2:$F$2001,0)),"")))))</f>
        <v>Sona Buchanan</v>
      </c>
      <c r="E13" s="17" t="str">
        <f aca="false">IF($B13="","",IF((IFERROR(INDEX(_RefTable!$F$2:$F$501,MATCH($B13,_RefTable!$C$2:$C$501,0)),IFERROR(INDEX(_MainTable!$D$2:$D$2001,MATCH($B13,_MainTable!$F$2:$F$2001,0)),"")))&amp;""="","—",(IFERROR(INDEX(_RefTable!$F$2:$F$501,MATCH($B13,_RefTable!$C$2:$C$501,0)),IFERROR(INDEX(_MainTable!$D$2:$D$2001,MATCH($B13,_MainTable!$F$2:$F$2001,0)),"")))))</f>
        <v>Heather Geile</v>
      </c>
      <c r="F13" s="19" t="n">
        <f aca="false">IF($B13="","",IFERROR(_xlfn.MINIFS('SC Change Orders'!$E$2:$E$501,'SC Change Orders'!$B$2:$B$501,$B13,'SC Change Orders'!$C$2:$C$501,"&gt;="&amp;Controls!$C$5,'SC Change Orders'!$C$2:$C$501,"&lt;="&amp;Controls!$C$6),0))</f>
        <v>250000</v>
      </c>
      <c r="G13" s="19" t="n">
        <f aca="false">IF($B13="","",SUMIFS('SC Change Orders'!$F$2:$F$501,'SC Change Orders'!$B$2:$B$501,$B13,'SC Change Orders'!$C$2:$C$501,"&gt;="&amp;Controls!$C$5,'SC Change Orders'!$C$2:$C$501,"&lt;="&amp;Controls!$C$6))</f>
        <v>190000</v>
      </c>
      <c r="H13" s="19" t="n">
        <f aca="false">IF($B13="","",$F13+$G13)</f>
        <v>440000</v>
      </c>
      <c r="I13" s="19" t="n">
        <f aca="false">IF($B13="","",SUMIFS(_MainTable!$K$2:$K$2001,_MainTable!$F$2:$F$2001,$B13,_MainTable!$G$2:$G$2001,"&gt;="&amp;Controls!$C$5,_MainTable!$G$2:$G$2001,"&lt;="&amp;Controls!$C$6))</f>
        <v>80970.97</v>
      </c>
      <c r="J13" s="20" t="n">
        <f aca="false">IF($B13="","",IFERROR($I13/$H13,0))</f>
        <v>0.184024931818182</v>
      </c>
      <c r="K13" s="19" t="n">
        <f aca="false">IF($B13="","",$H13-$I13)</f>
        <v>359029.03</v>
      </c>
      <c r="L13" s="19" t="n">
        <f aca="false">IF($B13="","",IFERROR(SUMIFS(_MainTable!$K$2:$K$2001,_MainTable!$F$2:$F$2001,$B13,_MainTable!$G$2:$G$2001,"&gt;="&amp;Controls!$C$12,_MainTable!$G$2:$G$2001,"&lt;="&amp;EOMONTH(Controls!$C$7,0))/MIN(Controls!$C$9,Controls!$C$10),0))</f>
        <v>16519.4433333333</v>
      </c>
      <c r="M13" s="19" t="n">
        <f aca="false">IF($B13="","",$L13*Controls!$C$11)</f>
        <v>33038.8866666667</v>
      </c>
      <c r="N13" s="19" t="n">
        <f aca="false">IF($B13="","",$I13+$M13)</f>
        <v>114009.856666667</v>
      </c>
      <c r="O13" s="20" t="n">
        <f aca="false">IF($B13="","",IFERROR($N13/$H13,0))</f>
        <v>0.259113310606061</v>
      </c>
      <c r="P13" s="19" t="n">
        <f aca="false">IF($B13="","",$H13-$N13)</f>
        <v>325990.143333333</v>
      </c>
      <c r="Q13" s="21" t="n">
        <f aca="false">IF($B13="","",IF($L13&lt;=0,"n/a",IFERROR($K13/$L13,"n/a")))</f>
        <v>21.7337244818379</v>
      </c>
      <c r="R13" s="22" t="str">
        <f aca="false">IF($B13="","",IF(AND($H13=0,$I13=0),"⚪ No Activity",IF(AND($H13=0,COUNTIFS('SC Change Orders'!$B$2:$B$501,$B13,'SC Change Orders'!$C$2:$C$501,"&gt;="&amp;Controls!$C$5,'SC Change Orders'!$C$2:$C$501,"&lt;="&amp;Controls!$C$6)=0),"⚪ No Funding on File",IF($H13=0,"🔴 Unfunded Spend",IF($I13&gt;=$H13,"🔴 Over Budget",IF($N13&gt;$H13,"🔴 Projected Shortfall",IF($J13&gt;=Controls!$C$8,"🟡 Watch","🟢 On Track")))))))</f>
        <v>🟢 On Track</v>
      </c>
    </row>
    <row r="14" customFormat="false" ht="15" hidden="false" customHeight="false" outlineLevel="0" collapsed="false">
      <c r="A14" s="17" t="str">
        <f aca="false">IF($B14="","",IF((IFERROR(INDEX(_RefTable!$A$2:$A$501,MATCH($B14,_RefTable!$C$2:$C$501,0)),IFERROR(INDEX(_MainTable!$A$2:$A$2001,MATCH($B14,_MainTable!$F$2:$F$2001,0)),IFERROR(INDEX('SC Change Orders'!$A$2:$A$501,MATCH($B14,'SC Change Orders'!$B$2:$B$501,0)),"(unknown vendor)"))))&amp;""="","—",(IFERROR(INDEX(_RefTable!$A$2:$A$501,MATCH($B14,_RefTable!$C$2:$C$501,0)),IFERROR(INDEX(_MainTable!$A$2:$A$2001,MATCH($B14,_MainTable!$F$2:$F$2001,0)),IFERROR(INDEX('SC Change Orders'!$A$2:$A$501,MATCH($B14,'SC Change Orders'!$B$2:$B$501,0)),"(unknown vendor)"))))))</f>
        <v>CLOUDMED</v>
      </c>
      <c r="B14" s="18" t="n">
        <f aca="false">IFERROR(INDEX('PO Index'!$B$5:$B$84,10),"")</f>
        <v>8659</v>
      </c>
      <c r="C14" s="17" t="str">
        <f aca="false">IF($B14="","",IF((IFERROR(INDEX(_RefTable!$B$2:$B$501,MATCH($B14,_RefTable!$C$2:$C$501,0))&amp;IF(COUNTIF(_RefTable!$C$2:$C$501,$B14)&gt;1," (+"&amp;COUNTIF(_RefTable!$C$2:$C$501,$B14)-1&amp;" more)",""),IFERROR(INDEX(_MainTable!$B$2:$B$2001,MATCH($B14,_MainTable!$F$2:$F$2001,0)),"")))&amp;""="","—",(IFERROR(INDEX(_RefTable!$B$2:$B$501,MATCH($B14,_RefTable!$C$2:$C$501,0))&amp;IF(COUNTIF(_RefTable!$C$2:$C$501,$B14)&gt;1," (+"&amp;COUNTIF(_RefTable!$C$2:$C$501,$B14)-1&amp;" more)",""),IFERROR(INDEX(_MainTable!$B$2:$B$2001,MATCH($B14,_MainTable!$F$2:$F$2001,0)),"")))))</f>
        <v>DRG Validation</v>
      </c>
      <c r="D14" s="17" t="str">
        <f aca="false">IF($B14="","",IF((IFERROR(INDEX(_RefTable!$E$2:$E$501,MATCH($B14,_RefTable!$C$2:$C$501,0)),IFERROR(INDEX(_MainTable!$C$2:$C$2001,MATCH($B14,_MainTable!$F$2:$F$2001,0)),"")))&amp;""="","—",(IFERROR(INDEX(_RefTable!$E$2:$E$501,MATCH($B14,_RefTable!$C$2:$C$501,0)),IFERROR(INDEX(_MainTable!$C$2:$C$2001,MATCH($B14,_MainTable!$F$2:$F$2001,0)),"")))))</f>
        <v>Sona Buchanan</v>
      </c>
      <c r="E14" s="17" t="str">
        <f aca="false">IF($B14="","",IF((IFERROR(INDEX(_RefTable!$F$2:$F$501,MATCH($B14,_RefTable!$C$2:$C$501,0)),IFERROR(INDEX(_MainTable!$D$2:$D$2001,MATCH($B14,_MainTable!$F$2:$F$2001,0)),"")))&amp;""="","—",(IFERROR(INDEX(_RefTable!$F$2:$F$501,MATCH($B14,_RefTable!$C$2:$C$501,0)),IFERROR(INDEX(_MainTable!$D$2:$D$2001,MATCH($B14,_MainTable!$F$2:$F$2001,0)),"")))))</f>
        <v>Heather Geile</v>
      </c>
      <c r="F14" s="19" t="n">
        <f aca="false">IF($B14="","",IFERROR(_xlfn.MINIFS('SC Change Orders'!$E$2:$E$501,'SC Change Orders'!$B$2:$B$501,$B14,'SC Change Orders'!$C$2:$C$501,"&gt;="&amp;Controls!$C$5,'SC Change Orders'!$C$2:$C$501,"&lt;="&amp;Controls!$C$6),0))</f>
        <v>0</v>
      </c>
      <c r="G14" s="19" t="n">
        <f aca="false">IF($B14="","",SUMIFS('SC Change Orders'!$F$2:$F$501,'SC Change Orders'!$B$2:$B$501,$B14,'SC Change Orders'!$C$2:$C$501,"&gt;="&amp;Controls!$C$5,'SC Change Orders'!$C$2:$C$501,"&lt;="&amp;Controls!$C$6))</f>
        <v>0</v>
      </c>
      <c r="H14" s="19" t="n">
        <f aca="false">IF($B14="","",$F14+$G14)</f>
        <v>0</v>
      </c>
      <c r="I14" s="19" t="n">
        <f aca="false">IF($B14="","",SUMIFS(_MainTable!$K$2:$K$2001,_MainTable!$F$2:$F$2001,$B14,_MainTable!$G$2:$G$2001,"&gt;="&amp;Controls!$C$5,_MainTable!$G$2:$G$2001,"&lt;="&amp;Controls!$C$6))</f>
        <v>106560.16</v>
      </c>
      <c r="J14" s="20" t="n">
        <f aca="false">IF($B14="","",IFERROR($I14/$H14,0))</f>
        <v>0</v>
      </c>
      <c r="K14" s="19" t="n">
        <f aca="false">IF($B14="","",$H14-$I14)</f>
        <v>-106560.16</v>
      </c>
      <c r="L14" s="19" t="n">
        <f aca="false">IF($B14="","",IFERROR(SUMIFS(_MainTable!$K$2:$K$2001,_MainTable!$F$2:$F$2001,$B14,_MainTable!$G$2:$G$2001,"&gt;="&amp;Controls!$C$12,_MainTable!$G$2:$G$2001,"&lt;="&amp;EOMONTH(Controls!$C$7,0))/MIN(Controls!$C$9,Controls!$C$10),0))</f>
        <v>29782.7</v>
      </c>
      <c r="M14" s="19" t="n">
        <f aca="false">IF($B14="","",$L14*Controls!$C$11)</f>
        <v>59565.4</v>
      </c>
      <c r="N14" s="19" t="n">
        <f aca="false">IF($B14="","",$I14+$M14)</f>
        <v>166125.56</v>
      </c>
      <c r="O14" s="20" t="n">
        <f aca="false">IF($B14="","",IFERROR($N14/$H14,0))</f>
        <v>0</v>
      </c>
      <c r="P14" s="19" t="n">
        <f aca="false">IF($B14="","",$H14-$N14)</f>
        <v>-166125.56</v>
      </c>
      <c r="Q14" s="21" t="n">
        <f aca="false">IF($B14="","",IF($L14&lt;=0,"n/a",IFERROR($K14/$L14,"n/a")))</f>
        <v>-3.57792141075188</v>
      </c>
      <c r="R14" s="22" t="str">
        <f aca="false">IF($B14="","",IF(AND($H14=0,$I14=0),"⚪ No Activity",IF(AND($H14=0,COUNTIFS('SC Change Orders'!$B$2:$B$501,$B14,'SC Change Orders'!$C$2:$C$501,"&gt;="&amp;Controls!$C$5,'SC Change Orders'!$C$2:$C$501,"&lt;="&amp;Controls!$C$6)=0),"⚪ No Funding on File",IF($H14=0,"🔴 Unfunded Spend",IF($I14&gt;=$H14,"🔴 Over Budget",IF($N14&gt;$H14,"🔴 Projected Shortfall",IF($J14&gt;=Controls!$C$8,"🟡 Watch","🟢 On Track")))))))</f>
        <v>⚪ No Funding on File</v>
      </c>
    </row>
    <row r="15" customFormat="false" ht="15" hidden="false" customHeight="false" outlineLevel="0" collapsed="false">
      <c r="A15" s="17" t="str">
        <f aca="false">IF($B15="","",IF((IFERROR(INDEX(_RefTable!$A$2:$A$501,MATCH($B15,_RefTable!$C$2:$C$501,0)),IFERROR(INDEX(_MainTable!$A$2:$A$2001,MATCH($B15,_MainTable!$F$2:$F$2001,0)),IFERROR(INDEX('SC Change Orders'!$A$2:$A$501,MATCH($B15,'SC Change Orders'!$B$2:$B$501,0)),"(unknown vendor)"))))&amp;""="","—",(IFERROR(INDEX(_RefTable!$A$2:$A$501,MATCH($B15,_RefTable!$C$2:$C$501,0)),IFERROR(INDEX(_MainTable!$A$2:$A$2001,MATCH($B15,_MainTable!$F$2:$F$2001,0)),IFERROR(INDEX('SC Change Orders'!$A$2:$A$501,MATCH($B15,'SC Change Orders'!$B$2:$B$501,0)),"(unknown vendor)"))))))</f>
        <v>SOLVENTUM HEALTH INFO SYSTEM</v>
      </c>
      <c r="B15" s="18" t="n">
        <f aca="false">IFERROR(INDEX('PO Index'!$B$5:$B$84,11),"")</f>
        <v>9916</v>
      </c>
      <c r="C15" s="17" t="str">
        <f aca="false">IF($B15="","",IF((IFERROR(INDEX(_RefTable!$B$2:$B$501,MATCH($B15,_RefTable!$C$2:$C$501,0))&amp;IF(COUNTIF(_RefTable!$C$2:$C$501,$B15)&gt;1," (+"&amp;COUNTIF(_RefTable!$C$2:$C$501,$B15)-1&amp;" more)",""),IFERROR(INDEX(_MainTable!$B$2:$B$2001,MATCH($B15,_MainTable!$F$2:$F$2001,0)),"")))&amp;""="","—",(IFERROR(INDEX(_RefTable!$B$2:$B$501,MATCH($B15,_RefTable!$C$2:$C$501,0))&amp;IF(COUNTIF(_RefTable!$C$2:$C$501,$B15)&gt;1," (+"&amp;COUNTIF(_RefTable!$C$2:$C$501,$B15)-1&amp;" more)",""),IFERROR(INDEX(_MainTable!$B$2:$B$2001,MATCH($B15,_MainTable!$F$2:$F$2001,0)),"")))))</f>
        <v>Inpatient CDI</v>
      </c>
      <c r="D15" s="17" t="str">
        <f aca="false">IF($B15="","",IF((IFERROR(INDEX(_RefTable!$E$2:$E$501,MATCH($B15,_RefTable!$C$2:$C$501,0)),IFERROR(INDEX(_MainTable!$C$2:$C$2001,MATCH($B15,_MainTable!$F$2:$F$2001,0)),"")))&amp;""="","—",(IFERROR(INDEX(_RefTable!$E$2:$E$501,MATCH($B15,_RefTable!$C$2:$C$501,0)),IFERROR(INDEX(_MainTable!$C$2:$C$2001,MATCH($B15,_MainTable!$F$2:$F$2001,0)),"")))))</f>
        <v>Sona Buchanan</v>
      </c>
      <c r="E15" s="17" t="str">
        <f aca="false">IF($B15="","",IF((IFERROR(INDEX(_RefTable!$F$2:$F$501,MATCH($B15,_RefTable!$C$2:$C$501,0)),IFERROR(INDEX(_MainTable!$D$2:$D$2001,MATCH($B15,_MainTable!$F$2:$F$2001,0)),"")))&amp;""="","—",(IFERROR(INDEX(_RefTable!$F$2:$F$501,MATCH($B15,_RefTable!$C$2:$C$501,0)),IFERROR(INDEX(_MainTable!$D$2:$D$2001,MATCH($B15,_MainTable!$F$2:$F$2001,0)),"")))))</f>
        <v>Janae Schumacher</v>
      </c>
      <c r="F15" s="19" t="n">
        <f aca="false">IF($B15="","",IFERROR(_xlfn.MINIFS('SC Change Orders'!$E$2:$E$501,'SC Change Orders'!$B$2:$B$501,$B15,'SC Change Orders'!$C$2:$C$501,"&gt;="&amp;Controls!$C$5,'SC Change Orders'!$C$2:$C$501,"&lt;="&amp;Controls!$C$6),0))</f>
        <v>0</v>
      </c>
      <c r="G15" s="19" t="n">
        <f aca="false">IF($B15="","",SUMIFS('SC Change Orders'!$F$2:$F$501,'SC Change Orders'!$B$2:$B$501,$B15,'SC Change Orders'!$C$2:$C$501,"&gt;="&amp;Controls!$C$5,'SC Change Orders'!$C$2:$C$501,"&lt;="&amp;Controls!$C$6))</f>
        <v>0</v>
      </c>
      <c r="H15" s="19" t="n">
        <f aca="false">IF($B15="","",$F15+$G15)</f>
        <v>0</v>
      </c>
      <c r="I15" s="19" t="n">
        <f aca="false">IF($B15="","",SUMIFS(_MainTable!$K$2:$K$2001,_MainTable!$F$2:$F$2001,$B15,_MainTable!$G$2:$G$2001,"&gt;="&amp;Controls!$C$5,_MainTable!$G$2:$G$2001,"&lt;="&amp;Controls!$C$6))</f>
        <v>185499.25</v>
      </c>
      <c r="J15" s="20" t="n">
        <f aca="false">IF($B15="","",IFERROR($I15/$H15,0))</f>
        <v>0</v>
      </c>
      <c r="K15" s="19" t="n">
        <f aca="false">IF($B15="","",$H15-$I15)</f>
        <v>-185499.25</v>
      </c>
      <c r="L15" s="19" t="n">
        <f aca="false">IF($B15="","",IFERROR(SUMIFS(_MainTable!$K$2:$K$2001,_MainTable!$F$2:$F$2001,$B15,_MainTable!$G$2:$G$2001,"&gt;="&amp;Controls!$C$12,_MainTable!$G$2:$G$2001,"&lt;="&amp;EOMONTH(Controls!$C$7,0))/MIN(Controls!$C$9,Controls!$C$10),0))</f>
        <v>0</v>
      </c>
      <c r="M15" s="19" t="n">
        <f aca="false">IF($B15="","",$L15*Controls!$C$11)</f>
        <v>0</v>
      </c>
      <c r="N15" s="19" t="n">
        <f aca="false">IF($B15="","",$I15+$M15)</f>
        <v>185499.25</v>
      </c>
      <c r="O15" s="20" t="n">
        <f aca="false">IF($B15="","",IFERROR($N15/$H15,0))</f>
        <v>0</v>
      </c>
      <c r="P15" s="19" t="n">
        <f aca="false">IF($B15="","",$H15-$N15)</f>
        <v>-185499.25</v>
      </c>
      <c r="Q15" s="21" t="str">
        <f aca="false">IF($B15="","",IF($L15&lt;=0,"n/a",IFERROR($K15/$L15,"n/a")))</f>
        <v>n/a</v>
      </c>
      <c r="R15" s="22" t="str">
        <f aca="false">IF($B15="","",IF(AND($H15=0,$I15=0),"⚪ No Activity",IF(AND($H15=0,COUNTIFS('SC Change Orders'!$B$2:$B$501,$B15,'SC Change Orders'!$C$2:$C$501,"&gt;="&amp;Controls!$C$5,'SC Change Orders'!$C$2:$C$501,"&lt;="&amp;Controls!$C$6)=0),"⚪ No Funding on File",IF($H15=0,"🔴 Unfunded Spend",IF($I15&gt;=$H15,"🔴 Over Budget",IF($N15&gt;$H15,"🔴 Projected Shortfall",IF($J15&gt;=Controls!$C$8,"🟡 Watch","🟢 On Track")))))))</f>
        <v>⚪ No Funding on File</v>
      </c>
    </row>
    <row r="16" customFormat="false" ht="15" hidden="false" customHeight="false" outlineLevel="0" collapsed="false">
      <c r="A16" s="17" t="str">
        <f aca="false">IF($B16="","",IF((IFERROR(INDEX(_RefTable!$A$2:$A$501,MATCH($B16,_RefTable!$C$2:$C$501,0)),IFERROR(INDEX(_MainTable!$A$2:$A$2001,MATCH($B16,_MainTable!$F$2:$F$2001,0)),IFERROR(INDEX('SC Change Orders'!$A$2:$A$501,MATCH($B16,'SC Change Orders'!$B$2:$B$501,0)),"(unknown vendor)"))))&amp;""="","—",(IFERROR(INDEX(_RefTable!$A$2:$A$501,MATCH($B16,_RefTable!$C$2:$C$501,0)),IFERROR(INDEX(_MainTable!$A$2:$A$2001,MATCH($B16,_MainTable!$F$2:$F$2001,0)),IFERROR(INDEX('SC Change Orders'!$A$2:$A$501,MATCH($B16,'SC Change Orders'!$B$2:$B$501,0)),"(unknown vendor)"))))))</f>
        <v>TERNIUM LLC</v>
      </c>
      <c r="B16" s="18" t="n">
        <f aca="false">IFERROR(INDEX('PO Index'!$B$5:$B$84,12),"")</f>
        <v>10118</v>
      </c>
      <c r="C16" s="17" t="str">
        <f aca="false">IF($B16="","",IF((IFERROR(INDEX(_RefTable!$B$2:$B$501,MATCH($B16,_RefTable!$C$2:$C$501,0))&amp;IF(COUNTIF(_RefTable!$C$2:$C$501,$B16)&gt;1," (+"&amp;COUNTIF(_RefTable!$C$2:$C$501,$B16)-1&amp;" more)",""),IFERROR(INDEX(_MainTable!$B$2:$B$2001,MATCH($B16,_MainTable!$F$2:$F$2001,0)),"")))&amp;""="","—",(IFERROR(INDEX(_RefTable!$B$2:$B$501,MATCH($B16,_RefTable!$C$2:$C$501,0))&amp;IF(COUNTIF(_RefTable!$C$2:$C$501,$B16)&gt;1," (+"&amp;COUNTIF(_RefTable!$C$2:$C$501,$B16)-1&amp;" more)",""),IFERROR(INDEX(_MainTable!$B$2:$B$2001,MATCH($B16,_MainTable!$F$2:$F$2001,0)),"")))))</f>
        <v>High dollar appeals</v>
      </c>
      <c r="D16" s="17" t="str">
        <f aca="false">IF($B16="","",IF((IFERROR(INDEX(_RefTable!$E$2:$E$501,MATCH($B16,_RefTable!$C$2:$C$501,0)),IFERROR(INDEX(_MainTable!$C$2:$C$2001,MATCH($B16,_MainTable!$F$2:$F$2001,0)),"")))&amp;""="","—",(IFERROR(INDEX(_RefTable!$E$2:$E$501,MATCH($B16,_RefTable!$C$2:$C$501,0)),IFERROR(INDEX(_MainTable!$C$2:$C$2001,MATCH($B16,_MainTable!$F$2:$F$2001,0)),"")))))</f>
        <v>Jake Reid</v>
      </c>
      <c r="E16" s="17" t="str">
        <f aca="false">IF($B16="","",IF((IFERROR(INDEX(_RefTable!$F$2:$F$501,MATCH($B16,_RefTable!$C$2:$C$501,0)),IFERROR(INDEX(_MainTable!$D$2:$D$2001,MATCH($B16,_MainTable!$F$2:$F$2001,0)),"")))&amp;""="","—",(IFERROR(INDEX(_RefTable!$F$2:$F$501,MATCH($B16,_RefTable!$C$2:$C$501,0)),IFERROR(INDEX(_MainTable!$D$2:$D$2001,MATCH($B16,_MainTable!$F$2:$F$2001,0)),"")))))</f>
        <v>Cody Thornock</v>
      </c>
      <c r="F16" s="19" t="n">
        <f aca="false">IF($B16="","",IFERROR(_xlfn.MINIFS('SC Change Orders'!$E$2:$E$501,'SC Change Orders'!$B$2:$B$501,$B16,'SC Change Orders'!$C$2:$C$501,"&gt;="&amp;Controls!$C$5,'SC Change Orders'!$C$2:$C$501,"&lt;="&amp;Controls!$C$6),0))</f>
        <v>0</v>
      </c>
      <c r="G16" s="19" t="n">
        <f aca="false">IF($B16="","",SUMIFS('SC Change Orders'!$F$2:$F$501,'SC Change Orders'!$B$2:$B$501,$B16,'SC Change Orders'!$C$2:$C$501,"&gt;="&amp;Controls!$C$5,'SC Change Orders'!$C$2:$C$501,"&lt;="&amp;Controls!$C$6))</f>
        <v>0</v>
      </c>
      <c r="H16" s="19" t="n">
        <f aca="false">IF($B16="","",$F16+$G16)</f>
        <v>0</v>
      </c>
      <c r="I16" s="19" t="n">
        <f aca="false">IF($B16="","",SUMIFS(_MainTable!$K$2:$K$2001,_MainTable!$F$2:$F$2001,$B16,_MainTable!$G$2:$G$2001,"&gt;="&amp;Controls!$C$5,_MainTable!$G$2:$G$2001,"&lt;="&amp;Controls!$C$6))</f>
        <v>572803.83</v>
      </c>
      <c r="J16" s="20" t="n">
        <f aca="false">IF($B16="","",IFERROR($I16/$H16,0))</f>
        <v>0</v>
      </c>
      <c r="K16" s="19" t="n">
        <f aca="false">IF($B16="","",$H16-$I16)</f>
        <v>-572803.83</v>
      </c>
      <c r="L16" s="19" t="n">
        <f aca="false">IF($B16="","",IFERROR(SUMIFS(_MainTable!$K$2:$K$2001,_MainTable!$F$2:$F$2001,$B16,_MainTable!$G$2:$G$2001,"&gt;="&amp;Controls!$C$12,_MainTable!$G$2:$G$2001,"&lt;="&amp;EOMONTH(Controls!$C$7,0))/MIN(Controls!$C$9,Controls!$C$10),0))</f>
        <v>126869.253333333</v>
      </c>
      <c r="M16" s="19" t="n">
        <f aca="false">IF($B16="","",$L16*Controls!$C$11)</f>
        <v>253738.506666667</v>
      </c>
      <c r="N16" s="19" t="n">
        <f aca="false">IF($B16="","",$I16+$M16)</f>
        <v>826542.336666667</v>
      </c>
      <c r="O16" s="20" t="n">
        <f aca="false">IF($B16="","",IFERROR($N16/$H16,0))</f>
        <v>0</v>
      </c>
      <c r="P16" s="19" t="n">
        <f aca="false">IF($B16="","",$H16-$N16)</f>
        <v>-826542.336666667</v>
      </c>
      <c r="Q16" s="21" t="n">
        <f aca="false">IF($B16="","",IF($L16&lt;=0,"n/a",IFERROR($K16/$L16,"n/a")))</f>
        <v>-4.51491448834359</v>
      </c>
      <c r="R16" s="22" t="str">
        <f aca="false">IF($B16="","",IF(AND($H16=0,$I16=0),"⚪ No Activity",IF(AND($H16=0,COUNTIFS('SC Change Orders'!$B$2:$B$501,$B16,'SC Change Orders'!$C$2:$C$501,"&gt;="&amp;Controls!$C$5,'SC Change Orders'!$C$2:$C$501,"&lt;="&amp;Controls!$C$6)=0),"⚪ No Funding on File",IF($H16=0,"🔴 Unfunded Spend",IF($I16&gt;=$H16,"🔴 Over Budget",IF($N16&gt;$H16,"🔴 Projected Shortfall",IF($J16&gt;=Controls!$C$8,"🟡 Watch","🟢 On Track")))))))</f>
        <v>⚪ No Funding on File</v>
      </c>
    </row>
    <row r="17" customFormat="false" ht="15" hidden="false" customHeight="false" outlineLevel="0" collapsed="false">
      <c r="A17" s="17" t="str">
        <f aca="false">IF($B17="","",IF((IFERROR(INDEX(_RefTable!$A$2:$A$501,MATCH($B17,_RefTable!$C$2:$C$501,0)),IFERROR(INDEX(_MainTable!$A$2:$A$2001,MATCH($B17,_MainTable!$F$2:$F$2001,0)),IFERROR(INDEX('SC Change Orders'!$A$2:$A$501,MATCH($B17,'SC Change Orders'!$B$2:$B$501,0)),"(unknown vendor)"))))&amp;""="","—",(IFERROR(INDEX(_RefTable!$A$2:$A$501,MATCH($B17,_RefTable!$C$2:$C$501,0)),IFERROR(INDEX(_MainTable!$A$2:$A$2001,MATCH($B17,_MainTable!$F$2:$F$2001,0)),IFERROR(INDEX('SC Change Orders'!$A$2:$A$501,MATCH($B17,'SC Change Orders'!$B$2:$B$501,0)),"(unknown vendor)"))))))</f>
        <v>EPIC ADVISORS GROUP LLC</v>
      </c>
      <c r="B17" s="18" t="n">
        <f aca="false">IFERROR(INDEX('PO Index'!$B$5:$B$84,13),"")</f>
        <v>10138</v>
      </c>
      <c r="C17" s="17" t="str">
        <f aca="false">IF($B17="","",IF((IFERROR(INDEX(_RefTable!$B$2:$B$501,MATCH($B17,_RefTable!$C$2:$C$501,0))&amp;IF(COUNTIF(_RefTable!$C$2:$C$501,$B17)&gt;1," (+"&amp;COUNTIF(_RefTable!$C$2:$C$501,$B17)-1&amp;" more)",""),IFERROR(INDEX(_MainTable!$B$2:$B$2001,MATCH($B17,_MainTable!$F$2:$F$2001,0)),"")))&amp;""="","—",(IFERROR(INDEX(_RefTable!$B$2:$B$501,MATCH($B17,_RefTable!$C$2:$C$501,0))&amp;IF(COUNTIF(_RefTable!$C$2:$C$501,$B17)&gt;1," (+"&amp;COUNTIF(_RefTable!$C$2:$C$501,$B17)-1&amp;" more)",""),IFERROR(INDEX(_MainTable!$B$2:$B$2001,MATCH($B17,_MainTable!$F$2:$F$2001,0)),"")))))</f>
        <v>Consultation</v>
      </c>
      <c r="D17" s="17" t="str">
        <f aca="false">IF($B17="","",IF((IFERROR(INDEX(_RefTable!$E$2:$E$501,MATCH($B17,_RefTable!$C$2:$C$501,0)),IFERROR(INDEX(_MainTable!$C$2:$C$2001,MATCH($B17,_MainTable!$F$2:$F$2001,0)),"")))&amp;""="","—",(IFERROR(INDEX(_RefTable!$E$2:$E$501,MATCH($B17,_RefTable!$C$2:$C$501,0)),IFERROR(INDEX(_MainTable!$C$2:$C$2001,MATCH($B17,_MainTable!$F$2:$F$2001,0)),"")))))</f>
        <v>Michelle Lewis</v>
      </c>
      <c r="E17" s="17" t="str">
        <f aca="false">IF($B17="","",IF((IFERROR(INDEX(_RefTable!$F$2:$F$501,MATCH($B17,_RefTable!$C$2:$C$501,0)),IFERROR(INDEX(_MainTable!$D$2:$D$2001,MATCH($B17,_MainTable!$F$2:$F$2001,0)),"")))&amp;""="","—",(IFERROR(INDEX(_RefTable!$F$2:$F$501,MATCH($B17,_RefTable!$C$2:$C$501,0)),IFERROR(INDEX(_MainTable!$D$2:$D$2001,MATCH($B17,_MainTable!$F$2:$F$2001,0)),"")))))</f>
        <v>Adam Vardaman</v>
      </c>
      <c r="F17" s="19" t="n">
        <f aca="false">IF($B17="","",IFERROR(_xlfn.MINIFS('SC Change Orders'!$E$2:$E$501,'SC Change Orders'!$B$2:$B$501,$B17,'SC Change Orders'!$C$2:$C$501,"&gt;="&amp;Controls!$C$5,'SC Change Orders'!$C$2:$C$501,"&lt;="&amp;Controls!$C$6),0))</f>
        <v>72000</v>
      </c>
      <c r="G17" s="19" t="n">
        <f aca="false">IF($B17="","",SUMIFS('SC Change Orders'!$F$2:$F$501,'SC Change Orders'!$B$2:$B$501,$B17,'SC Change Orders'!$C$2:$C$501,"&gt;="&amp;Controls!$C$5,'SC Change Orders'!$C$2:$C$501,"&lt;="&amp;Controls!$C$6))</f>
        <v>258295</v>
      </c>
      <c r="H17" s="19" t="n">
        <f aca="false">IF($B17="","",$F17+$G17)</f>
        <v>330295</v>
      </c>
      <c r="I17" s="19" t="n">
        <f aca="false">IF($B17="","",SUMIFS(_MainTable!$K$2:$K$2001,_MainTable!$F$2:$F$2001,$B17,_MainTable!$G$2:$G$2001,"&gt;="&amp;Controls!$C$5,_MainTable!$G$2:$G$2001,"&lt;="&amp;Controls!$C$6))</f>
        <v>119515.42</v>
      </c>
      <c r="J17" s="20" t="n">
        <f aca="false">IF($B17="","",IFERROR($I17/$H17,0))</f>
        <v>0.361844472365613</v>
      </c>
      <c r="K17" s="19" t="n">
        <f aca="false">IF($B17="","",$H17-$I17)</f>
        <v>210779.58</v>
      </c>
      <c r="L17" s="19" t="n">
        <f aca="false">IF($B17="","",IFERROR(SUMIFS(_MainTable!$K$2:$K$2001,_MainTable!$F$2:$F$2001,$B17,_MainTable!$G$2:$G$2001,"&gt;="&amp;Controls!$C$12,_MainTable!$G$2:$G$2001,"&lt;="&amp;EOMONTH(Controls!$C$7,0))/MIN(Controls!$C$9,Controls!$C$10),0))</f>
        <v>25215.4733333333</v>
      </c>
      <c r="M17" s="19" t="n">
        <f aca="false">IF($B17="","",$L17*Controls!$C$11)</f>
        <v>50430.9466666667</v>
      </c>
      <c r="N17" s="19" t="n">
        <f aca="false">IF($B17="","",$I17+$M17)</f>
        <v>169946.366666667</v>
      </c>
      <c r="O17" s="20" t="n">
        <f aca="false">IF($B17="","",IFERROR($N17/$H17,0))</f>
        <v>0.514529032127845</v>
      </c>
      <c r="P17" s="19" t="n">
        <f aca="false">IF($B17="","",$H17-$N17)</f>
        <v>160348.633333333</v>
      </c>
      <c r="Q17" s="21" t="n">
        <f aca="false">IF($B17="","",IF($L17&lt;=0,"n/a",IFERROR($K17/$L17,"n/a")))</f>
        <v>8.35913636098047</v>
      </c>
      <c r="R17" s="22" t="str">
        <f aca="false">IF($B17="","",IF(AND($H17=0,$I17=0),"⚪ No Activity",IF(AND($H17=0,COUNTIFS('SC Change Orders'!$B$2:$B$501,$B17,'SC Change Orders'!$C$2:$C$501,"&gt;="&amp;Controls!$C$5,'SC Change Orders'!$C$2:$C$501,"&lt;="&amp;Controls!$C$6)=0),"⚪ No Funding on File",IF($H17=0,"🔴 Unfunded Spend",IF($I17&gt;=$H17,"🔴 Over Budget",IF($N17&gt;$H17,"🔴 Projected Shortfall",IF($J17&gt;=Controls!$C$8,"🟡 Watch","🟢 On Track")))))))</f>
        <v>🟢 On Track</v>
      </c>
    </row>
    <row r="18" customFormat="false" ht="15" hidden="false" customHeight="false" outlineLevel="0" collapsed="false">
      <c r="A18" s="17" t="str">
        <f aca="false">IF($B18="","",IF((IFERROR(INDEX(_RefTable!$A$2:$A$501,MATCH($B18,_RefTable!$C$2:$C$501,0)),IFERROR(INDEX(_MainTable!$A$2:$A$2001,MATCH($B18,_MainTable!$F$2:$F$2001,0)),IFERROR(INDEX('SC Change Orders'!$A$2:$A$501,MATCH($B18,'SC Change Orders'!$B$2:$B$501,0)),"(unknown vendor)"))))&amp;""="","—",(IFERROR(INDEX(_RefTable!$A$2:$A$501,MATCH($B18,_RefTable!$C$2:$C$501,0)),IFERROR(INDEX(_MainTable!$A$2:$A$2001,MATCH($B18,_MainTable!$F$2:$F$2001,0)),IFERROR(INDEX('SC Change Orders'!$A$2:$A$501,MATCH($B18,'SC Change Orders'!$B$2:$B$501,0)),"(unknown vendor)"))))))</f>
        <v>ASPIRION HEALTH RESOURCES</v>
      </c>
      <c r="B18" s="18" t="n">
        <f aca="false">IFERROR(INDEX('PO Index'!$B$5:$B$84,14),"")</f>
        <v>10200</v>
      </c>
      <c r="C18" s="17" t="str">
        <f aca="false">IF($B18="","",IF((IFERROR(INDEX(_RefTable!$B$2:$B$501,MATCH($B18,_RefTable!$C$2:$C$501,0))&amp;IF(COUNTIF(_RefTable!$C$2:$C$501,$B18)&gt;1," (+"&amp;COUNTIF(_RefTable!$C$2:$C$501,$B18)-1&amp;" more)",""),IFERROR(INDEX(_MainTable!$B$2:$B$2001,MATCH($B18,_MainTable!$F$2:$F$2001,0)),"")))&amp;""="","—",(IFERROR(INDEX(_RefTable!$B$2:$B$501,MATCH($B18,_RefTable!$C$2:$C$501,0))&amp;IF(COUNTIF(_RefTable!$C$2:$C$501,$B18)&gt;1," (+"&amp;COUNTIF(_RefTable!$C$2:$C$501,$B18)-1&amp;" more)",""),IFERROR(INDEX(_MainTable!$B$2:$B$2001,MATCH($B18,_MainTable!$F$2:$F$2001,0)),"")))))</f>
        <v>MVA (+1 more)</v>
      </c>
      <c r="D18" s="17" t="str">
        <f aca="false">IF($B18="","",IF((IFERROR(INDEX(_RefTable!$E$2:$E$501,MATCH($B18,_RefTable!$C$2:$C$501,0)),IFERROR(INDEX(_MainTable!$C$2:$C$2001,MATCH($B18,_MainTable!$F$2:$F$2001,0)),"")))&amp;""="","—",(IFERROR(INDEX(_RefTable!$E$2:$E$501,MATCH($B18,_RefTable!$C$2:$C$501,0)),IFERROR(INDEX(_MainTable!$C$2:$C$2001,MATCH($B18,_MainTable!$F$2:$F$2001,0)),"")))))</f>
        <v>Jake Reid</v>
      </c>
      <c r="E18" s="17" t="str">
        <f aca="false">IF($B18="","",IF((IFERROR(INDEX(_RefTable!$F$2:$F$501,MATCH($B18,_RefTable!$C$2:$C$501,0)),IFERROR(INDEX(_MainTable!$D$2:$D$2001,MATCH($B18,_MainTable!$F$2:$F$2001,0)),"")))&amp;""="","—",(IFERROR(INDEX(_RefTable!$F$2:$F$501,MATCH($B18,_RefTable!$C$2:$C$501,0)),IFERROR(INDEX(_MainTable!$D$2:$D$2001,MATCH($B18,_MainTable!$F$2:$F$2001,0)),"")))))</f>
        <v>Cody Thornock</v>
      </c>
      <c r="F18" s="19" t="n">
        <f aca="false">IF($B18="","",IFERROR(_xlfn.MINIFS('SC Change Orders'!$E$2:$E$501,'SC Change Orders'!$B$2:$B$501,$B18,'SC Change Orders'!$C$2:$C$501,"&gt;="&amp;Controls!$C$5,'SC Change Orders'!$C$2:$C$501,"&lt;="&amp;Controls!$C$6),0))</f>
        <v>92500</v>
      </c>
      <c r="G18" s="19" t="n">
        <f aca="false">IF($B18="","",SUMIFS('SC Change Orders'!$F$2:$F$501,'SC Change Orders'!$B$2:$B$501,$B18,'SC Change Orders'!$C$2:$C$501,"&gt;="&amp;Controls!$C$5,'SC Change Orders'!$C$2:$C$501,"&lt;="&amp;Controls!$C$6))</f>
        <v>6353265.83</v>
      </c>
      <c r="H18" s="19" t="n">
        <f aca="false">IF($B18="","",$F18+$G18)</f>
        <v>6445765.83</v>
      </c>
      <c r="I18" s="19" t="n">
        <f aca="false">IF($B18="","",SUMIFS(_MainTable!$K$2:$K$2001,_MainTable!$F$2:$F$2001,$B18,_MainTable!$G$2:$G$2001,"&gt;="&amp;Controls!$C$5,_MainTable!$G$2:$G$2001,"&lt;="&amp;Controls!$C$6))</f>
        <v>4119364.06</v>
      </c>
      <c r="J18" s="20" t="n">
        <f aca="false">IF($B18="","",IFERROR($I18/$H18,0))</f>
        <v>0.639080625738463</v>
      </c>
      <c r="K18" s="19" t="n">
        <f aca="false">IF($B18="","",$H18-$I18)</f>
        <v>2326401.77</v>
      </c>
      <c r="L18" s="19" t="n">
        <f aca="false">IF($B18="","",IFERROR(SUMIFS(_MainTable!$K$2:$K$2001,_MainTable!$F$2:$F$2001,$B18,_MainTable!$G$2:$G$2001,"&gt;="&amp;Controls!$C$12,_MainTable!$G$2:$G$2001,"&lt;="&amp;EOMONTH(Controls!$C$7,0))/MIN(Controls!$C$9,Controls!$C$10),0))</f>
        <v>565165.086666667</v>
      </c>
      <c r="M18" s="19" t="n">
        <f aca="false">IF($B18="","",$L18*Controls!$C$11)</f>
        <v>1130330.17333333</v>
      </c>
      <c r="N18" s="19" t="n">
        <f aca="false">IF($B18="","",$I18+$M18)</f>
        <v>5249694.23333333</v>
      </c>
      <c r="O18" s="20" t="n">
        <f aca="false">IF($B18="","",IFERROR($N18/$H18,0))</f>
        <v>0.814440730828308</v>
      </c>
      <c r="P18" s="19" t="n">
        <f aca="false">IF($B18="","",$H18-$N18)</f>
        <v>1196071.59666667</v>
      </c>
      <c r="Q18" s="21" t="n">
        <f aca="false">IF($B18="","",IF($L18&lt;=0,"n/a",IFERROR($K18/$L18,"n/a")))</f>
        <v>4.11632251334044</v>
      </c>
      <c r="R18" s="22" t="str">
        <f aca="false">IF($B18="","",IF(AND($H18=0,$I18=0),"⚪ No Activity",IF(AND($H18=0,COUNTIFS('SC Change Orders'!$B$2:$B$501,$B18,'SC Change Orders'!$C$2:$C$501,"&gt;="&amp;Controls!$C$5,'SC Change Orders'!$C$2:$C$501,"&lt;="&amp;Controls!$C$6)=0),"⚪ No Funding on File",IF($H18=0,"🔴 Unfunded Spend",IF($I18&gt;=$H18,"🔴 Over Budget",IF($N18&gt;$H18,"🔴 Projected Shortfall",IF($J18&gt;=Controls!$C$8,"🟡 Watch","🟢 On Track")))))))</f>
        <v>🟢 On Track</v>
      </c>
    </row>
    <row r="19" customFormat="false" ht="15" hidden="false" customHeight="false" outlineLevel="0" collapsed="false">
      <c r="A19" s="17" t="str">
        <f aca="false">IF($B19="","",IF((IFERROR(INDEX(_RefTable!$A$2:$A$501,MATCH($B19,_RefTable!$C$2:$C$501,0)),IFERROR(INDEX(_MainTable!$A$2:$A$2001,MATCH($B19,_MainTable!$F$2:$F$2001,0)),IFERROR(INDEX('SC Change Orders'!$A$2:$A$501,MATCH($B19,'SC Change Orders'!$B$2:$B$501,0)),"(unknown vendor)"))))&amp;""="","—",(IFERROR(INDEX(_RefTable!$A$2:$A$501,MATCH($B19,_RefTable!$C$2:$C$501,0)),IFERROR(INDEX(_MainTable!$A$2:$A$2001,MATCH($B19,_MainTable!$F$2:$F$2001,0)),IFERROR(INDEX('SC Change Orders'!$A$2:$A$501,MATCH($B19,'SC Change Orders'!$B$2:$B$501,0)),"(unknown vendor)"))))))</f>
        <v>FINTHRIVE HEALTHCARE INC</v>
      </c>
      <c r="B19" s="18" t="n">
        <f aca="false">IFERROR(INDEX('PO Index'!$B$5:$B$84,15),"")</f>
        <v>10406</v>
      </c>
      <c r="C19" s="17" t="str">
        <f aca="false">IF($B19="","",IF((IFERROR(INDEX(_RefTable!$B$2:$B$501,MATCH($B19,_RefTable!$C$2:$C$501,0))&amp;IF(COUNTIF(_RefTable!$C$2:$C$501,$B19)&gt;1," (+"&amp;COUNTIF(_RefTable!$C$2:$C$501,$B19)-1&amp;" more)",""),IFERROR(INDEX(_MainTable!$B$2:$B$2001,MATCH($B19,_MainTable!$F$2:$F$2001,0)),"")))&amp;""="","—",(IFERROR(INDEX(_RefTable!$B$2:$B$501,MATCH($B19,_RefTable!$C$2:$C$501,0))&amp;IF(COUNTIF(_RefTable!$C$2:$C$501,$B19)&gt;1," (+"&amp;COUNTIF(_RefTable!$C$2:$C$501,$B19)-1&amp;" more)",""),IFERROR(INDEX(_MainTable!$B$2:$B$2001,MATCH($B19,_MainTable!$F$2:$F$2001,0)),"")))))</f>
        <v>Transunion (+1 more)</v>
      </c>
      <c r="D19" s="17" t="str">
        <f aca="false">IF($B19="","",IF((IFERROR(INDEX(_RefTable!$E$2:$E$501,MATCH($B19,_RefTable!$C$2:$C$501,0)),IFERROR(INDEX(_MainTable!$C$2:$C$2001,MATCH($B19,_MainTable!$F$2:$F$2001,0)),"")))&amp;""="","—",(IFERROR(INDEX(_RefTable!$E$2:$E$501,MATCH($B19,_RefTable!$C$2:$C$501,0)),IFERROR(INDEX(_MainTable!$C$2:$C$2001,MATCH($B19,_MainTable!$F$2:$F$2001,0)),"")))))</f>
        <v>Sona Buchanan</v>
      </c>
      <c r="E19" s="17" t="str">
        <f aca="false">IF($B19="","",IF((IFERROR(INDEX(_RefTable!$F$2:$F$501,MATCH($B19,_RefTable!$C$2:$C$501,0)),IFERROR(INDEX(_MainTable!$D$2:$D$2001,MATCH($B19,_MainTable!$F$2:$F$2001,0)),"")))&amp;""="","—",(IFERROR(INDEX(_RefTable!$F$2:$F$501,MATCH($B19,_RefTable!$C$2:$C$501,0)),IFERROR(INDEX(_MainTable!$D$2:$D$2001,MATCH($B19,_MainTable!$F$2:$F$2001,0)),"")))))</f>
        <v>Tawnya Kraus</v>
      </c>
      <c r="F19" s="19" t="n">
        <f aca="false">IF($B19="","",IFERROR(_xlfn.MINIFS('SC Change Orders'!$E$2:$E$501,'SC Change Orders'!$B$2:$B$501,$B19,'SC Change Orders'!$C$2:$C$501,"&gt;="&amp;Controls!$C$5,'SC Change Orders'!$C$2:$C$501,"&lt;="&amp;Controls!$C$6),0))</f>
        <v>0</v>
      </c>
      <c r="G19" s="19" t="n">
        <f aca="false">IF($B19="","",SUMIFS('SC Change Orders'!$F$2:$F$501,'SC Change Orders'!$B$2:$B$501,$B19,'SC Change Orders'!$C$2:$C$501,"&gt;="&amp;Controls!$C$5,'SC Change Orders'!$C$2:$C$501,"&lt;="&amp;Controls!$C$6))</f>
        <v>0</v>
      </c>
      <c r="H19" s="19" t="n">
        <f aca="false">IF($B19="","",$F19+$G19)</f>
        <v>0</v>
      </c>
      <c r="I19" s="19" t="n">
        <f aca="false">IF($B19="","",SUMIFS(_MainTable!$K$2:$K$2001,_MainTable!$F$2:$F$2001,$B19,_MainTable!$G$2:$G$2001,"&gt;="&amp;Controls!$C$5,_MainTable!$G$2:$G$2001,"&lt;="&amp;Controls!$C$6))</f>
        <v>4095.63</v>
      </c>
      <c r="J19" s="20" t="n">
        <f aca="false">IF($B19="","",IFERROR($I19/$H19,0))</f>
        <v>0</v>
      </c>
      <c r="K19" s="19" t="n">
        <f aca="false">IF($B19="","",$H19-$I19)</f>
        <v>-4095.63</v>
      </c>
      <c r="L19" s="19" t="n">
        <f aca="false">IF($B19="","",IFERROR(SUMIFS(_MainTable!$K$2:$K$2001,_MainTable!$F$2:$F$2001,$B19,_MainTable!$G$2:$G$2001,"&gt;="&amp;Controls!$C$12,_MainTable!$G$2:$G$2001,"&lt;="&amp;EOMONTH(Controls!$C$7,0))/MIN(Controls!$C$9,Controls!$C$10),0))</f>
        <v>847.31</v>
      </c>
      <c r="M19" s="19" t="n">
        <f aca="false">IF($B19="","",$L19*Controls!$C$11)</f>
        <v>1694.62</v>
      </c>
      <c r="N19" s="19" t="n">
        <f aca="false">IF($B19="","",$I19+$M19)</f>
        <v>5790.25</v>
      </c>
      <c r="O19" s="20" t="n">
        <f aca="false">IF($B19="","",IFERROR($N19/$H19,0))</f>
        <v>0</v>
      </c>
      <c r="P19" s="19" t="n">
        <f aca="false">IF($B19="","",$H19-$N19)</f>
        <v>-5790.25</v>
      </c>
      <c r="Q19" s="21" t="n">
        <f aca="false">IF($B19="","",IF($L19&lt;=0,"n/a",IFERROR($K19/$L19,"n/a")))</f>
        <v>-4.83368542800156</v>
      </c>
      <c r="R19" s="22" t="str">
        <f aca="false">IF($B19="","",IF(AND($H19=0,$I19=0),"⚪ No Activity",IF(AND($H19=0,COUNTIFS('SC Change Orders'!$B$2:$B$501,$B19,'SC Change Orders'!$C$2:$C$501,"&gt;="&amp;Controls!$C$5,'SC Change Orders'!$C$2:$C$501,"&lt;="&amp;Controls!$C$6)=0),"⚪ No Funding on File",IF($H19=0,"🔴 Unfunded Spend",IF($I19&gt;=$H19,"🔴 Over Budget",IF($N19&gt;$H19,"🔴 Projected Shortfall",IF($J19&gt;=Controls!$C$8,"🟡 Watch","🟢 On Track")))))))</f>
        <v>⚪ No Funding on File</v>
      </c>
    </row>
    <row r="20" customFormat="false" ht="15" hidden="false" customHeight="false" outlineLevel="0" collapsed="false">
      <c r="A20" s="17" t="str">
        <f aca="false">IF($B20="","",IF((IFERROR(INDEX(_RefTable!$A$2:$A$501,MATCH($B20,_RefTable!$C$2:$C$501,0)),IFERROR(INDEX(_MainTable!$A$2:$A$2001,MATCH($B20,_MainTable!$F$2:$F$2001,0)),IFERROR(INDEX('SC Change Orders'!$A$2:$A$501,MATCH($B20,'SC Change Orders'!$B$2:$B$501,0)),"(unknown vendor)"))))&amp;""="","—",(IFERROR(INDEX(_RefTable!$A$2:$A$501,MATCH($B20,_RefTable!$C$2:$C$501,0)),IFERROR(INDEX(_MainTable!$A$2:$A$2001,MATCH($B20,_MainTable!$F$2:$F$2001,0)),IFERROR(INDEX('SC Change Orders'!$A$2:$A$501,MATCH($B20,'SC Change Orders'!$B$2:$B$501,0)),"(unknown vendor)"))))))</f>
        <v>FMS INC</v>
      </c>
      <c r="B20" s="18" t="n">
        <f aca="false">IFERROR(INDEX('PO Index'!$B$5:$B$84,16),"")</f>
        <v>10407</v>
      </c>
      <c r="C20" s="17" t="str">
        <f aca="false">IF($B20="","",IF((IFERROR(INDEX(_RefTable!$B$2:$B$501,MATCH($B20,_RefTable!$C$2:$C$501,0))&amp;IF(COUNTIF(_RefTable!$C$2:$C$501,$B20)&gt;1," (+"&amp;COUNTIF(_RefTable!$C$2:$C$501,$B20)-1&amp;" more)",""),IFERROR(INDEX(_MainTable!$B$2:$B$2001,MATCH($B20,_MainTable!$F$2:$F$2001,0)),"")))&amp;""="","—",(IFERROR(INDEX(_RefTable!$B$2:$B$501,MATCH($B20,_RefTable!$C$2:$C$501,0))&amp;IF(COUNTIF(_RefTable!$C$2:$C$501,$B20)&gt;1," (+"&amp;COUNTIF(_RefTable!$C$2:$C$501,$B20)-1&amp;" more)",""),IFERROR(INDEX(_MainTable!$B$2:$B$2001,MATCH($B20,_MainTable!$F$2:$F$2001,0)),"")))))</f>
        <v>Early Out (+1 more)</v>
      </c>
      <c r="D20" s="17" t="str">
        <f aca="false">IF($B20="","",IF((IFERROR(INDEX(_RefTable!$E$2:$E$501,MATCH($B20,_RefTable!$C$2:$C$501,0)),IFERROR(INDEX(_MainTable!$C$2:$C$2001,MATCH($B20,_MainTable!$F$2:$F$2001,0)),"")))&amp;""="","—",(IFERROR(INDEX(_RefTable!$E$2:$E$501,MATCH($B20,_RefTable!$C$2:$C$501,0)),IFERROR(INDEX(_MainTable!$C$2:$C$2001,MATCH($B20,_MainTable!$F$2:$F$2001,0)),"")))))</f>
        <v>Jake Reid</v>
      </c>
      <c r="E20" s="17" t="str">
        <f aca="false">IF($B20="","",IF((IFERROR(INDEX(_RefTable!$F$2:$F$501,MATCH($B20,_RefTable!$C$2:$C$501,0)),IFERROR(INDEX(_MainTable!$D$2:$D$2001,MATCH($B20,_MainTable!$F$2:$F$2001,0)),"")))&amp;""="","—",(IFERROR(INDEX(_RefTable!$F$2:$F$501,MATCH($B20,_RefTable!$C$2:$C$501,0)),IFERROR(INDEX(_MainTable!$D$2:$D$2001,MATCH($B20,_MainTable!$F$2:$F$2001,0)),"")))))</f>
        <v>Letisia Speelman</v>
      </c>
      <c r="F20" s="19" t="n">
        <f aca="false">IF($B20="","",IFERROR(_xlfn.MINIFS('SC Change Orders'!$E$2:$E$501,'SC Change Orders'!$B$2:$B$501,$B20,'SC Change Orders'!$C$2:$C$501,"&gt;="&amp;Controls!$C$5,'SC Change Orders'!$C$2:$C$501,"&lt;="&amp;Controls!$C$6),0))</f>
        <v>0</v>
      </c>
      <c r="G20" s="19" t="n">
        <f aca="false">IF($B20="","",SUMIFS('SC Change Orders'!$F$2:$F$501,'SC Change Orders'!$B$2:$B$501,$B20,'SC Change Orders'!$C$2:$C$501,"&gt;="&amp;Controls!$C$5,'SC Change Orders'!$C$2:$C$501,"&lt;="&amp;Controls!$C$6))</f>
        <v>0</v>
      </c>
      <c r="H20" s="19" t="n">
        <f aca="false">IF($B20="","",$F20+$G20)</f>
        <v>0</v>
      </c>
      <c r="I20" s="19" t="n">
        <f aca="false">IF($B20="","",SUMIFS(_MainTable!$K$2:$K$2001,_MainTable!$F$2:$F$2001,$B20,_MainTable!$G$2:$G$2001,"&gt;="&amp;Controls!$C$5,_MainTable!$G$2:$G$2001,"&lt;="&amp;Controls!$C$6))</f>
        <v>973131.24</v>
      </c>
      <c r="J20" s="20" t="n">
        <f aca="false">IF($B20="","",IFERROR($I20/$H20,0))</f>
        <v>0</v>
      </c>
      <c r="K20" s="19" t="n">
        <f aca="false">IF($B20="","",$H20-$I20)</f>
        <v>-973131.24</v>
      </c>
      <c r="L20" s="19" t="n">
        <f aca="false">IF($B20="","",IFERROR(SUMIFS(_MainTable!$K$2:$K$2001,_MainTable!$F$2:$F$2001,$B20,_MainTable!$G$2:$G$2001,"&gt;="&amp;Controls!$C$12,_MainTable!$G$2:$G$2001,"&lt;="&amp;EOMONTH(Controls!$C$7,0))/MIN(Controls!$C$9,Controls!$C$10),0))</f>
        <v>218321.603333333</v>
      </c>
      <c r="M20" s="19" t="n">
        <f aca="false">IF($B20="","",$L20*Controls!$C$11)</f>
        <v>436643.206666667</v>
      </c>
      <c r="N20" s="19" t="n">
        <f aca="false">IF($B20="","",$I20+$M20)</f>
        <v>1409774.44666667</v>
      </c>
      <c r="O20" s="20" t="n">
        <f aca="false">IF($B20="","",IFERROR($N20/$H20,0))</f>
        <v>0</v>
      </c>
      <c r="P20" s="19" t="n">
        <f aca="false">IF($B20="","",$H20-$N20)</f>
        <v>-1409774.44666667</v>
      </c>
      <c r="Q20" s="21" t="n">
        <f aca="false">IF($B20="","",IF($L20&lt;=0,"n/a",IFERROR($K20/$L20,"n/a")))</f>
        <v>-4.45732911971255</v>
      </c>
      <c r="R20" s="22" t="str">
        <f aca="false">IF($B20="","",IF(AND($H20=0,$I20=0),"⚪ No Activity",IF(AND($H20=0,COUNTIFS('SC Change Orders'!$B$2:$B$501,$B20,'SC Change Orders'!$C$2:$C$501,"&gt;="&amp;Controls!$C$5,'SC Change Orders'!$C$2:$C$501,"&lt;="&amp;Controls!$C$6)=0),"⚪ No Funding on File",IF($H20=0,"🔴 Unfunded Spend",IF($I20&gt;=$H20,"🔴 Over Budget",IF($N20&gt;$H20,"🔴 Projected Shortfall",IF($J20&gt;=Controls!$C$8,"🟡 Watch","🟢 On Track")))))))</f>
        <v>⚪ No Funding on File</v>
      </c>
    </row>
    <row r="21" customFormat="false" ht="15" hidden="false" customHeight="false" outlineLevel="0" collapsed="false">
      <c r="A21" s="17" t="str">
        <f aca="false">IF($B21="","",IF((IFERROR(INDEX(_RefTable!$A$2:$A$501,MATCH($B21,_RefTable!$C$2:$C$501,0)),IFERROR(INDEX(_MainTable!$A$2:$A$2001,MATCH($B21,_MainTable!$F$2:$F$2001,0)),IFERROR(INDEX('SC Change Orders'!$A$2:$A$501,MATCH($B21,'SC Change Orders'!$B$2:$B$501,0)),"(unknown vendor)"))))&amp;""="","—",(IFERROR(INDEX(_RefTable!$A$2:$A$501,MATCH($B21,_RefTable!$C$2:$C$501,0)),IFERROR(INDEX(_MainTable!$A$2:$A$2001,MATCH($B21,_MainTable!$F$2:$F$2001,0)),IFERROR(INDEX('SC Change Orders'!$A$2:$A$501,MATCH($B21,'SC Change Orders'!$B$2:$B$501,0)),"(unknown vendor)"))))))</f>
        <v>FMS INC</v>
      </c>
      <c r="B21" s="18" t="n">
        <f aca="false">IFERROR(INDEX('PO Index'!$B$5:$B$84,17),"")</f>
        <v>10410</v>
      </c>
      <c r="C21" s="17" t="str">
        <f aca="false">IF($B21="","",IF((IFERROR(INDEX(_RefTable!$B$2:$B$501,MATCH($B21,_RefTable!$C$2:$C$501,0))&amp;IF(COUNTIF(_RefTable!$C$2:$C$501,$B21)&gt;1," (+"&amp;COUNTIF(_RefTable!$C$2:$C$501,$B21)-1&amp;" more)",""),IFERROR(INDEX(_MainTable!$B$2:$B$2001,MATCH($B21,_MainTable!$F$2:$F$2001,0)),"")))&amp;""="","—",(IFERROR(INDEX(_RefTable!$B$2:$B$501,MATCH($B21,_RefTable!$C$2:$C$501,0))&amp;IF(COUNTIF(_RefTable!$C$2:$C$501,$B21)&gt;1," (+"&amp;COUNTIF(_RefTable!$C$2:$C$501,$B21)-1&amp;" more)",""),IFERROR(INDEX(_MainTable!$B$2:$B$2001,MATCH($B21,_MainTable!$F$2:$F$2001,0)),"")))))</f>
        <v>2BD</v>
      </c>
      <c r="D21" s="17" t="str">
        <f aca="false">IF($B21="","",IF((IFERROR(INDEX(_RefTable!$E$2:$E$501,MATCH($B21,_RefTable!$C$2:$C$501,0)),IFERROR(INDEX(_MainTable!$C$2:$C$2001,MATCH($B21,_MainTable!$F$2:$F$2001,0)),"")))&amp;""="","—",(IFERROR(INDEX(_RefTable!$E$2:$E$501,MATCH($B21,_RefTable!$C$2:$C$501,0)),IFERROR(INDEX(_MainTable!$C$2:$C$2001,MATCH($B21,_MainTable!$F$2:$F$2001,0)),"")))))</f>
        <v>Jake Reid</v>
      </c>
      <c r="E21" s="17" t="str">
        <f aca="false">IF($B21="","",IF((IFERROR(INDEX(_RefTable!$F$2:$F$501,MATCH($B21,_RefTable!$C$2:$C$501,0)),IFERROR(INDEX(_MainTable!$D$2:$D$2001,MATCH($B21,_MainTable!$F$2:$F$2001,0)),"")))&amp;""="","—",(IFERROR(INDEX(_RefTable!$F$2:$F$501,MATCH($B21,_RefTable!$C$2:$C$501,0)),IFERROR(INDEX(_MainTable!$D$2:$D$2001,MATCH($B21,_MainTable!$F$2:$F$2001,0)),"")))))</f>
        <v>Letisia Speelman</v>
      </c>
      <c r="F21" s="19" t="n">
        <f aca="false">IF($B21="","",IFERROR(_xlfn.MINIFS('SC Change Orders'!$E$2:$E$501,'SC Change Orders'!$B$2:$B$501,$B21,'SC Change Orders'!$C$2:$C$501,"&gt;="&amp;Controls!$C$5,'SC Change Orders'!$C$2:$C$501,"&lt;="&amp;Controls!$C$6),0))</f>
        <v>0</v>
      </c>
      <c r="G21" s="19" t="n">
        <f aca="false">IF($B21="","",SUMIFS('SC Change Orders'!$F$2:$F$501,'SC Change Orders'!$B$2:$B$501,$B21,'SC Change Orders'!$C$2:$C$501,"&gt;="&amp;Controls!$C$5,'SC Change Orders'!$C$2:$C$501,"&lt;="&amp;Controls!$C$6))</f>
        <v>0</v>
      </c>
      <c r="H21" s="19" t="n">
        <f aca="false">IF($B21="","",$F21+$G21)</f>
        <v>0</v>
      </c>
      <c r="I21" s="19" t="n">
        <f aca="false">IF($B21="","",SUMIFS(_MainTable!$K$2:$K$2001,_MainTable!$F$2:$F$2001,$B21,_MainTable!$G$2:$G$2001,"&gt;="&amp;Controls!$C$5,_MainTable!$G$2:$G$2001,"&lt;="&amp;Controls!$C$6))</f>
        <v>313022.74</v>
      </c>
      <c r="J21" s="20" t="n">
        <f aca="false">IF($B21="","",IFERROR($I21/$H21,0))</f>
        <v>0</v>
      </c>
      <c r="K21" s="19" t="n">
        <f aca="false">IF($B21="","",$H21-$I21)</f>
        <v>-313022.74</v>
      </c>
      <c r="L21" s="19" t="n">
        <f aca="false">IF($B21="","",IFERROR(SUMIFS(_MainTable!$K$2:$K$2001,_MainTable!$F$2:$F$2001,$B21,_MainTable!$G$2:$G$2001,"&gt;="&amp;Controls!$C$12,_MainTable!$G$2:$G$2001,"&lt;="&amp;EOMONTH(Controls!$C$7,0))/MIN(Controls!$C$9,Controls!$C$10),0))</f>
        <v>71552.47</v>
      </c>
      <c r="M21" s="19" t="n">
        <f aca="false">IF($B21="","",$L21*Controls!$C$11)</f>
        <v>143104.94</v>
      </c>
      <c r="N21" s="19" t="n">
        <f aca="false">IF($B21="","",$I21+$M21)</f>
        <v>456127.68</v>
      </c>
      <c r="O21" s="20" t="n">
        <f aca="false">IF($B21="","",IFERROR($N21/$H21,0))</f>
        <v>0</v>
      </c>
      <c r="P21" s="19" t="n">
        <f aca="false">IF($B21="","",$H21-$N21)</f>
        <v>-456127.68</v>
      </c>
      <c r="Q21" s="21" t="n">
        <f aca="false">IF($B21="","",IF($L21&lt;=0,"n/a",IFERROR($K21/$L21,"n/a")))</f>
        <v>-4.37473004076589</v>
      </c>
      <c r="R21" s="22" t="str">
        <f aca="false">IF($B21="","",IF(AND($H21=0,$I21=0),"⚪ No Activity",IF(AND($H21=0,COUNTIFS('SC Change Orders'!$B$2:$B$501,$B21,'SC Change Orders'!$C$2:$C$501,"&gt;="&amp;Controls!$C$5,'SC Change Orders'!$C$2:$C$501,"&lt;="&amp;Controls!$C$6)=0),"⚪ No Funding on File",IF($H21=0,"🔴 Unfunded Spend",IF($I21&gt;=$H21,"🔴 Over Budget",IF($N21&gt;$H21,"🔴 Projected Shortfall",IF($J21&gt;=Controls!$C$8,"🟡 Watch","🟢 On Track")))))))</f>
        <v>⚪ No Funding on File</v>
      </c>
    </row>
    <row r="22" customFormat="false" ht="15" hidden="false" customHeight="false" outlineLevel="0" collapsed="false">
      <c r="A22" s="17" t="str">
        <f aca="false">IF($B22="","",IF((IFERROR(INDEX(_RefTable!$A$2:$A$501,MATCH($B22,_RefTable!$C$2:$C$501,0)),IFERROR(INDEX(_MainTable!$A$2:$A$2001,MATCH($B22,_MainTable!$F$2:$F$2001,0)),IFERROR(INDEX('SC Change Orders'!$A$2:$A$501,MATCH($B22,'SC Change Orders'!$B$2:$B$501,0)),"(unknown vendor)"))))&amp;""="","—",(IFERROR(INDEX(_RefTable!$A$2:$A$501,MATCH($B22,_RefTable!$C$2:$C$501,0)),IFERROR(INDEX(_MainTable!$A$2:$A$2001,MATCH($B22,_MainTable!$F$2:$F$2001,0)),IFERROR(INDEX('SC Change Orders'!$A$2:$A$501,MATCH($B22,'SC Change Orders'!$B$2:$B$501,0)),"(unknown vendor)"))))))</f>
        <v>RMP LLC</v>
      </c>
      <c r="B22" s="18" t="n">
        <f aca="false">IFERROR(INDEX('PO Index'!$B$5:$B$84,18),"")</f>
        <v>10415</v>
      </c>
      <c r="C22" s="17" t="str">
        <f aca="false">IF($B22="","",IF((IFERROR(INDEX(_RefTable!$B$2:$B$501,MATCH($B22,_RefTable!$C$2:$C$501,0))&amp;IF(COUNTIF(_RefTable!$C$2:$C$501,$B22)&gt;1," (+"&amp;COUNTIF(_RefTable!$C$2:$C$501,$B22)-1&amp;" more)",""),IFERROR(INDEX(_MainTable!$B$2:$B$2001,MATCH($B22,_MainTable!$F$2:$F$2001,0)),"")))&amp;""="","—",(IFERROR(INDEX(_RefTable!$B$2:$B$501,MATCH($B22,_RefTable!$C$2:$C$501,0))&amp;IF(COUNTIF(_RefTable!$C$2:$C$501,$B22)&gt;1," (+"&amp;COUNTIF(_RefTable!$C$2:$C$501,$B22)-1&amp;" more)",""),IFERROR(INDEX(_MainTable!$B$2:$B$2001,MATCH($B22,_MainTable!$F$2:$F$2001,0)),"")))))</f>
        <v>1BD</v>
      </c>
      <c r="D22" s="17" t="str">
        <f aca="false">IF($B22="","",IF((IFERROR(INDEX(_RefTable!$E$2:$E$501,MATCH($B22,_RefTable!$C$2:$C$501,0)),IFERROR(INDEX(_MainTable!$C$2:$C$2001,MATCH($B22,_MainTable!$F$2:$F$2001,0)),"")))&amp;""="","—",(IFERROR(INDEX(_RefTable!$E$2:$E$501,MATCH($B22,_RefTable!$C$2:$C$501,0)),IFERROR(INDEX(_MainTable!$C$2:$C$2001,MATCH($B22,_MainTable!$F$2:$F$2001,0)),"")))))</f>
        <v>Jake Reid</v>
      </c>
      <c r="E22" s="17" t="str">
        <f aca="false">IF($B22="","",IF((IFERROR(INDEX(_RefTable!$F$2:$F$501,MATCH($B22,_RefTable!$C$2:$C$501,0)),IFERROR(INDEX(_MainTable!$D$2:$D$2001,MATCH($B22,_MainTable!$F$2:$F$2001,0)),"")))&amp;""="","—",(IFERROR(INDEX(_RefTable!$F$2:$F$501,MATCH($B22,_RefTable!$C$2:$C$501,0)),IFERROR(INDEX(_MainTable!$D$2:$D$2001,MATCH($B22,_MainTable!$F$2:$F$2001,0)),"")))))</f>
        <v>Letisia Speelman</v>
      </c>
      <c r="F22" s="19" t="n">
        <f aca="false">IF($B22="","",IFERROR(_xlfn.MINIFS('SC Change Orders'!$E$2:$E$501,'SC Change Orders'!$B$2:$B$501,$B22,'SC Change Orders'!$C$2:$C$501,"&gt;="&amp;Controls!$C$5,'SC Change Orders'!$C$2:$C$501,"&lt;="&amp;Controls!$C$6),0))</f>
        <v>0</v>
      </c>
      <c r="G22" s="19" t="n">
        <f aca="false">IF($B22="","",SUMIFS('SC Change Orders'!$F$2:$F$501,'SC Change Orders'!$B$2:$B$501,$B22,'SC Change Orders'!$C$2:$C$501,"&gt;="&amp;Controls!$C$5,'SC Change Orders'!$C$2:$C$501,"&lt;="&amp;Controls!$C$6))</f>
        <v>0</v>
      </c>
      <c r="H22" s="19" t="n">
        <f aca="false">IF($B22="","",$F22+$G22)</f>
        <v>0</v>
      </c>
      <c r="I22" s="19" t="n">
        <f aca="false">IF($B22="","",SUMIFS(_MainTable!$K$2:$K$2001,_MainTable!$F$2:$F$2001,$B22,_MainTable!$G$2:$G$2001,"&gt;="&amp;Controls!$C$5,_MainTable!$G$2:$G$2001,"&lt;="&amp;Controls!$C$6))</f>
        <v>261275.2</v>
      </c>
      <c r="J22" s="20" t="n">
        <f aca="false">IF($B22="","",IFERROR($I22/$H22,0))</f>
        <v>0</v>
      </c>
      <c r="K22" s="19" t="n">
        <f aca="false">IF($B22="","",$H22-$I22)</f>
        <v>-261275.2</v>
      </c>
      <c r="L22" s="19" t="n">
        <f aca="false">IF($B22="","",IFERROR(SUMIFS(_MainTable!$K$2:$K$2001,_MainTable!$F$2:$F$2001,$B22,_MainTable!$G$2:$G$2001,"&gt;="&amp;Controls!$C$12,_MainTable!$G$2:$G$2001,"&lt;="&amp;EOMONTH(Controls!$C$7,0))/MIN(Controls!$C$9,Controls!$C$10),0))</f>
        <v>49711.2466666667</v>
      </c>
      <c r="M22" s="19" t="n">
        <f aca="false">IF($B22="","",$L22*Controls!$C$11)</f>
        <v>99422.4933333333</v>
      </c>
      <c r="N22" s="19" t="n">
        <f aca="false">IF($B22="","",$I22+$M22)</f>
        <v>360697.693333333</v>
      </c>
      <c r="O22" s="20" t="n">
        <f aca="false">IF($B22="","",IFERROR($N22/$H22,0))</f>
        <v>0</v>
      </c>
      <c r="P22" s="19" t="n">
        <f aca="false">IF($B22="","",$H22-$N22)</f>
        <v>-360697.693333333</v>
      </c>
      <c r="Q22" s="21" t="n">
        <f aca="false">IF($B22="","",IF($L22&lt;=0,"n/a",IFERROR($K22/$L22,"n/a")))</f>
        <v>-5.2558569241273</v>
      </c>
      <c r="R22" s="22" t="str">
        <f aca="false">IF($B22="","",IF(AND($H22=0,$I22=0),"⚪ No Activity",IF(AND($H22=0,COUNTIFS('SC Change Orders'!$B$2:$B$501,$B22,'SC Change Orders'!$C$2:$C$501,"&gt;="&amp;Controls!$C$5,'SC Change Orders'!$C$2:$C$501,"&lt;="&amp;Controls!$C$6)=0),"⚪ No Funding on File",IF($H22=0,"🔴 Unfunded Spend",IF($I22&gt;=$H22,"🔴 Over Budget",IF($N22&gt;$H22,"🔴 Projected Shortfall",IF($J22&gt;=Controls!$C$8,"🟡 Watch","🟢 On Track")))))))</f>
        <v>⚪ No Funding on File</v>
      </c>
    </row>
    <row r="23" customFormat="false" ht="15" hidden="false" customHeight="false" outlineLevel="0" collapsed="false">
      <c r="A23" s="17" t="str">
        <f aca="false">IF($B23="","",IF((IFERROR(INDEX(_RefTable!$A$2:$A$501,MATCH($B23,_RefTable!$C$2:$C$501,0)),IFERROR(INDEX(_MainTable!$A$2:$A$2001,MATCH($B23,_MainTable!$F$2:$F$2001,0)),IFERROR(INDEX('SC Change Orders'!$A$2:$A$501,MATCH($B23,'SC Change Orders'!$B$2:$B$501,0)),"(unknown vendor)"))))&amp;""="","—",(IFERROR(INDEX(_RefTable!$A$2:$A$501,MATCH($B23,_RefTable!$C$2:$C$501,0)),IFERROR(INDEX(_MainTable!$A$2:$A$2001,MATCH($B23,_MainTable!$F$2:$F$2001,0)),IFERROR(INDEX('SC Change Orders'!$A$2:$A$501,MATCH($B23,'SC Change Orders'!$B$2:$B$501,0)),"(unknown vendor)"))))))</f>
        <v>RMP LLC</v>
      </c>
      <c r="B23" s="18" t="n">
        <f aca="false">IFERROR(INDEX('PO Index'!$B$5:$B$84,19),"")</f>
        <v>10417</v>
      </c>
      <c r="C23" s="17" t="str">
        <f aca="false">IF($B23="","",IF((IFERROR(INDEX(_RefTable!$B$2:$B$501,MATCH($B23,_RefTable!$C$2:$C$501,0))&amp;IF(COUNTIF(_RefTable!$C$2:$C$501,$B23)&gt;1," (+"&amp;COUNTIF(_RefTable!$C$2:$C$501,$B23)-1&amp;" more)",""),IFERROR(INDEX(_MainTable!$B$2:$B$2001,MATCH($B23,_MainTable!$F$2:$F$2001,0)),"")))&amp;""="","—",(IFERROR(INDEX(_RefTable!$B$2:$B$501,MATCH($B23,_RefTable!$C$2:$C$501,0))&amp;IF(COUNTIF(_RefTable!$C$2:$C$501,$B23)&gt;1," (+"&amp;COUNTIF(_RefTable!$C$2:$C$501,$B23)-1&amp;" more)",""),IFERROR(INDEX(_MainTable!$B$2:$B$2001,MATCH($B23,_MainTable!$F$2:$F$2001,0)),"")))))</f>
        <v>Early Out (+1 more)</v>
      </c>
      <c r="D23" s="17" t="str">
        <f aca="false">IF($B23="","",IF((IFERROR(INDEX(_RefTable!$E$2:$E$501,MATCH($B23,_RefTable!$C$2:$C$501,0)),IFERROR(INDEX(_MainTable!$C$2:$C$2001,MATCH($B23,_MainTable!$F$2:$F$2001,0)),"")))&amp;""="","—",(IFERROR(INDEX(_RefTable!$E$2:$E$501,MATCH($B23,_RefTable!$C$2:$C$501,0)),IFERROR(INDEX(_MainTable!$C$2:$C$2001,MATCH($B23,_MainTable!$F$2:$F$2001,0)),"")))))</f>
        <v>Jake Reid</v>
      </c>
      <c r="E23" s="17" t="str">
        <f aca="false">IF($B23="","",IF((IFERROR(INDEX(_RefTable!$F$2:$F$501,MATCH($B23,_RefTable!$C$2:$C$501,0)),IFERROR(INDEX(_MainTable!$D$2:$D$2001,MATCH($B23,_MainTable!$F$2:$F$2001,0)),"")))&amp;""="","—",(IFERROR(INDEX(_RefTable!$F$2:$F$501,MATCH($B23,_RefTable!$C$2:$C$501,0)),IFERROR(INDEX(_MainTable!$D$2:$D$2001,MATCH($B23,_MainTable!$F$2:$F$2001,0)),"")))))</f>
        <v>Letisia Speelman</v>
      </c>
      <c r="F23" s="19" t="n">
        <f aca="false">IF($B23="","",IFERROR(_xlfn.MINIFS('SC Change Orders'!$E$2:$E$501,'SC Change Orders'!$B$2:$B$501,$B23,'SC Change Orders'!$C$2:$C$501,"&gt;="&amp;Controls!$C$5,'SC Change Orders'!$C$2:$C$501,"&lt;="&amp;Controls!$C$6),0))</f>
        <v>0</v>
      </c>
      <c r="G23" s="19" t="n">
        <f aca="false">IF($B23="","",SUMIFS('SC Change Orders'!$F$2:$F$501,'SC Change Orders'!$B$2:$B$501,$B23,'SC Change Orders'!$C$2:$C$501,"&gt;="&amp;Controls!$C$5,'SC Change Orders'!$C$2:$C$501,"&lt;="&amp;Controls!$C$6))</f>
        <v>0</v>
      </c>
      <c r="H23" s="19" t="n">
        <f aca="false">IF($B23="","",$F23+$G23)</f>
        <v>0</v>
      </c>
      <c r="I23" s="19" t="n">
        <f aca="false">IF($B23="","",SUMIFS(_MainTable!$K$2:$K$2001,_MainTable!$F$2:$F$2001,$B23,_MainTable!$G$2:$G$2001,"&gt;="&amp;Controls!$C$5,_MainTable!$G$2:$G$2001,"&lt;="&amp;Controls!$C$6))</f>
        <v>737789.45</v>
      </c>
      <c r="J23" s="20" t="n">
        <f aca="false">IF($B23="","",IFERROR($I23/$H23,0))</f>
        <v>0</v>
      </c>
      <c r="K23" s="19" t="n">
        <f aca="false">IF($B23="","",$H23-$I23)</f>
        <v>-737789.45</v>
      </c>
      <c r="L23" s="19" t="n">
        <f aca="false">IF($B23="","",IFERROR(SUMIFS(_MainTable!$K$2:$K$2001,_MainTable!$F$2:$F$2001,$B23,_MainTable!$G$2:$G$2001,"&gt;="&amp;Controls!$C$12,_MainTable!$G$2:$G$2001,"&lt;="&amp;EOMONTH(Controls!$C$7,0))/MIN(Controls!$C$9,Controls!$C$10),0))</f>
        <v>155839.903333333</v>
      </c>
      <c r="M23" s="19" t="n">
        <f aca="false">IF($B23="","",$L23*Controls!$C$11)</f>
        <v>311679.806666667</v>
      </c>
      <c r="N23" s="19" t="n">
        <f aca="false">IF($B23="","",$I23+$M23)</f>
        <v>1049469.25666667</v>
      </c>
      <c r="O23" s="20" t="n">
        <f aca="false">IF($B23="","",IFERROR($N23/$H23,0))</f>
        <v>0</v>
      </c>
      <c r="P23" s="19" t="n">
        <f aca="false">IF($B23="","",$H23-$N23)</f>
        <v>-1049469.25666667</v>
      </c>
      <c r="Q23" s="21" t="n">
        <f aca="false">IF($B23="","",IF($L23&lt;=0,"n/a",IFERROR($K23/$L23,"n/a")))</f>
        <v>-4.73427815481833</v>
      </c>
      <c r="R23" s="22" t="str">
        <f aca="false">IF($B23="","",IF(AND($H23=0,$I23=0),"⚪ No Activity",IF(AND($H23=0,COUNTIFS('SC Change Orders'!$B$2:$B$501,$B23,'SC Change Orders'!$C$2:$C$501,"&gt;="&amp;Controls!$C$5,'SC Change Orders'!$C$2:$C$501,"&lt;="&amp;Controls!$C$6)=0),"⚪ No Funding on File",IF($H23=0,"🔴 Unfunded Spend",IF($I23&gt;=$H23,"🔴 Over Budget",IF($N23&gt;$H23,"🔴 Projected Shortfall",IF($J23&gt;=Controls!$C$8,"🟡 Watch","🟢 On Track")))))))</f>
        <v>⚪ No Funding on File</v>
      </c>
    </row>
    <row r="24" customFormat="false" ht="15" hidden="false" customHeight="false" outlineLevel="0" collapsed="false">
      <c r="A24" s="17" t="str">
        <f aca="false">IF($B24="","",IF((IFERROR(INDEX(_RefTable!$A$2:$A$501,MATCH($B24,_RefTable!$C$2:$C$501,0)),IFERROR(INDEX(_MainTable!$A$2:$A$2001,MATCH($B24,_MainTable!$F$2:$F$2001,0)),IFERROR(INDEX('SC Change Orders'!$A$2:$A$501,MATCH($B24,'SC Change Orders'!$B$2:$B$501,0)),"(unknown vendor)"))))&amp;""="","—",(IFERROR(INDEX(_RefTable!$A$2:$A$501,MATCH($B24,_RefTable!$C$2:$C$501,0)),IFERROR(INDEX(_MainTable!$A$2:$A$2001,MATCH($B24,_MainTable!$F$2:$F$2001,0)),IFERROR(INDEX('SC Change Orders'!$A$2:$A$501,MATCH($B24,'SC Change Orders'!$B$2:$B$501,0)),"(unknown vendor)"))))))</f>
        <v>RMP LLC</v>
      </c>
      <c r="B24" s="18" t="n">
        <f aca="false">IFERROR(INDEX('PO Index'!$B$5:$B$84,20),"")</f>
        <v>10418</v>
      </c>
      <c r="C24" s="17" t="str">
        <f aca="false">IF($B24="","",IF((IFERROR(INDEX(_RefTable!$B$2:$B$501,MATCH($B24,_RefTable!$C$2:$C$501,0))&amp;IF(COUNTIF(_RefTable!$C$2:$C$501,$B24)&gt;1," (+"&amp;COUNTIF(_RefTable!$C$2:$C$501,$B24)-1&amp;" more)",""),IFERROR(INDEX(_MainTable!$B$2:$B$2001,MATCH($B24,_MainTable!$F$2:$F$2001,0)),"")))&amp;""="","—",(IFERROR(INDEX(_RefTable!$B$2:$B$501,MATCH($B24,_RefTable!$C$2:$C$501,0))&amp;IF(COUNTIF(_RefTable!$C$2:$C$501,$B24)&gt;1," (+"&amp;COUNTIF(_RefTable!$C$2:$C$501,$B24)-1&amp;" more)",""),IFERROR(INDEX(_MainTable!$B$2:$B$2001,MATCH($B24,_MainTable!$F$2:$F$2001,0)),"")))))</f>
        <v>Postage</v>
      </c>
      <c r="D24" s="17" t="str">
        <f aca="false">IF($B24="","",IF((IFERROR(INDEX(_RefTable!$E$2:$E$501,MATCH($B24,_RefTable!$C$2:$C$501,0)),IFERROR(INDEX(_MainTable!$C$2:$C$2001,MATCH($B24,_MainTable!$F$2:$F$2001,0)),"")))&amp;""="","—",(IFERROR(INDEX(_RefTable!$E$2:$E$501,MATCH($B24,_RefTable!$C$2:$C$501,0)),IFERROR(INDEX(_MainTable!$C$2:$C$2001,MATCH($B24,_MainTable!$F$2:$F$2001,0)),"")))))</f>
        <v>Jake Reid</v>
      </c>
      <c r="E24" s="17" t="str">
        <f aca="false">IF($B24="","",IF((IFERROR(INDEX(_RefTable!$F$2:$F$501,MATCH($B24,_RefTable!$C$2:$C$501,0)),IFERROR(INDEX(_MainTable!$D$2:$D$2001,MATCH($B24,_MainTable!$F$2:$F$2001,0)),"")))&amp;""="","—",(IFERROR(INDEX(_RefTable!$F$2:$F$501,MATCH($B24,_RefTable!$C$2:$C$501,0)),IFERROR(INDEX(_MainTable!$D$2:$D$2001,MATCH($B24,_MainTable!$F$2:$F$2001,0)),"")))))</f>
        <v>Letisia Speelman</v>
      </c>
      <c r="F24" s="19" t="n">
        <f aca="false">IF($B24="","",IFERROR(_xlfn.MINIFS('SC Change Orders'!$E$2:$E$501,'SC Change Orders'!$B$2:$B$501,$B24,'SC Change Orders'!$C$2:$C$501,"&gt;="&amp;Controls!$C$5,'SC Change Orders'!$C$2:$C$501,"&lt;="&amp;Controls!$C$6),0))</f>
        <v>0</v>
      </c>
      <c r="G24" s="19" t="n">
        <f aca="false">IF($B24="","",SUMIFS('SC Change Orders'!$F$2:$F$501,'SC Change Orders'!$B$2:$B$501,$B24,'SC Change Orders'!$C$2:$C$501,"&gt;="&amp;Controls!$C$5,'SC Change Orders'!$C$2:$C$501,"&lt;="&amp;Controls!$C$6))</f>
        <v>0</v>
      </c>
      <c r="H24" s="19" t="n">
        <f aca="false">IF($B24="","",$F24+$G24)</f>
        <v>0</v>
      </c>
      <c r="I24" s="19" t="n">
        <f aca="false">IF($B24="","",SUMIFS(_MainTable!$K$2:$K$2001,_MainTable!$F$2:$F$2001,$B24,_MainTable!$G$2:$G$2001,"&gt;="&amp;Controls!$C$5,_MainTable!$G$2:$G$2001,"&lt;="&amp;Controls!$C$6))</f>
        <v>333203.62</v>
      </c>
      <c r="J24" s="20" t="n">
        <f aca="false">IF($B24="","",IFERROR($I24/$H24,0))</f>
        <v>0</v>
      </c>
      <c r="K24" s="19" t="n">
        <f aca="false">IF($B24="","",$H24-$I24)</f>
        <v>-333203.62</v>
      </c>
      <c r="L24" s="19" t="n">
        <f aca="false">IF($B24="","",IFERROR(SUMIFS(_MainTable!$K$2:$K$2001,_MainTable!$F$2:$F$2001,$B24,_MainTable!$G$2:$G$2001,"&gt;="&amp;Controls!$C$12,_MainTable!$G$2:$G$2001,"&lt;="&amp;EOMONTH(Controls!$C$7,0))/MIN(Controls!$C$9,Controls!$C$10),0))</f>
        <v>111067.873333333</v>
      </c>
      <c r="M24" s="19" t="n">
        <f aca="false">IF($B24="","",$L24*Controls!$C$11)</f>
        <v>222135.746666667</v>
      </c>
      <c r="N24" s="19" t="n">
        <f aca="false">IF($B24="","",$I24+$M24)</f>
        <v>555339.366666667</v>
      </c>
      <c r="O24" s="20" t="n">
        <f aca="false">IF($B24="","",IFERROR($N24/$H24,0))</f>
        <v>0</v>
      </c>
      <c r="P24" s="19" t="n">
        <f aca="false">IF($B24="","",$H24-$N24)</f>
        <v>-555339.366666667</v>
      </c>
      <c r="Q24" s="21" t="n">
        <f aca="false">IF($B24="","",IF($L24&lt;=0,"n/a",IFERROR($K24/$L24,"n/a")))</f>
        <v>-3</v>
      </c>
      <c r="R24" s="22" t="str">
        <f aca="false">IF($B24="","",IF(AND($H24=0,$I24=0),"⚪ No Activity",IF(AND($H24=0,COUNTIFS('SC Change Orders'!$B$2:$B$501,$B24,'SC Change Orders'!$C$2:$C$501,"&gt;="&amp;Controls!$C$5,'SC Change Orders'!$C$2:$C$501,"&lt;="&amp;Controls!$C$6)=0),"⚪ No Funding on File",IF($H24=0,"🔴 Unfunded Spend",IF($I24&gt;=$H24,"🔴 Over Budget",IF($N24&gt;$H24,"🔴 Projected Shortfall",IF($J24&gt;=Controls!$C$8,"🟡 Watch","🟢 On Track")))))))</f>
        <v>⚪ No Funding on File</v>
      </c>
    </row>
    <row r="25" customFormat="false" ht="15" hidden="false" customHeight="false" outlineLevel="0" collapsed="false">
      <c r="A25" s="17" t="str">
        <f aca="false">IF($B25="","",IF((IFERROR(INDEX(_RefTable!$A$2:$A$501,MATCH($B25,_RefTable!$C$2:$C$501,0)),IFERROR(INDEX(_MainTable!$A$2:$A$2001,MATCH($B25,_MainTable!$F$2:$F$2001,0)),IFERROR(INDEX('SC Change Orders'!$A$2:$A$501,MATCH($B25,'SC Change Orders'!$B$2:$B$501,0)),"(unknown vendor)"))))&amp;""="","—",(IFERROR(INDEX(_RefTable!$A$2:$A$501,MATCH($B25,_RefTable!$C$2:$C$501,0)),IFERROR(INDEX(_MainTable!$A$2:$A$2001,MATCH($B25,_MainTable!$F$2:$F$2001,0)),IFERROR(INDEX('SC Change Orders'!$A$2:$A$501,MATCH($B25,'SC Change Orders'!$B$2:$B$501,0)),"(unknown vendor)"))))))</f>
        <v>RMP LLC</v>
      </c>
      <c r="B25" s="18" t="n">
        <f aca="false">IFERROR(INDEX('PO Index'!$B$5:$B$84,21),"")</f>
        <v>10419</v>
      </c>
      <c r="C25" s="17" t="str">
        <f aca="false">IF($B25="","",IF((IFERROR(INDEX(_RefTable!$B$2:$B$501,MATCH($B25,_RefTable!$C$2:$C$501,0))&amp;IF(COUNTIF(_RefTable!$C$2:$C$501,$B25)&gt;1," (+"&amp;COUNTIF(_RefTable!$C$2:$C$501,$B25)-1&amp;" more)",""),IFERROR(INDEX(_MainTable!$B$2:$B$2001,MATCH($B25,_MainTable!$F$2:$F$2001,0)),"")))&amp;""="","—",(IFERROR(INDEX(_RefTable!$B$2:$B$501,MATCH($B25,_RefTable!$C$2:$C$501,0))&amp;IF(COUNTIF(_RefTable!$C$2:$C$501,$B25)&gt;1," (+"&amp;COUNTIF(_RefTable!$C$2:$C$501,$B25)-1&amp;" more)",""),IFERROR(INDEX(_MainTable!$B$2:$B$2001,MATCH($B25,_MainTable!$F$2:$F$2001,0)),"")))))</f>
        <v>Production</v>
      </c>
      <c r="D25" s="17" t="str">
        <f aca="false">IF($B25="","",IF((IFERROR(INDEX(_RefTable!$E$2:$E$501,MATCH($B25,_RefTable!$C$2:$C$501,0)),IFERROR(INDEX(_MainTable!$C$2:$C$2001,MATCH($B25,_MainTable!$F$2:$F$2001,0)),"")))&amp;""="","—",(IFERROR(INDEX(_RefTable!$E$2:$E$501,MATCH($B25,_RefTable!$C$2:$C$501,0)),IFERROR(INDEX(_MainTable!$C$2:$C$2001,MATCH($B25,_MainTable!$F$2:$F$2001,0)),"")))))</f>
        <v>Jake Reid</v>
      </c>
      <c r="E25" s="17" t="str">
        <f aca="false">IF($B25="","",IF((IFERROR(INDEX(_RefTable!$F$2:$F$501,MATCH($B25,_RefTable!$C$2:$C$501,0)),IFERROR(INDEX(_MainTable!$D$2:$D$2001,MATCH($B25,_MainTable!$F$2:$F$2001,0)),"")))&amp;""="","—",(IFERROR(INDEX(_RefTable!$F$2:$F$501,MATCH($B25,_RefTable!$C$2:$C$501,0)),IFERROR(INDEX(_MainTable!$D$2:$D$2001,MATCH($B25,_MainTable!$F$2:$F$2001,0)),"")))))</f>
        <v>Letisia Speelman</v>
      </c>
      <c r="F25" s="19" t="n">
        <f aca="false">IF($B25="","",IFERROR(_xlfn.MINIFS('SC Change Orders'!$E$2:$E$501,'SC Change Orders'!$B$2:$B$501,$B25,'SC Change Orders'!$C$2:$C$501,"&gt;="&amp;Controls!$C$5,'SC Change Orders'!$C$2:$C$501,"&lt;="&amp;Controls!$C$6),0))</f>
        <v>0</v>
      </c>
      <c r="G25" s="19" t="n">
        <f aca="false">IF($B25="","",SUMIFS('SC Change Orders'!$F$2:$F$501,'SC Change Orders'!$B$2:$B$501,$B25,'SC Change Orders'!$C$2:$C$501,"&gt;="&amp;Controls!$C$5,'SC Change Orders'!$C$2:$C$501,"&lt;="&amp;Controls!$C$6))</f>
        <v>0</v>
      </c>
      <c r="H25" s="19" t="n">
        <f aca="false">IF($B25="","",$F25+$G25)</f>
        <v>0</v>
      </c>
      <c r="I25" s="19" t="n">
        <f aca="false">IF($B25="","",SUMIFS(_MainTable!$K$2:$K$2001,_MainTable!$F$2:$F$2001,$B25,_MainTable!$G$2:$G$2001,"&gt;="&amp;Controls!$C$5,_MainTable!$G$2:$G$2001,"&lt;="&amp;Controls!$C$6))</f>
        <v>144946.08</v>
      </c>
      <c r="J25" s="20" t="n">
        <f aca="false">IF($B25="","",IFERROR($I25/$H25,0))</f>
        <v>0</v>
      </c>
      <c r="K25" s="19" t="n">
        <f aca="false">IF($B25="","",$H25-$I25)</f>
        <v>-144946.08</v>
      </c>
      <c r="L25" s="19" t="n">
        <f aca="false">IF($B25="","",IFERROR(SUMIFS(_MainTable!$K$2:$K$2001,_MainTable!$F$2:$F$2001,$B25,_MainTable!$G$2:$G$2001,"&gt;="&amp;Controls!$C$12,_MainTable!$G$2:$G$2001,"&lt;="&amp;EOMONTH(Controls!$C$7,0))/MIN(Controls!$C$9,Controls!$C$10),0))</f>
        <v>48315.36</v>
      </c>
      <c r="M25" s="19" t="n">
        <f aca="false">IF($B25="","",$L25*Controls!$C$11)</f>
        <v>96630.72</v>
      </c>
      <c r="N25" s="19" t="n">
        <f aca="false">IF($B25="","",$I25+$M25)</f>
        <v>241576.8</v>
      </c>
      <c r="O25" s="20" t="n">
        <f aca="false">IF($B25="","",IFERROR($N25/$H25,0))</f>
        <v>0</v>
      </c>
      <c r="P25" s="19" t="n">
        <f aca="false">IF($B25="","",$H25-$N25)</f>
        <v>-241576.8</v>
      </c>
      <c r="Q25" s="21" t="n">
        <f aca="false">IF($B25="","",IF($L25&lt;=0,"n/a",IFERROR($K25/$L25,"n/a")))</f>
        <v>-3</v>
      </c>
      <c r="R25" s="22" t="str">
        <f aca="false">IF($B25="","",IF(AND($H25=0,$I25=0),"⚪ No Activity",IF(AND($H25=0,COUNTIFS('SC Change Orders'!$B$2:$B$501,$B25,'SC Change Orders'!$C$2:$C$501,"&gt;="&amp;Controls!$C$5,'SC Change Orders'!$C$2:$C$501,"&lt;="&amp;Controls!$C$6)=0),"⚪ No Funding on File",IF($H25=0,"🔴 Unfunded Spend",IF($I25&gt;=$H25,"🔴 Over Budget",IF($N25&gt;$H25,"🔴 Projected Shortfall",IF($J25&gt;=Controls!$C$8,"🟡 Watch","🟢 On Track")))))))</f>
        <v>⚪ No Funding on File</v>
      </c>
    </row>
    <row r="26" customFormat="false" ht="15" hidden="false" customHeight="false" outlineLevel="0" collapsed="false">
      <c r="A26" s="17" t="str">
        <f aca="false">IF($B26="","",IF((IFERROR(INDEX(_RefTable!$A$2:$A$501,MATCH($B26,_RefTable!$C$2:$C$501,0)),IFERROR(INDEX(_MainTable!$A$2:$A$2001,MATCH($B26,_MainTable!$F$2:$F$2001,0)),IFERROR(INDEX('SC Change Orders'!$A$2:$A$501,MATCH($B26,'SC Change Orders'!$B$2:$B$501,0)),"(unknown vendor)"))))&amp;""="","—",(IFERROR(INDEX(_RefTable!$A$2:$A$501,MATCH($B26,_RefTable!$C$2:$C$501,0)),IFERROR(INDEX(_MainTable!$A$2:$A$2001,MATCH($B26,_MainTable!$F$2:$F$2001,0)),IFERROR(INDEX('SC Change Orders'!$A$2:$A$501,MATCH($B26,'SC Change Orders'!$B$2:$B$501,0)),"(unknown vendor)"))))))</f>
        <v>RMP LLC</v>
      </c>
      <c r="B26" s="18" t="n">
        <f aca="false">IFERROR(INDEX('PO Index'!$B$5:$B$84,22),"")</f>
        <v>10420</v>
      </c>
      <c r="C26" s="17" t="str">
        <f aca="false">IF($B26="","",IF((IFERROR(INDEX(_RefTable!$B$2:$B$501,MATCH($B26,_RefTable!$C$2:$C$501,0))&amp;IF(COUNTIF(_RefTable!$C$2:$C$501,$B26)&gt;1," (+"&amp;COUNTIF(_RefTable!$C$2:$C$501,$B26)-1&amp;" more)",""),IFERROR(INDEX(_MainTable!$B$2:$B$2001,MATCH($B26,_MainTable!$F$2:$F$2001,0)),"")))&amp;""="","—",(IFERROR(INDEX(_RefTable!$B$2:$B$501,MATCH($B26,_RefTable!$C$2:$C$501,0))&amp;IF(COUNTIF(_RefTable!$C$2:$C$501,$B26)&gt;1," (+"&amp;COUNTIF(_RefTable!$C$2:$C$501,$B26)-1&amp;" more)",""),IFERROR(INDEX(_MainTable!$B$2:$B$2001,MATCH($B26,_MainTable!$F$2:$F$2001,0)),"")))))</f>
        <v>Storage</v>
      </c>
      <c r="D26" s="17" t="str">
        <f aca="false">IF($B26="","",IF((IFERROR(INDEX(_RefTable!$E$2:$E$501,MATCH($B26,_RefTable!$C$2:$C$501,0)),IFERROR(INDEX(_MainTable!$C$2:$C$2001,MATCH($B26,_MainTable!$F$2:$F$2001,0)),"")))&amp;""="","—",(IFERROR(INDEX(_RefTable!$E$2:$E$501,MATCH($B26,_RefTable!$C$2:$C$501,0)),IFERROR(INDEX(_MainTable!$C$2:$C$2001,MATCH($B26,_MainTable!$F$2:$F$2001,0)),"")))))</f>
        <v>Jake Reid</v>
      </c>
      <c r="E26" s="17" t="str">
        <f aca="false">IF($B26="","",IF((IFERROR(INDEX(_RefTable!$F$2:$F$501,MATCH($B26,_RefTable!$C$2:$C$501,0)),IFERROR(INDEX(_MainTable!$D$2:$D$2001,MATCH($B26,_MainTable!$F$2:$F$2001,0)),"")))&amp;""="","—",(IFERROR(INDEX(_RefTable!$F$2:$F$501,MATCH($B26,_RefTable!$C$2:$C$501,0)),IFERROR(INDEX(_MainTable!$D$2:$D$2001,MATCH($B26,_MainTable!$F$2:$F$2001,0)),"")))))</f>
        <v>Letisia Speelman</v>
      </c>
      <c r="F26" s="19" t="n">
        <f aca="false">IF($B26="","",IFERROR(_xlfn.MINIFS('SC Change Orders'!$E$2:$E$501,'SC Change Orders'!$B$2:$B$501,$B26,'SC Change Orders'!$C$2:$C$501,"&gt;="&amp;Controls!$C$5,'SC Change Orders'!$C$2:$C$501,"&lt;="&amp;Controls!$C$6),0))</f>
        <v>0</v>
      </c>
      <c r="G26" s="19" t="n">
        <f aca="false">IF($B26="","",SUMIFS('SC Change Orders'!$F$2:$F$501,'SC Change Orders'!$B$2:$B$501,$B26,'SC Change Orders'!$C$2:$C$501,"&gt;="&amp;Controls!$C$5,'SC Change Orders'!$C$2:$C$501,"&lt;="&amp;Controls!$C$6))</f>
        <v>0</v>
      </c>
      <c r="H26" s="19" t="n">
        <f aca="false">IF($B26="","",$F26+$G26)</f>
        <v>0</v>
      </c>
      <c r="I26" s="19" t="n">
        <f aca="false">IF($B26="","",SUMIFS(_MainTable!$K$2:$K$2001,_MainTable!$F$2:$F$2001,$B26,_MainTable!$G$2:$G$2001,"&gt;="&amp;Controls!$C$5,_MainTable!$G$2:$G$2001,"&lt;="&amp;Controls!$C$6))</f>
        <v>600</v>
      </c>
      <c r="J26" s="20" t="n">
        <f aca="false">IF($B26="","",IFERROR($I26/$H26,0))</f>
        <v>0</v>
      </c>
      <c r="K26" s="19" t="n">
        <f aca="false">IF($B26="","",$H26-$I26)</f>
        <v>-600</v>
      </c>
      <c r="L26" s="19" t="n">
        <f aca="false">IF($B26="","",IFERROR(SUMIFS(_MainTable!$K$2:$K$2001,_MainTable!$F$2:$F$2001,$B26,_MainTable!$G$2:$G$2001,"&gt;="&amp;Controls!$C$12,_MainTable!$G$2:$G$2001,"&lt;="&amp;EOMONTH(Controls!$C$7,0))/MIN(Controls!$C$9,Controls!$C$10),0))</f>
        <v>200</v>
      </c>
      <c r="M26" s="19" t="n">
        <f aca="false">IF($B26="","",$L26*Controls!$C$11)</f>
        <v>400</v>
      </c>
      <c r="N26" s="19" t="n">
        <f aca="false">IF($B26="","",$I26+$M26)</f>
        <v>1000</v>
      </c>
      <c r="O26" s="20" t="n">
        <f aca="false">IF($B26="","",IFERROR($N26/$H26,0))</f>
        <v>0</v>
      </c>
      <c r="P26" s="19" t="n">
        <f aca="false">IF($B26="","",$H26-$N26)</f>
        <v>-1000</v>
      </c>
      <c r="Q26" s="21" t="n">
        <f aca="false">IF($B26="","",IF($L26&lt;=0,"n/a",IFERROR($K26/$L26,"n/a")))</f>
        <v>-3</v>
      </c>
      <c r="R26" s="22" t="str">
        <f aca="false">IF($B26="","",IF(AND($H26=0,$I26=0),"⚪ No Activity",IF(AND($H26=0,COUNTIFS('SC Change Orders'!$B$2:$B$501,$B26,'SC Change Orders'!$C$2:$C$501,"&gt;="&amp;Controls!$C$5,'SC Change Orders'!$C$2:$C$501,"&lt;="&amp;Controls!$C$6)=0),"⚪ No Funding on File",IF($H26=0,"🔴 Unfunded Spend",IF($I26&gt;=$H26,"🔴 Over Budget",IF($N26&gt;$H26,"🔴 Projected Shortfall",IF($J26&gt;=Controls!$C$8,"🟡 Watch","🟢 On Track")))))))</f>
        <v>⚪ No Funding on File</v>
      </c>
    </row>
    <row r="27" customFormat="false" ht="15" hidden="false" customHeight="false" outlineLevel="0" collapsed="false">
      <c r="A27" s="17" t="str">
        <f aca="false">IF($B27="","",IF((IFERROR(INDEX(_RefTable!$A$2:$A$501,MATCH($B27,_RefTable!$C$2:$C$501,0)),IFERROR(INDEX(_MainTable!$A$2:$A$2001,MATCH($B27,_MainTable!$F$2:$F$2001,0)),IFERROR(INDEX('SC Change Orders'!$A$2:$A$501,MATCH($B27,'SC Change Orders'!$B$2:$B$501,0)),"(unknown vendor)"))))&amp;""="","—",(IFERROR(INDEX(_RefTable!$A$2:$A$501,MATCH($B27,_RefTable!$C$2:$C$501,0)),IFERROR(INDEX(_MainTable!$A$2:$A$2001,MATCH($B27,_MainTable!$F$2:$F$2001,0)),IFERROR(INDEX('SC Change Orders'!$A$2:$A$501,MATCH($B27,'SC Change Orders'!$B$2:$B$501,0)),"(unknown vendor)"))))))</f>
        <v>REVSPRING INC</v>
      </c>
      <c r="B27" s="18" t="n">
        <f aca="false">IFERROR(INDEX('PO Index'!$B$5:$B$84,23),"")</f>
        <v>10423</v>
      </c>
      <c r="C27" s="17" t="str">
        <f aca="false">IF($B27="","",IF((IFERROR(INDEX(_RefTable!$B$2:$B$501,MATCH($B27,_RefTable!$C$2:$C$501,0))&amp;IF(COUNTIF(_RefTable!$C$2:$C$501,$B27)&gt;1," (+"&amp;COUNTIF(_RefTable!$C$2:$C$501,$B27)-1&amp;" more)",""),IFERROR(INDEX(_MainTable!$B$2:$B$2001,MATCH($B27,_MainTable!$F$2:$F$2001,0)),"")))&amp;""="","—",(IFERROR(INDEX(_RefTable!$B$2:$B$501,MATCH($B27,_RefTable!$C$2:$C$501,0))&amp;IF(COUNTIF(_RefTable!$C$2:$C$501,$B27)&gt;1," (+"&amp;COUNTIF(_RefTable!$C$2:$C$501,$B27)-1&amp;" more)",""),IFERROR(INDEX(_MainTable!$B$2:$B$2001,MATCH($B27,_MainTable!$F$2:$F$2001,0)),"")))))</f>
        <v>Payment processing- IVR</v>
      </c>
      <c r="D27" s="17" t="str">
        <f aca="false">IF($B27="","",IF((IFERROR(INDEX(_RefTable!$E$2:$E$501,MATCH($B27,_RefTable!$C$2:$C$501,0)),IFERROR(INDEX(_MainTable!$C$2:$C$2001,MATCH($B27,_MainTable!$F$2:$F$2001,0)),"")))&amp;""="","—",(IFERROR(INDEX(_RefTable!$E$2:$E$501,MATCH($B27,_RefTable!$C$2:$C$501,0)),IFERROR(INDEX(_MainTable!$C$2:$C$2001,MATCH($B27,_MainTable!$F$2:$F$2001,0)),"")))))</f>
        <v>Jake Reid</v>
      </c>
      <c r="E27" s="17" t="str">
        <f aca="false">IF($B27="","",IF((IFERROR(INDEX(_RefTable!$F$2:$F$501,MATCH($B27,_RefTable!$C$2:$C$501,0)),IFERROR(INDEX(_MainTable!$D$2:$D$2001,MATCH($B27,_MainTable!$F$2:$F$2001,0)),"")))&amp;""="","—",(IFERROR(INDEX(_RefTable!$F$2:$F$501,MATCH($B27,_RefTable!$C$2:$C$501,0)),IFERROR(INDEX(_MainTable!$D$2:$D$2001,MATCH($B27,_MainTable!$F$2:$F$2001,0)),"")))))</f>
        <v>Letisia Speelman</v>
      </c>
      <c r="F27" s="19" t="n">
        <f aca="false">IF($B27="","",IFERROR(_xlfn.MINIFS('SC Change Orders'!$E$2:$E$501,'SC Change Orders'!$B$2:$B$501,$B27,'SC Change Orders'!$C$2:$C$501,"&gt;="&amp;Controls!$C$5,'SC Change Orders'!$C$2:$C$501,"&lt;="&amp;Controls!$C$6),0))</f>
        <v>0</v>
      </c>
      <c r="G27" s="19" t="n">
        <f aca="false">IF($B27="","",SUMIFS('SC Change Orders'!$F$2:$F$501,'SC Change Orders'!$B$2:$B$501,$B27,'SC Change Orders'!$C$2:$C$501,"&gt;="&amp;Controls!$C$5,'SC Change Orders'!$C$2:$C$501,"&lt;="&amp;Controls!$C$6))</f>
        <v>0</v>
      </c>
      <c r="H27" s="19" t="n">
        <f aca="false">IF($B27="","",$F27+$G27)</f>
        <v>0</v>
      </c>
      <c r="I27" s="19" t="n">
        <f aca="false">IF($B27="","",SUMIFS(_MainTable!$K$2:$K$2001,_MainTable!$F$2:$F$2001,$B27,_MainTable!$G$2:$G$2001,"&gt;="&amp;Controls!$C$5,_MainTable!$G$2:$G$2001,"&lt;="&amp;Controls!$C$6))</f>
        <v>48227.35</v>
      </c>
      <c r="J27" s="20" t="n">
        <f aca="false">IF($B27="","",IFERROR($I27/$H27,0))</f>
        <v>0</v>
      </c>
      <c r="K27" s="19" t="n">
        <f aca="false">IF($B27="","",$H27-$I27)</f>
        <v>-48227.35</v>
      </c>
      <c r="L27" s="19" t="n">
        <f aca="false">IF($B27="","",IFERROR(SUMIFS(_MainTable!$K$2:$K$2001,_MainTable!$F$2:$F$2001,$B27,_MainTable!$G$2:$G$2001,"&gt;="&amp;Controls!$C$12,_MainTable!$G$2:$G$2001,"&lt;="&amp;EOMONTH(Controls!$C$7,0))/MIN(Controls!$C$9,Controls!$C$10),0))</f>
        <v>13040.0333333333</v>
      </c>
      <c r="M27" s="19" t="n">
        <f aca="false">IF($B27="","",$L27*Controls!$C$11)</f>
        <v>26080.0666666667</v>
      </c>
      <c r="N27" s="19" t="n">
        <f aca="false">IF($B27="","",$I27+$M27)</f>
        <v>74307.4166666667</v>
      </c>
      <c r="O27" s="20" t="n">
        <f aca="false">IF($B27="","",IFERROR($N27/$H27,0))</f>
        <v>0</v>
      </c>
      <c r="P27" s="19" t="n">
        <f aca="false">IF($B27="","",$H27-$N27)</f>
        <v>-74307.4166666667</v>
      </c>
      <c r="Q27" s="21" t="n">
        <f aca="false">IF($B27="","",IF($L27&lt;=0,"n/a",IFERROR($K27/$L27,"n/a")))</f>
        <v>-3.69840695703743</v>
      </c>
      <c r="R27" s="22" t="str">
        <f aca="false">IF($B27="","",IF(AND($H27=0,$I27=0),"⚪ No Activity",IF(AND($H27=0,COUNTIFS('SC Change Orders'!$B$2:$B$501,$B27,'SC Change Orders'!$C$2:$C$501,"&gt;="&amp;Controls!$C$5,'SC Change Orders'!$C$2:$C$501,"&lt;="&amp;Controls!$C$6)=0),"⚪ No Funding on File",IF($H27=0,"🔴 Unfunded Spend",IF($I27&gt;=$H27,"🔴 Over Budget",IF($N27&gt;$H27,"🔴 Projected Shortfall",IF($J27&gt;=Controls!$C$8,"🟡 Watch","🟢 On Track")))))))</f>
        <v>⚪ No Funding on File</v>
      </c>
    </row>
    <row r="28" customFormat="false" ht="15" hidden="false" customHeight="false" outlineLevel="0" collapsed="false">
      <c r="A28" s="17" t="str">
        <f aca="false">IF($B28="","",IF((IFERROR(INDEX(_RefTable!$A$2:$A$501,MATCH($B28,_RefTable!$C$2:$C$501,0)),IFERROR(INDEX(_MainTable!$A$2:$A$2001,MATCH($B28,_MainTable!$F$2:$F$2001,0)),IFERROR(INDEX('SC Change Orders'!$A$2:$A$501,MATCH($B28,'SC Change Orders'!$B$2:$B$501,0)),"(unknown vendor)"))))&amp;""="","—",(IFERROR(INDEX(_RefTable!$A$2:$A$501,MATCH($B28,_RefTable!$C$2:$C$501,0)),IFERROR(INDEX(_MainTable!$A$2:$A$2001,MATCH($B28,_MainTable!$F$2:$F$2001,0)),IFERROR(INDEX('SC Change Orders'!$A$2:$A$501,MATCH($B28,'SC Change Orders'!$B$2:$B$501,0)),"(unknown vendor)"))))))</f>
        <v>REVSPRING INC</v>
      </c>
      <c r="B28" s="18" t="n">
        <f aca="false">IFERROR(INDEX('PO Index'!$B$5:$B$84,24),"")</f>
        <v>10424</v>
      </c>
      <c r="C28" s="17" t="str">
        <f aca="false">IF($B28="","",IF((IFERROR(INDEX(_RefTable!$B$2:$B$501,MATCH($B28,_RefTable!$C$2:$C$501,0))&amp;IF(COUNTIF(_RefTable!$C$2:$C$501,$B28)&gt;1," (+"&amp;COUNTIF(_RefTable!$C$2:$C$501,$B28)-1&amp;" more)",""),IFERROR(INDEX(_MainTable!$B$2:$B$2001,MATCH($B28,_MainTable!$F$2:$F$2001,0)),"")))&amp;""="","—",(IFERROR(INDEX(_RefTable!$B$2:$B$501,MATCH($B28,_RefTable!$C$2:$C$501,0))&amp;IF(COUNTIF(_RefTable!$C$2:$C$501,$B28)&gt;1," (+"&amp;COUNTIF(_RefTable!$C$2:$C$501,$B28)-1&amp;" more)",""),IFERROR(INDEX(_MainTable!$B$2:$B$2001,MATCH($B28,_MainTable!$F$2:$F$2001,0)),"")))))</f>
        <v>Payment processing- Persona Pay</v>
      </c>
      <c r="D28" s="17" t="str">
        <f aca="false">IF($B28="","",IF((IFERROR(INDEX(_RefTable!$E$2:$E$501,MATCH($B28,_RefTable!$C$2:$C$501,0)),IFERROR(INDEX(_MainTable!$C$2:$C$2001,MATCH($B28,_MainTable!$F$2:$F$2001,0)),"")))&amp;""="","—",(IFERROR(INDEX(_RefTable!$E$2:$E$501,MATCH($B28,_RefTable!$C$2:$C$501,0)),IFERROR(INDEX(_MainTable!$C$2:$C$2001,MATCH($B28,_MainTable!$F$2:$F$2001,0)),"")))))</f>
        <v>Jake Reid</v>
      </c>
      <c r="E28" s="17" t="str">
        <f aca="false">IF($B28="","",IF((IFERROR(INDEX(_RefTable!$F$2:$F$501,MATCH($B28,_RefTable!$C$2:$C$501,0)),IFERROR(INDEX(_MainTable!$D$2:$D$2001,MATCH($B28,_MainTable!$F$2:$F$2001,0)),"")))&amp;""="","—",(IFERROR(INDEX(_RefTable!$F$2:$F$501,MATCH($B28,_RefTable!$C$2:$C$501,0)),IFERROR(INDEX(_MainTable!$D$2:$D$2001,MATCH($B28,_MainTable!$F$2:$F$2001,0)),"")))))</f>
        <v>Letisia Speelman</v>
      </c>
      <c r="F28" s="19" t="n">
        <f aca="false">IF($B28="","",IFERROR(_xlfn.MINIFS('SC Change Orders'!$E$2:$E$501,'SC Change Orders'!$B$2:$B$501,$B28,'SC Change Orders'!$C$2:$C$501,"&gt;="&amp;Controls!$C$5,'SC Change Orders'!$C$2:$C$501,"&lt;="&amp;Controls!$C$6),0))</f>
        <v>0</v>
      </c>
      <c r="G28" s="19" t="n">
        <f aca="false">IF($B28="","",SUMIFS('SC Change Orders'!$F$2:$F$501,'SC Change Orders'!$B$2:$B$501,$B28,'SC Change Orders'!$C$2:$C$501,"&gt;="&amp;Controls!$C$5,'SC Change Orders'!$C$2:$C$501,"&lt;="&amp;Controls!$C$6))</f>
        <v>0</v>
      </c>
      <c r="H28" s="19" t="n">
        <f aca="false">IF($B28="","",$F28+$G28)</f>
        <v>0</v>
      </c>
      <c r="I28" s="19" t="n">
        <f aca="false">IF($B28="","",SUMIFS(_MainTable!$K$2:$K$2001,_MainTable!$F$2:$F$2001,$B28,_MainTable!$G$2:$G$2001,"&gt;="&amp;Controls!$C$5,_MainTable!$G$2:$G$2001,"&lt;="&amp;Controls!$C$6))</f>
        <v>35307.06</v>
      </c>
      <c r="J28" s="20" t="n">
        <f aca="false">IF($B28="","",IFERROR($I28/$H28,0))</f>
        <v>0</v>
      </c>
      <c r="K28" s="19" t="n">
        <f aca="false">IF($B28="","",$H28-$I28)</f>
        <v>-35307.06</v>
      </c>
      <c r="L28" s="19" t="n">
        <f aca="false">IF($B28="","",IFERROR(SUMIFS(_MainTable!$K$2:$K$2001,_MainTable!$F$2:$F$2001,$B28,_MainTable!$G$2:$G$2001,"&gt;="&amp;Controls!$C$12,_MainTable!$G$2:$G$2001,"&lt;="&amp;EOMONTH(Controls!$C$7,0))/MIN(Controls!$C$9,Controls!$C$10),0))</f>
        <v>7846.01333333333</v>
      </c>
      <c r="M28" s="19" t="n">
        <f aca="false">IF($B28="","",$L28*Controls!$C$11)</f>
        <v>15692.0266666667</v>
      </c>
      <c r="N28" s="19" t="n">
        <f aca="false">IF($B28="","",$I28+$M28)</f>
        <v>50999.0866666667</v>
      </c>
      <c r="O28" s="20" t="n">
        <f aca="false">IF($B28="","",IFERROR($N28/$H28,0))</f>
        <v>0</v>
      </c>
      <c r="P28" s="19" t="n">
        <f aca="false">IF($B28="","",$H28-$N28)</f>
        <v>-50999.0866666667</v>
      </c>
      <c r="Q28" s="21" t="n">
        <f aca="false">IF($B28="","",IF($L28&lt;=0,"n/a",IFERROR($K28/$L28,"n/a")))</f>
        <v>-4.5</v>
      </c>
      <c r="R28" s="22" t="str">
        <f aca="false">IF($B28="","",IF(AND($H28=0,$I28=0),"⚪ No Activity",IF(AND($H28=0,COUNTIFS('SC Change Orders'!$B$2:$B$501,$B28,'SC Change Orders'!$C$2:$C$501,"&gt;="&amp;Controls!$C$5,'SC Change Orders'!$C$2:$C$501,"&lt;="&amp;Controls!$C$6)=0),"⚪ No Funding on File",IF($H28=0,"🔴 Unfunded Spend",IF($I28&gt;=$H28,"🔴 Over Budget",IF($N28&gt;$H28,"🔴 Projected Shortfall",IF($J28&gt;=Controls!$C$8,"🟡 Watch","🟢 On Track")))))))</f>
        <v>⚪ No Funding on File</v>
      </c>
    </row>
    <row r="29" customFormat="false" ht="15" hidden="false" customHeight="false" outlineLevel="0" collapsed="false">
      <c r="A29" s="17" t="str">
        <f aca="false">IF($B29="","",IF((IFERROR(INDEX(_RefTable!$A$2:$A$501,MATCH($B29,_RefTable!$C$2:$C$501,0)),IFERROR(INDEX(_MainTable!$A$2:$A$2001,MATCH($B29,_MainTable!$F$2:$F$2001,0)),IFERROR(INDEX('SC Change Orders'!$A$2:$A$501,MATCH($B29,'SC Change Orders'!$B$2:$B$501,0)),"(unknown vendor)"))))&amp;""="","—",(IFERROR(INDEX(_RefTable!$A$2:$A$501,MATCH($B29,_RefTable!$C$2:$C$501,0)),IFERROR(INDEX(_MainTable!$A$2:$A$2001,MATCH($B29,_MainTable!$F$2:$F$2001,0)),IFERROR(INDEX('SC Change Orders'!$A$2:$A$501,MATCH($B29,'SC Change Orders'!$B$2:$B$501,0)),"(unknown vendor)"))))))</f>
        <v>EXPERIAN HEALTH</v>
      </c>
      <c r="B29" s="18" t="n">
        <f aca="false">IFERROR(INDEX('PO Index'!$B$5:$B$84,25),"")</f>
        <v>10473</v>
      </c>
      <c r="C29" s="17" t="str">
        <f aca="false">IF($B29="","",IF((IFERROR(INDEX(_RefTable!$B$2:$B$501,MATCH($B29,_RefTable!$C$2:$C$501,0))&amp;IF(COUNTIF(_RefTable!$C$2:$C$501,$B29)&gt;1," (+"&amp;COUNTIF(_RefTable!$C$2:$C$501,$B29)-1&amp;" more)",""),IFERROR(INDEX(_MainTable!$B$2:$B$2001,MATCH($B29,_MainTable!$F$2:$F$2001,0)),"")))&amp;""="","—",(IFERROR(INDEX(_RefTable!$B$2:$B$501,MATCH($B29,_RefTable!$C$2:$C$501,0))&amp;IF(COUNTIF(_RefTable!$C$2:$C$501,$B29)&gt;1," (+"&amp;COUNTIF(_RefTable!$C$2:$C$501,$B29)-1&amp;" more)",""),IFERROR(INDEX(_MainTable!$B$2:$B$2001,MATCH($B29,_MainTable!$F$2:$F$2001,0)),"")))))</f>
        <v>Claims Clearinghouse</v>
      </c>
      <c r="D29" s="17" t="str">
        <f aca="false">IF($B29="","",IF((IFERROR(INDEX(_RefTable!$E$2:$E$501,MATCH($B29,_RefTable!$C$2:$C$501,0)),IFERROR(INDEX(_MainTable!$C$2:$C$2001,MATCH($B29,_MainTable!$F$2:$F$2001,0)),"")))&amp;""="","—",(IFERROR(INDEX(_RefTable!$E$2:$E$501,MATCH($B29,_RefTable!$C$2:$C$501,0)),IFERROR(INDEX(_MainTable!$C$2:$C$2001,MATCH($B29,_MainTable!$F$2:$F$2001,0)),"")))))</f>
        <v>Jake Reid</v>
      </c>
      <c r="E29" s="17" t="str">
        <f aca="false">IF($B29="","",IF((IFERROR(INDEX(_RefTable!$F$2:$F$501,MATCH($B29,_RefTable!$C$2:$C$501,0)),IFERROR(INDEX(_MainTable!$D$2:$D$2001,MATCH($B29,_MainTable!$F$2:$F$2001,0)),"")))&amp;""="","—",(IFERROR(INDEX(_RefTable!$F$2:$F$501,MATCH($B29,_RefTable!$C$2:$C$501,0)),IFERROR(INDEX(_MainTable!$D$2:$D$2001,MATCH($B29,_MainTable!$F$2:$F$2001,0)),"")))))</f>
        <v>Adam Vardaman</v>
      </c>
      <c r="F29" s="19" t="n">
        <f aca="false">IF($B29="","",IFERROR(_xlfn.MINIFS('SC Change Orders'!$E$2:$E$501,'SC Change Orders'!$B$2:$B$501,$B29,'SC Change Orders'!$C$2:$C$501,"&gt;="&amp;Controls!$C$5,'SC Change Orders'!$C$2:$C$501,"&lt;="&amp;Controls!$C$6),0))</f>
        <v>1300000</v>
      </c>
      <c r="G29" s="19" t="n">
        <f aca="false">IF($B29="","",SUMIFS('SC Change Orders'!$F$2:$F$501,'SC Change Orders'!$B$2:$B$501,$B29,'SC Change Orders'!$C$2:$C$501,"&gt;="&amp;Controls!$C$5,'SC Change Orders'!$C$2:$C$501,"&lt;="&amp;Controls!$C$6))</f>
        <v>508790</v>
      </c>
      <c r="H29" s="19" t="n">
        <f aca="false">IF($B29="","",$F29+$G29)</f>
        <v>1808790</v>
      </c>
      <c r="I29" s="19" t="n">
        <f aca="false">IF($B29="","",SUMIFS(_MainTable!$K$2:$K$2001,_MainTable!$F$2:$F$2001,$B29,_MainTable!$G$2:$G$2001,"&gt;="&amp;Controls!$C$5,_MainTable!$G$2:$G$2001,"&lt;="&amp;Controls!$C$6))</f>
        <v>686916.08</v>
      </c>
      <c r="J29" s="20" t="n">
        <f aca="false">IF($B29="","",IFERROR($I29/$H29,0))</f>
        <v>0.379765522808065</v>
      </c>
      <c r="K29" s="19" t="n">
        <f aca="false">IF($B29="","",$H29-$I29)</f>
        <v>1121873.92</v>
      </c>
      <c r="L29" s="19" t="n">
        <f aca="false">IF($B29="","",IFERROR(SUMIFS(_MainTable!$K$2:$K$2001,_MainTable!$F$2:$F$2001,$B29,_MainTable!$G$2:$G$2001,"&gt;="&amp;Controls!$C$12,_MainTable!$G$2:$G$2001,"&lt;="&amp;EOMONTH(Controls!$C$7,0))/MIN(Controls!$C$9,Controls!$C$10),0))</f>
        <v>119429.703333333</v>
      </c>
      <c r="M29" s="19" t="n">
        <f aca="false">IF($B29="","",$L29*Controls!$C$11)</f>
        <v>238859.406666667</v>
      </c>
      <c r="N29" s="19" t="n">
        <f aca="false">IF($B29="","",$I29+$M29)</f>
        <v>925775.486666667</v>
      </c>
      <c r="O29" s="20" t="n">
        <f aca="false">IF($B29="","",IFERROR($N29/$H29,0))</f>
        <v>0.511820325558338</v>
      </c>
      <c r="P29" s="19" t="n">
        <f aca="false">IF($B29="","",$H29-$N29)</f>
        <v>883014.513333333</v>
      </c>
      <c r="Q29" s="21" t="n">
        <f aca="false">IF($B29="","",IF($L29&lt;=0,"n/a",IFERROR($K29/$L29,"n/a")))</f>
        <v>9.39359211894551</v>
      </c>
      <c r="R29" s="22" t="str">
        <f aca="false">IF($B29="","",IF(AND($H29=0,$I29=0),"⚪ No Activity",IF(AND($H29=0,COUNTIFS('SC Change Orders'!$B$2:$B$501,$B29,'SC Change Orders'!$C$2:$C$501,"&gt;="&amp;Controls!$C$5,'SC Change Orders'!$C$2:$C$501,"&lt;="&amp;Controls!$C$6)=0),"⚪ No Funding on File",IF($H29=0,"🔴 Unfunded Spend",IF($I29&gt;=$H29,"🔴 Over Budget",IF($N29&gt;$H29,"🔴 Projected Shortfall",IF($J29&gt;=Controls!$C$8,"🟡 Watch","🟢 On Track")))))))</f>
        <v>🟢 On Track</v>
      </c>
    </row>
    <row r="30" customFormat="false" ht="15" hidden="false" customHeight="false" outlineLevel="0" collapsed="false">
      <c r="A30" s="17" t="str">
        <f aca="false">IF($B30="","",IF((IFERROR(INDEX(_RefTable!$A$2:$A$501,MATCH($B30,_RefTable!$C$2:$C$501,0)),IFERROR(INDEX(_MainTable!$A$2:$A$2001,MATCH($B30,_MainTable!$F$2:$F$2001,0)),IFERROR(INDEX('SC Change Orders'!$A$2:$A$501,MATCH($B30,'SC Change Orders'!$B$2:$B$501,0)),"(unknown vendor)"))))&amp;""="","—",(IFERROR(INDEX(_RefTable!$A$2:$A$501,MATCH($B30,_RefTable!$C$2:$C$501,0)),IFERROR(INDEX(_MainTable!$A$2:$A$2001,MATCH($B30,_MainTable!$F$2:$F$2001,0)),IFERROR(INDEX('SC Change Orders'!$A$2:$A$501,MATCH($B30,'SC Change Orders'!$B$2:$B$501,0)),"(unknown vendor)"))))))</f>
        <v>MCBEE ASSOCIATES INC</v>
      </c>
      <c r="B30" s="18" t="n">
        <f aca="false">IFERROR(INDEX('PO Index'!$B$5:$B$84,26),"")</f>
        <v>10479</v>
      </c>
      <c r="C30" s="17" t="str">
        <f aca="false">IF($B30="","",IF((IFERROR(INDEX(_RefTable!$B$2:$B$501,MATCH($B30,_RefTable!$C$2:$C$501,0))&amp;IF(COUNTIF(_RefTable!$C$2:$C$501,$B30)&gt;1," (+"&amp;COUNTIF(_RefTable!$C$2:$C$501,$B30)-1&amp;" more)",""),IFERROR(INDEX(_MainTable!$B$2:$B$2001,MATCH($B30,_MainTable!$F$2:$F$2001,0)),"")))&amp;""="","—",(IFERROR(INDEX(_RefTable!$B$2:$B$501,MATCH($B30,_RefTable!$C$2:$C$501,0))&amp;IF(COUNTIF(_RefTable!$C$2:$C$501,$B30)&gt;1," (+"&amp;COUNTIF(_RefTable!$C$2:$C$501,$B30)-1&amp;" more)",""),IFERROR(INDEX(_MainTable!$B$2:$B$2001,MATCH($B30,_MainTable!$F$2:$F$2001,0)),"")))))</f>
        <v>Transfer DRG (+1 more)</v>
      </c>
      <c r="D30" s="17" t="str">
        <f aca="false">IF($B30="","",IF((IFERROR(INDEX(_RefTable!$E$2:$E$501,MATCH($B30,_RefTable!$C$2:$C$501,0)),IFERROR(INDEX(_MainTable!$C$2:$C$2001,MATCH($B30,_MainTable!$F$2:$F$2001,0)),"")))&amp;""="","—",(IFERROR(INDEX(_RefTable!$E$2:$E$501,MATCH($B30,_RefTable!$C$2:$C$501,0)),IFERROR(INDEX(_MainTable!$C$2:$C$2001,MATCH($B30,_MainTable!$F$2:$F$2001,0)),"")))))</f>
        <v>Jake Reid</v>
      </c>
      <c r="E30" s="17" t="str">
        <f aca="false">IF($B30="","",IF((IFERROR(INDEX(_RefTable!$F$2:$F$501,MATCH($B30,_RefTable!$C$2:$C$501,0)),IFERROR(INDEX(_MainTable!$D$2:$D$2001,MATCH($B30,_MainTable!$F$2:$F$2001,0)),"")))&amp;""="","—",(IFERROR(INDEX(_RefTable!$F$2:$F$501,MATCH($B30,_RefTable!$C$2:$C$501,0)),IFERROR(INDEX(_MainTable!$D$2:$D$2001,MATCH($B30,_MainTable!$F$2:$F$2001,0)),"")))))</f>
        <v>Jaime Burnham</v>
      </c>
      <c r="F30" s="19" t="n">
        <f aca="false">IF($B30="","",IFERROR(_xlfn.MINIFS('SC Change Orders'!$E$2:$E$501,'SC Change Orders'!$B$2:$B$501,$B30,'SC Change Orders'!$C$2:$C$501,"&gt;="&amp;Controls!$C$5,'SC Change Orders'!$C$2:$C$501,"&lt;="&amp;Controls!$C$6),0))</f>
        <v>0</v>
      </c>
      <c r="G30" s="19" t="n">
        <f aca="false">IF($B30="","",SUMIFS('SC Change Orders'!$F$2:$F$501,'SC Change Orders'!$B$2:$B$501,$B30,'SC Change Orders'!$C$2:$C$501,"&gt;="&amp;Controls!$C$5,'SC Change Orders'!$C$2:$C$501,"&lt;="&amp;Controls!$C$6))</f>
        <v>0</v>
      </c>
      <c r="H30" s="19" t="n">
        <f aca="false">IF($B30="","",$F30+$G30)</f>
        <v>0</v>
      </c>
      <c r="I30" s="19" t="n">
        <f aca="false">IF($B30="","",SUMIFS(_MainTable!$K$2:$K$2001,_MainTable!$F$2:$F$2001,$B30,_MainTable!$G$2:$G$2001,"&gt;="&amp;Controls!$C$5,_MainTable!$G$2:$G$2001,"&lt;="&amp;Controls!$C$6))</f>
        <v>26620.51</v>
      </c>
      <c r="J30" s="20" t="n">
        <f aca="false">IF($B30="","",IFERROR($I30/$H30,0))</f>
        <v>0</v>
      </c>
      <c r="K30" s="19" t="n">
        <f aca="false">IF($B30="","",$H30-$I30)</f>
        <v>-26620.51</v>
      </c>
      <c r="L30" s="19" t="n">
        <f aca="false">IF($B30="","",IFERROR(SUMIFS(_MainTable!$K$2:$K$2001,_MainTable!$F$2:$F$2001,$B30,_MainTable!$G$2:$G$2001,"&gt;="&amp;Controls!$C$12,_MainTable!$G$2:$G$2001,"&lt;="&amp;EOMONTH(Controls!$C$7,0))/MIN(Controls!$C$9,Controls!$C$10),0))</f>
        <v>8873.50333333333</v>
      </c>
      <c r="M30" s="19" t="n">
        <f aca="false">IF($B30="","",$L30*Controls!$C$11)</f>
        <v>17747.0066666667</v>
      </c>
      <c r="N30" s="19" t="n">
        <f aca="false">IF($B30="","",$I30+$M30)</f>
        <v>44367.5166666667</v>
      </c>
      <c r="O30" s="20" t="n">
        <f aca="false">IF($B30="","",IFERROR($N30/$H30,0))</f>
        <v>0</v>
      </c>
      <c r="P30" s="19" t="n">
        <f aca="false">IF($B30="","",$H30-$N30)</f>
        <v>-44367.5166666667</v>
      </c>
      <c r="Q30" s="21" t="n">
        <f aca="false">IF($B30="","",IF($L30&lt;=0,"n/a",IFERROR($K30/$L30,"n/a")))</f>
        <v>-3</v>
      </c>
      <c r="R30" s="22" t="str">
        <f aca="false">IF($B30="","",IF(AND($H30=0,$I30=0),"⚪ No Activity",IF(AND($H30=0,COUNTIFS('SC Change Orders'!$B$2:$B$501,$B30,'SC Change Orders'!$C$2:$C$501,"&gt;="&amp;Controls!$C$5,'SC Change Orders'!$C$2:$C$501,"&lt;="&amp;Controls!$C$6)=0),"⚪ No Funding on File",IF($H30=0,"🔴 Unfunded Spend",IF($I30&gt;=$H30,"🔴 Over Budget",IF($N30&gt;$H30,"🔴 Projected Shortfall",IF($J30&gt;=Controls!$C$8,"🟡 Watch","🟢 On Track")))))))</f>
        <v>⚪ No Funding on File</v>
      </c>
    </row>
    <row r="31" customFormat="false" ht="15" hidden="false" customHeight="false" outlineLevel="0" collapsed="false">
      <c r="A31" s="17" t="str">
        <f aca="false">IF($B31="","",IF((IFERROR(INDEX(_RefTable!$A$2:$A$501,MATCH($B31,_RefTable!$C$2:$C$501,0)),IFERROR(INDEX(_MainTable!$A$2:$A$2001,MATCH($B31,_MainTable!$F$2:$F$2001,0)),IFERROR(INDEX('SC Change Orders'!$A$2:$A$501,MATCH($B31,'SC Change Orders'!$B$2:$B$501,0)),"(unknown vendor)"))))&amp;""="","—",(IFERROR(INDEX(_RefTable!$A$2:$A$501,MATCH($B31,_RefTable!$C$2:$C$501,0)),IFERROR(INDEX(_MainTable!$A$2:$A$2001,MATCH($B31,_MainTable!$F$2:$F$2001,0)),IFERROR(INDEX('SC Change Orders'!$A$2:$A$501,MATCH($B31,'SC Change Orders'!$B$2:$B$501,0)),"(unknown vendor)"))))))</f>
        <v>GUIDEHOUSE INC</v>
      </c>
      <c r="B31" s="18" t="n">
        <f aca="false">IFERROR(INDEX('PO Index'!$B$5:$B$84,27),"")</f>
        <v>10782</v>
      </c>
      <c r="C31" s="17" t="str">
        <f aca="false">IF($B31="","",IF((IFERROR(INDEX(_RefTable!$B$2:$B$501,MATCH($B31,_RefTable!$C$2:$C$501,0))&amp;IF(COUNTIF(_RefTable!$C$2:$C$501,$B31)&gt;1," (+"&amp;COUNTIF(_RefTable!$C$2:$C$501,$B31)-1&amp;" more)",""),IFERROR(INDEX(_MainTable!$B$2:$B$2001,MATCH($B31,_MainTable!$F$2:$F$2001,0)),"")))&amp;""="","—",(IFERROR(INDEX(_RefTable!$B$2:$B$501,MATCH($B31,_RefTable!$C$2:$C$501,0))&amp;IF(COUNTIF(_RefTable!$C$2:$C$501,$B31)&gt;1," (+"&amp;COUNTIF(_RefTable!$C$2:$C$501,$B31)-1&amp;" more)",""),IFERROR(INDEX(_MainTable!$B$2:$B$2001,MATCH($B31,_MainTable!$F$2:$F$2001,0)),"")))))</f>
        <v>Coding</v>
      </c>
      <c r="D31" s="17" t="str">
        <f aca="false">IF($B31="","",IF((IFERROR(INDEX(_RefTable!$E$2:$E$501,MATCH($B31,_RefTable!$C$2:$C$501,0)),IFERROR(INDEX(_MainTable!$C$2:$C$2001,MATCH($B31,_MainTable!$F$2:$F$2001,0)),"")))&amp;""="","—",(IFERROR(INDEX(_RefTable!$E$2:$E$501,MATCH($B31,_RefTable!$C$2:$C$501,0)),IFERROR(INDEX(_MainTable!$C$2:$C$2001,MATCH($B31,_MainTable!$F$2:$F$2001,0)),"")))))</f>
        <v>Sona Buchanan</v>
      </c>
      <c r="E31" s="17" t="str">
        <f aca="false">IF($B31="","",IF((IFERROR(INDEX(_RefTable!$F$2:$F$501,MATCH($B31,_RefTable!$C$2:$C$501,0)),IFERROR(INDEX(_MainTable!$D$2:$D$2001,MATCH($B31,_MainTable!$F$2:$F$2001,0)),"")))&amp;""="","—",(IFERROR(INDEX(_RefTable!$F$2:$F$501,MATCH($B31,_RefTable!$C$2:$C$501,0)),IFERROR(INDEX(_MainTable!$D$2:$D$2001,MATCH($B31,_MainTable!$F$2:$F$2001,0)),"")))))</f>
        <v>Heather Geile</v>
      </c>
      <c r="F31" s="19" t="n">
        <f aca="false">IF($B31="","",IFERROR(_xlfn.MINIFS('SC Change Orders'!$E$2:$E$501,'SC Change Orders'!$B$2:$B$501,$B31,'SC Change Orders'!$C$2:$C$501,"&gt;="&amp;Controls!$C$5,'SC Change Orders'!$C$2:$C$501,"&lt;="&amp;Controls!$C$6),0))</f>
        <v>288447</v>
      </c>
      <c r="G31" s="19" t="n">
        <f aca="false">IF($B31="","",SUMIFS('SC Change Orders'!$F$2:$F$501,'SC Change Orders'!$B$2:$B$501,$B31,'SC Change Orders'!$C$2:$C$501,"&gt;="&amp;Controls!$C$5,'SC Change Orders'!$C$2:$C$501,"&lt;="&amp;Controls!$C$6))</f>
        <v>690247.88</v>
      </c>
      <c r="H31" s="19" t="n">
        <f aca="false">IF($B31="","",$F31+$G31)</f>
        <v>978694.88</v>
      </c>
      <c r="I31" s="19" t="n">
        <f aca="false">IF($B31="","",SUMIFS(_MainTable!$K$2:$K$2001,_MainTable!$F$2:$F$2001,$B31,_MainTable!$G$2:$G$2001,"&gt;="&amp;Controls!$C$5,_MainTable!$G$2:$G$2001,"&lt;="&amp;Controls!$C$6))</f>
        <v>563185.59</v>
      </c>
      <c r="J31" s="20" t="n">
        <f aca="false">IF($B31="","",IFERROR($I31/$H31,0))</f>
        <v>0.575445525984564</v>
      </c>
      <c r="K31" s="19" t="n">
        <f aca="false">IF($B31="","",$H31-$I31)</f>
        <v>415509.29</v>
      </c>
      <c r="L31" s="19" t="n">
        <f aca="false">IF($B31="","",IFERROR(SUMIFS(_MainTable!$K$2:$K$2001,_MainTable!$F$2:$F$2001,$B31,_MainTable!$G$2:$G$2001,"&gt;="&amp;Controls!$C$12,_MainTable!$G$2:$G$2001,"&lt;="&amp;EOMONTH(Controls!$C$7,0))/MIN(Controls!$C$9,Controls!$C$10),0))</f>
        <v>139726.646666667</v>
      </c>
      <c r="M31" s="19" t="n">
        <f aca="false">IF($B31="","",$L31*Controls!$C$11)</f>
        <v>279453.293333333</v>
      </c>
      <c r="N31" s="19" t="n">
        <f aca="false">IF($B31="","",$I31+$M31)</f>
        <v>842638.883333333</v>
      </c>
      <c r="O31" s="20" t="n">
        <f aca="false">IF($B31="","",IFERROR($N31/$H31,0))</f>
        <v>0.860982212692615</v>
      </c>
      <c r="P31" s="19" t="n">
        <f aca="false">IF($B31="","",$H31-$N31)</f>
        <v>136055.996666667</v>
      </c>
      <c r="Q31" s="21" t="n">
        <f aca="false">IF($B31="","",IF($L31&lt;=0,"n/a",IFERROR($K31/$L31,"n/a")))</f>
        <v>2.97372977819502</v>
      </c>
      <c r="R31" s="22" t="str">
        <f aca="false">IF($B31="","",IF(AND($H31=0,$I31=0),"⚪ No Activity",IF(AND($H31=0,COUNTIFS('SC Change Orders'!$B$2:$B$501,$B31,'SC Change Orders'!$C$2:$C$501,"&gt;="&amp;Controls!$C$5,'SC Change Orders'!$C$2:$C$501,"&lt;="&amp;Controls!$C$6)=0),"⚪ No Funding on File",IF($H31=0,"🔴 Unfunded Spend",IF($I31&gt;=$H31,"🔴 Over Budget",IF($N31&gt;$H31,"🔴 Projected Shortfall",IF($J31&gt;=Controls!$C$8,"🟡 Watch","🟢 On Track")))))))</f>
        <v>🟢 On Track</v>
      </c>
    </row>
    <row r="32" customFormat="false" ht="15" hidden="false" customHeight="false" outlineLevel="0" collapsed="false">
      <c r="A32" s="17" t="str">
        <f aca="false">IF($B32="","",IF((IFERROR(INDEX(_RefTable!$A$2:$A$501,MATCH($B32,_RefTable!$C$2:$C$501,0)),IFERROR(INDEX(_MainTable!$A$2:$A$2001,MATCH($B32,_MainTable!$F$2:$F$2001,0)),IFERROR(INDEX('SC Change Orders'!$A$2:$A$501,MATCH($B32,'SC Change Orders'!$B$2:$B$501,0)),"(unknown vendor)"))))&amp;""="","—",(IFERROR(INDEX(_RefTable!$A$2:$A$501,MATCH($B32,_RefTable!$C$2:$C$501,0)),IFERROR(INDEX(_MainTable!$A$2:$A$2001,MATCH($B32,_MainTable!$F$2:$F$2001,0)),IFERROR(INDEX('SC Change Orders'!$A$2:$A$501,MATCH($B32,'SC Change Orders'!$B$2:$B$501,0)),"(unknown vendor)"))))))</f>
        <v>GUIDEHOUSE INC</v>
      </c>
      <c r="B32" s="18" t="n">
        <f aca="false">IFERROR(INDEX('PO Index'!$B$5:$B$84,28),"")</f>
        <v>10783</v>
      </c>
      <c r="C32" s="17" t="str">
        <f aca="false">IF($B32="","",IF((IFERROR(INDEX(_RefTable!$B$2:$B$501,MATCH($B32,_RefTable!$C$2:$C$501,0))&amp;IF(COUNTIF(_RefTable!$C$2:$C$501,$B32)&gt;1," (+"&amp;COUNTIF(_RefTable!$C$2:$C$501,$B32)-1&amp;" more)",""),IFERROR(INDEX(_MainTable!$B$2:$B$2001,MATCH($B32,_MainTable!$F$2:$F$2001,0)),"")))&amp;""="","—",(IFERROR(INDEX(_RefTable!$B$2:$B$501,MATCH($B32,_RefTable!$C$2:$C$501,0))&amp;IF(COUNTIF(_RefTable!$C$2:$C$501,$B32)&gt;1," (+"&amp;COUNTIF(_RefTable!$C$2:$C$501,$B32)-1&amp;" more)",""),IFERROR(INDEX(_MainTable!$B$2:$B$2001,MATCH($B32,_MainTable!$F$2:$F$2001,0)),"")))))</f>
        <v>ASA</v>
      </c>
      <c r="D32" s="17" t="str">
        <f aca="false">IF($B32="","",IF((IFERROR(INDEX(_RefTable!$E$2:$E$501,MATCH($B32,_RefTable!$C$2:$C$501,0)),IFERROR(INDEX(_MainTable!$C$2:$C$2001,MATCH($B32,_MainTable!$F$2:$F$2001,0)),"")))&amp;""="","—",(IFERROR(INDEX(_RefTable!$E$2:$E$501,MATCH($B32,_RefTable!$C$2:$C$501,0)),IFERROR(INDEX(_MainTable!$C$2:$C$2001,MATCH($B32,_MainTable!$F$2:$F$2001,0)),"")))))</f>
        <v>Rachel Seaman</v>
      </c>
      <c r="E32" s="17" t="str">
        <f aca="false">IF($B32="","",IF((IFERROR(INDEX(_RefTable!$F$2:$F$501,MATCH($B32,_RefTable!$C$2:$C$501,0)),IFERROR(INDEX(_MainTable!$D$2:$D$2001,MATCH($B32,_MainTable!$F$2:$F$2001,0)),"")))&amp;""="","—",(IFERROR(INDEX(_RefTable!$F$2:$F$501,MATCH($B32,_RefTable!$C$2:$C$501,0)),IFERROR(INDEX(_MainTable!$D$2:$D$2001,MATCH($B32,_MainTable!$F$2:$F$2001,0)),"")))))</f>
        <v>—</v>
      </c>
      <c r="F32" s="19" t="n">
        <f aca="false">IF($B32="","",IFERROR(_xlfn.MINIFS('SC Change Orders'!$E$2:$E$501,'SC Change Orders'!$B$2:$B$501,$B32,'SC Change Orders'!$C$2:$C$501,"&gt;="&amp;Controls!$C$5,'SC Change Orders'!$C$2:$C$501,"&lt;="&amp;Controls!$C$6),0))</f>
        <v>47625</v>
      </c>
      <c r="G32" s="19" t="n">
        <f aca="false">IF($B32="","",SUMIFS('SC Change Orders'!$F$2:$F$501,'SC Change Orders'!$B$2:$B$501,$B32,'SC Change Orders'!$C$2:$C$501,"&gt;="&amp;Controls!$C$5,'SC Change Orders'!$C$2:$C$501,"&lt;="&amp;Controls!$C$6))</f>
        <v>35181.25</v>
      </c>
      <c r="H32" s="19" t="n">
        <f aca="false">IF($B32="","",$F32+$G32)</f>
        <v>82806.25</v>
      </c>
      <c r="I32" s="19" t="n">
        <f aca="false">IF($B32="","",SUMIFS(_MainTable!$K$2:$K$2001,_MainTable!$F$2:$F$2001,$B32,_MainTable!$G$2:$G$2001,"&gt;="&amp;Controls!$C$5,_MainTable!$G$2:$G$2001,"&lt;="&amp;Controls!$C$6))</f>
        <v>176107.72</v>
      </c>
      <c r="J32" s="20" t="n">
        <f aca="false">IF($B32="","",IFERROR($I32/$H32,0))</f>
        <v>2.12674429768284</v>
      </c>
      <c r="K32" s="19" t="n">
        <f aca="false">IF($B32="","",$H32-$I32)</f>
        <v>-93301.47</v>
      </c>
      <c r="L32" s="19" t="n">
        <f aca="false">IF($B32="","",IFERROR(SUMIFS(_MainTable!$K$2:$K$2001,_MainTable!$F$2:$F$2001,$B32,_MainTable!$G$2:$G$2001,"&gt;="&amp;Controls!$C$12,_MainTable!$G$2:$G$2001,"&lt;="&amp;EOMONTH(Controls!$C$7,0))/MIN(Controls!$C$9,Controls!$C$10),0))</f>
        <v>35249.3033333333</v>
      </c>
      <c r="M32" s="19" t="n">
        <f aca="false">IF($B32="","",$L32*Controls!$C$11)</f>
        <v>70498.6066666667</v>
      </c>
      <c r="N32" s="19" t="n">
        <f aca="false">IF($B32="","",$I32+$M32)</f>
        <v>246606.326666667</v>
      </c>
      <c r="O32" s="20" t="n">
        <f aca="false">IF($B32="","",IFERROR($N32/$H32,0))</f>
        <v>2.97811248144514</v>
      </c>
      <c r="P32" s="19" t="n">
        <f aca="false">IF($B32="","",$H32-$N32)</f>
        <v>-163800.076666667</v>
      </c>
      <c r="Q32" s="21" t="n">
        <f aca="false">IF($B32="","",IF($L32&lt;=0,"n/a",IFERROR($K32/$L32,"n/a")))</f>
        <v>-2.64690252507118</v>
      </c>
      <c r="R32" s="22" t="str">
        <f aca="false">IF($B32="","",IF(AND($H32=0,$I32=0),"⚪ No Activity",IF(AND($H32=0,COUNTIFS('SC Change Orders'!$B$2:$B$501,$B32,'SC Change Orders'!$C$2:$C$501,"&gt;="&amp;Controls!$C$5,'SC Change Orders'!$C$2:$C$501,"&lt;="&amp;Controls!$C$6)=0),"⚪ No Funding on File",IF($H32=0,"🔴 Unfunded Spend",IF($I32&gt;=$H32,"🔴 Over Budget",IF($N32&gt;$H32,"🔴 Projected Shortfall",IF($J32&gt;=Controls!$C$8,"🟡 Watch","🟢 On Track")))))))</f>
        <v>🔴 Over Budget</v>
      </c>
    </row>
    <row r="33" customFormat="false" ht="15" hidden="false" customHeight="false" outlineLevel="0" collapsed="false">
      <c r="A33" s="17" t="str">
        <f aca="false">IF($B33="","",IF((IFERROR(INDEX(_RefTable!$A$2:$A$501,MATCH($B33,_RefTable!$C$2:$C$501,0)),IFERROR(INDEX(_MainTable!$A$2:$A$2001,MATCH($B33,_MainTable!$F$2:$F$2001,0)),IFERROR(INDEX('SC Change Orders'!$A$2:$A$501,MATCH($B33,'SC Change Orders'!$B$2:$B$501,0)),"(unknown vendor)"))))&amp;""="","—",(IFERROR(INDEX(_RefTable!$A$2:$A$501,MATCH($B33,_RefTable!$C$2:$C$501,0)),IFERROR(INDEX(_MainTable!$A$2:$A$2001,MATCH($B33,_MainTable!$F$2:$F$2001,0)),IFERROR(INDEX('SC Change Orders'!$A$2:$A$501,MATCH($B33,'SC Change Orders'!$B$2:$B$501,0)),"(unknown vendor)"))))))</f>
        <v>CLOUDMED</v>
      </c>
      <c r="B33" s="18" t="n">
        <f aca="false">IFERROR(INDEX('PO Index'!$B$5:$B$84,29),"")</f>
        <v>10798</v>
      </c>
      <c r="C33" s="17" t="str">
        <f aca="false">IF($B33="","",IF((IFERROR(INDEX(_RefTable!$B$2:$B$501,MATCH($B33,_RefTable!$C$2:$C$501,0))&amp;IF(COUNTIF(_RefTable!$C$2:$C$501,$B33)&gt;1," (+"&amp;COUNTIF(_RefTable!$C$2:$C$501,$B33)-1&amp;" more)",""),IFERROR(INDEX(_MainTable!$B$2:$B$2001,MATCH($B33,_MainTable!$F$2:$F$2001,0)),"")))&amp;""="","—",(IFERROR(INDEX(_RefTable!$B$2:$B$501,MATCH($B33,_RefTable!$C$2:$C$501,0))&amp;IF(COUNTIF(_RefTable!$C$2:$C$501,$B33)&gt;1," (+"&amp;COUNTIF(_RefTable!$C$2:$C$501,$B33)-1&amp;" more)",""),IFERROR(INDEX(_MainTable!$B$2:$B$2001,MATCH($B33,_MainTable!$F$2:$F$2001,0)),"")))))</f>
        <v>Denials (+1 more)</v>
      </c>
      <c r="D33" s="17" t="str">
        <f aca="false">IF($B33="","",IF((IFERROR(INDEX(_RefTable!$E$2:$E$501,MATCH($B33,_RefTable!$C$2:$C$501,0)),IFERROR(INDEX(_MainTable!$C$2:$C$2001,MATCH($B33,_MainTable!$F$2:$F$2001,0)),"")))&amp;""="","—",(IFERROR(INDEX(_RefTable!$E$2:$E$501,MATCH($B33,_RefTable!$C$2:$C$501,0)),IFERROR(INDEX(_MainTable!$C$2:$C$2001,MATCH($B33,_MainTable!$F$2:$F$2001,0)),"")))))</f>
        <v>Jake Reid</v>
      </c>
      <c r="E33" s="17" t="str">
        <f aca="false">IF($B33="","",IF((IFERROR(INDEX(_RefTable!$F$2:$F$501,MATCH($B33,_RefTable!$C$2:$C$501,0)),IFERROR(INDEX(_MainTable!$D$2:$D$2001,MATCH($B33,_MainTable!$F$2:$F$2001,0)),"")))&amp;""="","—",(IFERROR(INDEX(_RefTable!$F$2:$F$501,MATCH($B33,_RefTable!$C$2:$C$501,0)),IFERROR(INDEX(_MainTable!$D$2:$D$2001,MATCH($B33,_MainTable!$F$2:$F$2001,0)),"")))))</f>
        <v>Cody Thornock</v>
      </c>
      <c r="F33" s="19" t="n">
        <f aca="false">IF($B33="","",IFERROR(_xlfn.MINIFS('SC Change Orders'!$E$2:$E$501,'SC Change Orders'!$B$2:$B$501,$B33,'SC Change Orders'!$C$2:$C$501,"&gt;="&amp;Controls!$C$5,'SC Change Orders'!$C$2:$C$501,"&lt;="&amp;Controls!$C$6),0))</f>
        <v>1000000</v>
      </c>
      <c r="G33" s="19" t="n">
        <f aca="false">IF($B33="","",SUMIFS('SC Change Orders'!$F$2:$F$501,'SC Change Orders'!$B$2:$B$501,$B33,'SC Change Orders'!$C$2:$C$501,"&gt;="&amp;Controls!$C$5,'SC Change Orders'!$C$2:$C$501,"&lt;="&amp;Controls!$C$6))</f>
        <v>1600000</v>
      </c>
      <c r="H33" s="19" t="n">
        <f aca="false">IF($B33="","",$F33+$G33)</f>
        <v>2600000</v>
      </c>
      <c r="I33" s="19" t="n">
        <f aca="false">IF($B33="","",SUMIFS(_MainTable!$K$2:$K$2001,_MainTable!$F$2:$F$2001,$B33,_MainTable!$G$2:$G$2001,"&gt;="&amp;Controls!$C$5,_MainTable!$G$2:$G$2001,"&lt;="&amp;Controls!$C$6))</f>
        <v>387040.78</v>
      </c>
      <c r="J33" s="20" t="n">
        <f aca="false">IF($B33="","",IFERROR($I33/$H33,0))</f>
        <v>0.148861838461538</v>
      </c>
      <c r="K33" s="19" t="n">
        <f aca="false">IF($B33="","",$H33-$I33)</f>
        <v>2212959.22</v>
      </c>
      <c r="L33" s="19" t="n">
        <f aca="false">IF($B33="","",IFERROR(SUMIFS(_MainTable!$K$2:$K$2001,_MainTable!$F$2:$F$2001,$B33,_MainTable!$G$2:$G$2001,"&gt;="&amp;Controls!$C$12,_MainTable!$G$2:$G$2001,"&lt;="&amp;EOMONTH(Controls!$C$7,0))/MIN(Controls!$C$9,Controls!$C$10),0))</f>
        <v>66261.27</v>
      </c>
      <c r="M33" s="19" t="n">
        <f aca="false">IF($B33="","",$L33*Controls!$C$11)</f>
        <v>132522.54</v>
      </c>
      <c r="N33" s="19" t="n">
        <f aca="false">IF($B33="","",$I33+$M33)</f>
        <v>519563.32</v>
      </c>
      <c r="O33" s="20" t="n">
        <f aca="false">IF($B33="","",IFERROR($N33/$H33,0))</f>
        <v>0.199832046153846</v>
      </c>
      <c r="P33" s="19" t="n">
        <f aca="false">IF($B33="","",$H33-$N33)</f>
        <v>2080436.68</v>
      </c>
      <c r="Q33" s="21" t="n">
        <f aca="false">IF($B33="","",IF($L33&lt;=0,"n/a",IFERROR($K33/$L33,"n/a")))</f>
        <v>33.3974766858528</v>
      </c>
      <c r="R33" s="22" t="str">
        <f aca="false">IF($B33="","",IF(AND($H33=0,$I33=0),"⚪ No Activity",IF(AND($H33=0,COUNTIFS('SC Change Orders'!$B$2:$B$501,$B33,'SC Change Orders'!$C$2:$C$501,"&gt;="&amp;Controls!$C$5,'SC Change Orders'!$C$2:$C$501,"&lt;="&amp;Controls!$C$6)=0),"⚪ No Funding on File",IF($H33=0,"🔴 Unfunded Spend",IF($I33&gt;=$H33,"🔴 Over Budget",IF($N33&gt;$H33,"🔴 Projected Shortfall",IF($J33&gt;=Controls!$C$8,"🟡 Watch","🟢 On Track")))))))</f>
        <v>🟢 On Track</v>
      </c>
    </row>
    <row r="34" customFormat="false" ht="15" hidden="false" customHeight="false" outlineLevel="0" collapsed="false">
      <c r="A34" s="17" t="str">
        <f aca="false">IF($B34="","",IF((IFERROR(INDEX(_RefTable!$A$2:$A$501,MATCH($B34,_RefTable!$C$2:$C$501,0)),IFERROR(INDEX(_MainTable!$A$2:$A$2001,MATCH($B34,_MainTable!$F$2:$F$2001,0)),IFERROR(INDEX('SC Change Orders'!$A$2:$A$501,MATCH($B34,'SC Change Orders'!$B$2:$B$501,0)),"(unknown vendor)"))))&amp;""="","—",(IFERROR(INDEX(_RefTable!$A$2:$A$501,MATCH($B34,_RefTable!$C$2:$C$501,0)),IFERROR(INDEX(_MainTable!$A$2:$A$2001,MATCH($B34,_MainTable!$F$2:$F$2001,0)),IFERROR(INDEX('SC Change Orders'!$A$2:$A$501,MATCH($B34,'SC Change Orders'!$B$2:$B$501,0)),"(unknown vendor)"))))))</f>
        <v>HIMAGINE SOLUTIONS INC</v>
      </c>
      <c r="B34" s="18" t="n">
        <f aca="false">IFERROR(INDEX('PO Index'!$B$5:$B$84,30),"")</f>
        <v>10800</v>
      </c>
      <c r="C34" s="17" t="str">
        <f aca="false">IF($B34="","",IF((IFERROR(INDEX(_RefTable!$B$2:$B$501,MATCH($B34,_RefTable!$C$2:$C$501,0))&amp;IF(COUNTIF(_RefTable!$C$2:$C$501,$B34)&gt;1," (+"&amp;COUNTIF(_RefTable!$C$2:$C$501,$B34)-1&amp;" more)",""),IFERROR(INDEX(_MainTable!$B$2:$B$2001,MATCH($B34,_MainTable!$F$2:$F$2001,0)),"")))&amp;""="","—",(IFERROR(INDEX(_RefTable!$B$2:$B$501,MATCH($B34,_RefTable!$C$2:$C$501,0))&amp;IF(COUNTIF(_RefTable!$C$2:$C$501,$B34)&gt;1," (+"&amp;COUNTIF(_RefTable!$C$2:$C$501,$B34)-1&amp;" more)",""),IFERROR(INDEX(_MainTable!$B$2:$B$2001,MATCH($B34,_MainTable!$F$2:$F$2001,0)),"")))))</f>
        <v>Coding (+1 more)</v>
      </c>
      <c r="D34" s="17" t="str">
        <f aca="false">IF($B34="","",IF((IFERROR(INDEX(_RefTable!$E$2:$E$501,MATCH($B34,_RefTable!$C$2:$C$501,0)),IFERROR(INDEX(_MainTable!$C$2:$C$2001,MATCH($B34,_MainTable!$F$2:$F$2001,0)),"")))&amp;""="","—",(IFERROR(INDEX(_RefTable!$E$2:$E$501,MATCH($B34,_RefTable!$C$2:$C$501,0)),IFERROR(INDEX(_MainTable!$C$2:$C$2001,MATCH($B34,_MainTable!$F$2:$F$2001,0)),"")))))</f>
        <v>Sona Buchanan</v>
      </c>
      <c r="E34" s="17" t="str">
        <f aca="false">IF($B34="","",IF((IFERROR(INDEX(_RefTable!$F$2:$F$501,MATCH($B34,_RefTable!$C$2:$C$501,0)),IFERROR(INDEX(_MainTable!$D$2:$D$2001,MATCH($B34,_MainTable!$F$2:$F$2001,0)),"")))&amp;""="","—",(IFERROR(INDEX(_RefTable!$F$2:$F$501,MATCH($B34,_RefTable!$C$2:$C$501,0)),IFERROR(INDEX(_MainTable!$D$2:$D$2001,MATCH($B34,_MainTable!$F$2:$F$2001,0)),"")))))</f>
        <v>Jolene Armstrong</v>
      </c>
      <c r="F34" s="19" t="n">
        <f aca="false">IF($B34="","",IFERROR(_xlfn.MINIFS('SC Change Orders'!$E$2:$E$501,'SC Change Orders'!$B$2:$B$501,$B34,'SC Change Orders'!$C$2:$C$501,"&gt;="&amp;Controls!$C$5,'SC Change Orders'!$C$2:$C$501,"&lt;="&amp;Controls!$C$6),0))</f>
        <v>0</v>
      </c>
      <c r="G34" s="19" t="n">
        <f aca="false">IF($B34="","",SUMIFS('SC Change Orders'!$F$2:$F$501,'SC Change Orders'!$B$2:$B$501,$B34,'SC Change Orders'!$C$2:$C$501,"&gt;="&amp;Controls!$C$5,'SC Change Orders'!$C$2:$C$501,"&lt;="&amp;Controls!$C$6))</f>
        <v>0</v>
      </c>
      <c r="H34" s="19" t="n">
        <f aca="false">IF($B34="","",$F34+$G34)</f>
        <v>0</v>
      </c>
      <c r="I34" s="19" t="n">
        <f aca="false">IF($B34="","",SUMIFS(_MainTable!$K$2:$K$2001,_MainTable!$F$2:$F$2001,$B34,_MainTable!$G$2:$G$2001,"&gt;="&amp;Controls!$C$5,_MainTable!$G$2:$G$2001,"&lt;="&amp;Controls!$C$6))</f>
        <v>11173.33</v>
      </c>
      <c r="J34" s="20" t="n">
        <f aca="false">IF($B34="","",IFERROR($I34/$H34,0))</f>
        <v>0</v>
      </c>
      <c r="K34" s="19" t="n">
        <f aca="false">IF($B34="","",$H34-$I34)</f>
        <v>-11173.33</v>
      </c>
      <c r="L34" s="19" t="n">
        <f aca="false">IF($B34="","",IFERROR(SUMIFS(_MainTable!$K$2:$K$2001,_MainTable!$F$2:$F$2001,$B34,_MainTable!$G$2:$G$2001,"&gt;="&amp;Controls!$C$12,_MainTable!$G$2:$G$2001,"&lt;="&amp;EOMONTH(Controls!$C$7,0))/MIN(Controls!$C$9,Controls!$C$10),0))</f>
        <v>0</v>
      </c>
      <c r="M34" s="19" t="n">
        <f aca="false">IF($B34="","",$L34*Controls!$C$11)</f>
        <v>0</v>
      </c>
      <c r="N34" s="19" t="n">
        <f aca="false">IF($B34="","",$I34+$M34)</f>
        <v>11173.33</v>
      </c>
      <c r="O34" s="20" t="n">
        <f aca="false">IF($B34="","",IFERROR($N34/$H34,0))</f>
        <v>0</v>
      </c>
      <c r="P34" s="19" t="n">
        <f aca="false">IF($B34="","",$H34-$N34)</f>
        <v>-11173.33</v>
      </c>
      <c r="Q34" s="21" t="str">
        <f aca="false">IF($B34="","",IF($L34&lt;=0,"n/a",IFERROR($K34/$L34,"n/a")))</f>
        <v>n/a</v>
      </c>
      <c r="R34" s="22" t="str">
        <f aca="false">IF($B34="","",IF(AND($H34=0,$I34=0),"⚪ No Activity",IF(AND($H34=0,COUNTIFS('SC Change Orders'!$B$2:$B$501,$B34,'SC Change Orders'!$C$2:$C$501,"&gt;="&amp;Controls!$C$5,'SC Change Orders'!$C$2:$C$501,"&lt;="&amp;Controls!$C$6)=0),"⚪ No Funding on File",IF($H34=0,"🔴 Unfunded Spend",IF($I34&gt;=$H34,"🔴 Over Budget",IF($N34&gt;$H34,"🔴 Projected Shortfall",IF($J34&gt;=Controls!$C$8,"🟡 Watch","🟢 On Track")))))))</f>
        <v>⚪ No Funding on File</v>
      </c>
    </row>
    <row r="35" customFormat="false" ht="15" hidden="false" customHeight="false" outlineLevel="0" collapsed="false">
      <c r="A35" s="17" t="str">
        <f aca="false">IF($B35="","",IF((IFERROR(INDEX(_RefTable!$A$2:$A$501,MATCH($B35,_RefTable!$C$2:$C$501,0)),IFERROR(INDEX(_MainTable!$A$2:$A$2001,MATCH($B35,_MainTable!$F$2:$F$2001,0)),IFERROR(INDEX('SC Change Orders'!$A$2:$A$501,MATCH($B35,'SC Change Orders'!$B$2:$B$501,0)),"(unknown vendor)"))))&amp;""="","—",(IFERROR(INDEX(_RefTable!$A$2:$A$501,MATCH($B35,_RefTable!$C$2:$C$501,0)),IFERROR(INDEX(_MainTable!$A$2:$A$2001,MATCH($B35,_MainTable!$F$2:$F$2001,0)),IFERROR(INDEX('SC Change Orders'!$A$2:$A$501,MATCH($B35,'SC Change Orders'!$B$2:$B$501,0)),"(unknown vendor)"))))))</f>
        <v>UNIFIED HEALTH SERVICES LLC</v>
      </c>
      <c r="B35" s="18" t="n">
        <f aca="false">IFERROR(INDEX('PO Index'!$B$5:$B$84,31),"")</f>
        <v>10824</v>
      </c>
      <c r="C35" s="17" t="str">
        <f aca="false">IF($B35="","",IF((IFERROR(INDEX(_RefTable!$B$2:$B$501,MATCH($B35,_RefTable!$C$2:$C$501,0))&amp;IF(COUNTIF(_RefTable!$C$2:$C$501,$B35)&gt;1," (+"&amp;COUNTIF(_RefTable!$C$2:$C$501,$B35)-1&amp;" more)",""),IFERROR(INDEX(_MainTable!$B$2:$B$2001,MATCH($B35,_MainTable!$F$2:$F$2001,0)),"")))&amp;""="","—",(IFERROR(INDEX(_RefTable!$B$2:$B$501,MATCH($B35,_RefTable!$C$2:$C$501,0))&amp;IF(COUNTIF(_RefTable!$C$2:$C$501,$B35)&gt;1," (+"&amp;COUNTIF(_RefTable!$C$2:$C$501,$B35)-1&amp;" more)",""),IFERROR(INDEX(_MainTable!$B$2:$B$2001,MATCH($B35,_MainTable!$F$2:$F$2001,0)),"")))))</f>
        <v>Work Comp</v>
      </c>
      <c r="D35" s="17" t="str">
        <f aca="false">IF($B35="","",IF((IFERROR(INDEX(_RefTable!$E$2:$E$501,MATCH($B35,_RefTable!$C$2:$C$501,0)),IFERROR(INDEX(_MainTable!$C$2:$C$2001,MATCH($B35,_MainTable!$F$2:$F$2001,0)),"")))&amp;""="","—",(IFERROR(INDEX(_RefTable!$E$2:$E$501,MATCH($B35,_RefTable!$C$2:$C$501,0)),IFERROR(INDEX(_MainTable!$C$2:$C$2001,MATCH($B35,_MainTable!$F$2:$F$2001,0)),"")))))</f>
        <v>Jake Reid</v>
      </c>
      <c r="E35" s="17" t="str">
        <f aca="false">IF($B35="","",IF((IFERROR(INDEX(_RefTable!$F$2:$F$501,MATCH($B35,_RefTable!$C$2:$C$501,0)),IFERROR(INDEX(_MainTable!$D$2:$D$2001,MATCH($B35,_MainTable!$F$2:$F$2001,0)),"")))&amp;""="","—",(IFERROR(INDEX(_RefTable!$F$2:$F$501,MATCH($B35,_RefTable!$C$2:$C$501,0)),IFERROR(INDEX(_MainTable!$D$2:$D$2001,MATCH($B35,_MainTable!$F$2:$F$2001,0)),"")))))</f>
        <v>Cody Thornock</v>
      </c>
      <c r="F35" s="19" t="n">
        <f aca="false">IF($B35="","",IFERROR(_xlfn.MINIFS('SC Change Orders'!$E$2:$E$501,'SC Change Orders'!$B$2:$B$501,$B35,'SC Change Orders'!$C$2:$C$501,"&gt;="&amp;Controls!$C$5,'SC Change Orders'!$C$2:$C$501,"&lt;="&amp;Controls!$C$6),0))</f>
        <v>0</v>
      </c>
      <c r="G35" s="19" t="n">
        <f aca="false">IF($B35="","",SUMIFS('SC Change Orders'!$F$2:$F$501,'SC Change Orders'!$B$2:$B$501,$B35,'SC Change Orders'!$C$2:$C$501,"&gt;="&amp;Controls!$C$5,'SC Change Orders'!$C$2:$C$501,"&lt;="&amp;Controls!$C$6))</f>
        <v>0</v>
      </c>
      <c r="H35" s="19" t="n">
        <f aca="false">IF($B35="","",$F35+$G35)</f>
        <v>0</v>
      </c>
      <c r="I35" s="19" t="n">
        <f aca="false">IF($B35="","",SUMIFS(_MainTable!$K$2:$K$2001,_MainTable!$F$2:$F$2001,$B35,_MainTable!$G$2:$G$2001,"&gt;="&amp;Controls!$C$5,_MainTable!$G$2:$G$2001,"&lt;="&amp;Controls!$C$6))</f>
        <v>786545.68</v>
      </c>
      <c r="J35" s="20" t="n">
        <f aca="false">IF($B35="","",IFERROR($I35/$H35,0))</f>
        <v>0</v>
      </c>
      <c r="K35" s="19" t="n">
        <f aca="false">IF($B35="","",$H35-$I35)</f>
        <v>-786545.68</v>
      </c>
      <c r="L35" s="19" t="n">
        <f aca="false">IF($B35="","",IFERROR(SUMIFS(_MainTable!$K$2:$K$2001,_MainTable!$F$2:$F$2001,$B35,_MainTable!$G$2:$G$2001,"&gt;="&amp;Controls!$C$12,_MainTable!$G$2:$G$2001,"&lt;="&amp;EOMONTH(Controls!$C$7,0))/MIN(Controls!$C$9,Controls!$C$10),0))</f>
        <v>139733.68</v>
      </c>
      <c r="M35" s="19" t="n">
        <f aca="false">IF($B35="","",$L35*Controls!$C$11)</f>
        <v>279467.36</v>
      </c>
      <c r="N35" s="19" t="n">
        <f aca="false">IF($B35="","",$I35+$M35)</f>
        <v>1066013.04</v>
      </c>
      <c r="O35" s="20" t="n">
        <f aca="false">IF($B35="","",IFERROR($N35/$H35,0))</f>
        <v>0</v>
      </c>
      <c r="P35" s="19" t="n">
        <f aca="false">IF($B35="","",$H35-$N35)</f>
        <v>-1066013.04</v>
      </c>
      <c r="Q35" s="21" t="n">
        <f aca="false">IF($B35="","",IF($L35&lt;=0,"n/a",IFERROR($K35/$L35,"n/a")))</f>
        <v>-5.62889118786537</v>
      </c>
      <c r="R35" s="22" t="str">
        <f aca="false">IF($B35="","",IF(AND($H35=0,$I35=0),"⚪ No Activity",IF(AND($H35=0,COUNTIFS('SC Change Orders'!$B$2:$B$501,$B35,'SC Change Orders'!$C$2:$C$501,"&gt;="&amp;Controls!$C$5,'SC Change Orders'!$C$2:$C$501,"&lt;="&amp;Controls!$C$6)=0),"⚪ No Funding on File",IF($H35=0,"🔴 Unfunded Spend",IF($I35&gt;=$H35,"🔴 Over Budget",IF($N35&gt;$H35,"🔴 Projected Shortfall",IF($J35&gt;=Controls!$C$8,"🟡 Watch","🟢 On Track")))))))</f>
        <v>⚪ No Funding on File</v>
      </c>
    </row>
    <row r="36" customFormat="false" ht="15" hidden="false" customHeight="false" outlineLevel="0" collapsed="false">
      <c r="A36" s="17" t="str">
        <f aca="false">IF($B36="","",IF((IFERROR(INDEX(_RefTable!$A$2:$A$501,MATCH($B36,_RefTable!$C$2:$C$501,0)),IFERROR(INDEX(_MainTable!$A$2:$A$2001,MATCH($B36,_MainTable!$F$2:$F$2001,0)),IFERROR(INDEX('SC Change Orders'!$A$2:$A$501,MATCH($B36,'SC Change Orders'!$B$2:$B$501,0)),"(unknown vendor)"))))&amp;""="","—",(IFERROR(INDEX(_RefTable!$A$2:$A$501,MATCH($B36,_RefTable!$C$2:$C$501,0)),IFERROR(INDEX(_MainTable!$A$2:$A$2001,MATCH($B36,_MainTable!$F$2:$F$2001,0)),IFERROR(INDEX('SC Change Orders'!$A$2:$A$501,MATCH($B36,'SC Change Orders'!$B$2:$B$501,0)),"(unknown vendor)"))))))</f>
        <v>WAYSTAR HEALTH</v>
      </c>
      <c r="B36" s="18" t="n">
        <f aca="false">IFERROR(INDEX('PO Index'!$B$5:$B$84,32),"")</f>
        <v>10833</v>
      </c>
      <c r="C36" s="17" t="str">
        <f aca="false">IF($B36="","",IF((IFERROR(INDEX(_RefTable!$B$2:$B$501,MATCH($B36,_RefTable!$C$2:$C$501,0))&amp;IF(COUNTIF(_RefTable!$C$2:$C$501,$B36)&gt;1," (+"&amp;COUNTIF(_RefTable!$C$2:$C$501,$B36)-1&amp;" more)",""),IFERROR(INDEX(_MainTable!$B$2:$B$2001,MATCH($B36,_MainTable!$F$2:$F$2001,0)),"")))&amp;""="","—",(IFERROR(INDEX(_RefTable!$B$2:$B$501,MATCH($B36,_RefTable!$C$2:$C$501,0))&amp;IF(COUNTIF(_RefTable!$C$2:$C$501,$B36)&gt;1," (+"&amp;COUNTIF(_RefTable!$C$2:$C$501,$B36)-1&amp;" more)",""),IFERROR(INDEX(_MainTable!$B$2:$B$2001,MATCH($B36,_MainTable!$F$2:$F$2001,0)),"")))))</f>
        <v>P2P, PARO</v>
      </c>
      <c r="D36" s="17" t="str">
        <f aca="false">IF($B36="","",IF((IFERROR(INDEX(_RefTable!$E$2:$E$501,MATCH($B36,_RefTable!$C$2:$C$501,0)),IFERROR(INDEX(_MainTable!$C$2:$C$2001,MATCH($B36,_MainTable!$F$2:$F$2001,0)),"")))&amp;""="","—",(IFERROR(INDEX(_RefTable!$E$2:$E$501,MATCH($B36,_RefTable!$C$2:$C$501,0)),IFERROR(INDEX(_MainTable!$C$2:$C$2001,MATCH($B36,_MainTable!$F$2:$F$2001,0)),"")))))</f>
        <v>Rachel Seaman</v>
      </c>
      <c r="E36" s="17" t="str">
        <f aca="false">IF($B36="","",IF((IFERROR(INDEX(_RefTable!$F$2:$F$501,MATCH($B36,_RefTable!$C$2:$C$501,0)),IFERROR(INDEX(_MainTable!$D$2:$D$2001,MATCH($B36,_MainTable!$F$2:$F$2001,0)),"")))&amp;""="","—",(IFERROR(INDEX(_RefTable!$F$2:$F$501,MATCH($B36,_RefTable!$C$2:$C$501,0)),IFERROR(INDEX(_MainTable!$D$2:$D$2001,MATCH($B36,_MainTable!$F$2:$F$2001,0)),"")))))</f>
        <v>Cassie Hammon</v>
      </c>
      <c r="F36" s="19" t="n">
        <f aca="false">IF($B36="","",IFERROR(_xlfn.MINIFS('SC Change Orders'!$E$2:$E$501,'SC Change Orders'!$B$2:$B$501,$B36,'SC Change Orders'!$C$2:$C$501,"&gt;="&amp;Controls!$C$5,'SC Change Orders'!$C$2:$C$501,"&lt;="&amp;Controls!$C$6),0))</f>
        <v>0</v>
      </c>
      <c r="G36" s="19" t="n">
        <f aca="false">IF($B36="","",SUMIFS('SC Change Orders'!$F$2:$F$501,'SC Change Orders'!$B$2:$B$501,$B36,'SC Change Orders'!$C$2:$C$501,"&gt;="&amp;Controls!$C$5,'SC Change Orders'!$C$2:$C$501,"&lt;="&amp;Controls!$C$6))</f>
        <v>0</v>
      </c>
      <c r="H36" s="19" t="n">
        <f aca="false">IF($B36="","",$F36+$G36)</f>
        <v>0</v>
      </c>
      <c r="I36" s="19" t="n">
        <f aca="false">IF($B36="","",SUMIFS(_MainTable!$K$2:$K$2001,_MainTable!$F$2:$F$2001,$B36,_MainTable!$G$2:$G$2001,"&gt;="&amp;Controls!$C$5,_MainTable!$G$2:$G$2001,"&lt;="&amp;Controls!$C$6))</f>
        <v>138636</v>
      </c>
      <c r="J36" s="20" t="n">
        <f aca="false">IF($B36="","",IFERROR($I36/$H36,0))</f>
        <v>0</v>
      </c>
      <c r="K36" s="19" t="n">
        <f aca="false">IF($B36="","",$H36-$I36)</f>
        <v>-138636</v>
      </c>
      <c r="L36" s="19" t="n">
        <f aca="false">IF($B36="","",IFERROR(SUMIFS(_MainTable!$K$2:$K$2001,_MainTable!$F$2:$F$2001,$B36,_MainTable!$G$2:$G$2001,"&gt;="&amp;Controls!$C$12,_MainTable!$G$2:$G$2001,"&lt;="&amp;EOMONTH(Controls!$C$7,0))/MIN(Controls!$C$9,Controls!$C$10),0))</f>
        <v>27727.2</v>
      </c>
      <c r="M36" s="19" t="n">
        <f aca="false">IF($B36="","",$L36*Controls!$C$11)</f>
        <v>55454.4</v>
      </c>
      <c r="N36" s="19" t="n">
        <f aca="false">IF($B36="","",$I36+$M36)</f>
        <v>194090.4</v>
      </c>
      <c r="O36" s="20" t="n">
        <f aca="false">IF($B36="","",IFERROR($N36/$H36,0))</f>
        <v>0</v>
      </c>
      <c r="P36" s="19" t="n">
        <f aca="false">IF($B36="","",$H36-$N36)</f>
        <v>-194090.4</v>
      </c>
      <c r="Q36" s="21" t="n">
        <f aca="false">IF($B36="","",IF($L36&lt;=0,"n/a",IFERROR($K36/$L36,"n/a")))</f>
        <v>-5</v>
      </c>
      <c r="R36" s="22" t="str">
        <f aca="false">IF($B36="","",IF(AND($H36=0,$I36=0),"⚪ No Activity",IF(AND($H36=0,COUNTIFS('SC Change Orders'!$B$2:$B$501,$B36,'SC Change Orders'!$C$2:$C$501,"&gt;="&amp;Controls!$C$5,'SC Change Orders'!$C$2:$C$501,"&lt;="&amp;Controls!$C$6)=0),"⚪ No Funding on File",IF($H36=0,"🔴 Unfunded Spend",IF($I36&gt;=$H36,"🔴 Over Budget",IF($N36&gt;$H36,"🔴 Projected Shortfall",IF($J36&gt;=Controls!$C$8,"🟡 Watch","🟢 On Track")))))))</f>
        <v>⚪ No Funding on File</v>
      </c>
    </row>
    <row r="37" customFormat="false" ht="15" hidden="false" customHeight="false" outlineLevel="0" collapsed="false">
      <c r="A37" s="17" t="str">
        <f aca="false">IF($B37="","",IF((IFERROR(INDEX(_RefTable!$A$2:$A$501,MATCH($B37,_RefTable!$C$2:$C$501,0)),IFERROR(INDEX(_MainTable!$A$2:$A$2001,MATCH($B37,_MainTable!$F$2:$F$2001,0)),IFERROR(INDEX('SC Change Orders'!$A$2:$A$501,MATCH($B37,'SC Change Orders'!$B$2:$B$501,0)),"(unknown vendor)"))))&amp;""="","—",(IFERROR(INDEX(_RefTable!$A$2:$A$501,MATCH($B37,_RefTable!$C$2:$C$501,0)),IFERROR(INDEX(_MainTable!$A$2:$A$2001,MATCH($B37,_MainTable!$F$2:$F$2001,0)),IFERROR(INDEX('SC Change Orders'!$A$2:$A$501,MATCH($B37,'SC Change Orders'!$B$2:$B$501,0)),"(unknown vendor)"))))))</f>
        <v>ACCESSONE</v>
      </c>
      <c r="B37" s="18" t="n">
        <f aca="false">IFERROR(INDEX('PO Index'!$B$5:$B$84,33),"")</f>
        <v>10891</v>
      </c>
      <c r="C37" s="17" t="str">
        <f aca="false">IF($B37="","",IF((IFERROR(INDEX(_RefTable!$B$2:$B$501,MATCH($B37,_RefTable!$C$2:$C$501,0))&amp;IF(COUNTIF(_RefTable!$C$2:$C$501,$B37)&gt;1," (+"&amp;COUNTIF(_RefTable!$C$2:$C$501,$B37)-1&amp;" more)",""),IFERROR(INDEX(_MainTable!$B$2:$B$2001,MATCH($B37,_MainTable!$F$2:$F$2001,0)),"")))&amp;""="","—",(IFERROR(INDEX(_RefTable!$B$2:$B$501,MATCH($B37,_RefTable!$C$2:$C$501,0))&amp;IF(COUNTIF(_RefTable!$C$2:$C$501,$B37)&gt;1," (+"&amp;COUNTIF(_RefTable!$C$2:$C$501,$B37)-1&amp;" more)",""),IFERROR(INDEX(_MainTable!$B$2:$B$2001,MATCH($B37,_MainTable!$F$2:$F$2001,0)),"")))))</f>
        <v>Patient Financing</v>
      </c>
      <c r="D37" s="17" t="str">
        <f aca="false">IF($B37="","",IF((IFERROR(INDEX(_RefTable!$E$2:$E$501,MATCH($B37,_RefTable!$C$2:$C$501,0)),IFERROR(INDEX(_MainTable!$C$2:$C$2001,MATCH($B37,_MainTable!$F$2:$F$2001,0)),"")))&amp;""="","—",(IFERROR(INDEX(_RefTable!$E$2:$E$501,MATCH($B37,_RefTable!$C$2:$C$501,0)),IFERROR(INDEX(_MainTable!$C$2:$C$2001,MATCH($B37,_MainTable!$F$2:$F$2001,0)),"")))))</f>
        <v>Jake Reid</v>
      </c>
      <c r="E37" s="17" t="str">
        <f aca="false">IF($B37="","",IF((IFERROR(INDEX(_RefTable!$F$2:$F$501,MATCH($B37,_RefTable!$C$2:$C$501,0)),IFERROR(INDEX(_MainTable!$D$2:$D$2001,MATCH($B37,_MainTable!$F$2:$F$2001,0)),"")))&amp;""="","—",(IFERROR(INDEX(_RefTable!$F$2:$F$501,MATCH($B37,_RefTable!$C$2:$C$501,0)),IFERROR(INDEX(_MainTable!$D$2:$D$2001,MATCH($B37,_MainTable!$F$2:$F$2001,0)),"")))))</f>
        <v>Letisia Speelman</v>
      </c>
      <c r="F37" s="19" t="n">
        <f aca="false">IF($B37="","",IFERROR(_xlfn.MINIFS('SC Change Orders'!$E$2:$E$501,'SC Change Orders'!$B$2:$B$501,$B37,'SC Change Orders'!$C$2:$C$501,"&gt;="&amp;Controls!$C$5,'SC Change Orders'!$C$2:$C$501,"&lt;="&amp;Controls!$C$6),0))</f>
        <v>0</v>
      </c>
      <c r="G37" s="19" t="n">
        <f aca="false">IF($B37="","",SUMIFS('SC Change Orders'!$F$2:$F$501,'SC Change Orders'!$B$2:$B$501,$B37,'SC Change Orders'!$C$2:$C$501,"&gt;="&amp;Controls!$C$5,'SC Change Orders'!$C$2:$C$501,"&lt;="&amp;Controls!$C$6))</f>
        <v>0</v>
      </c>
      <c r="H37" s="19" t="n">
        <f aca="false">IF($B37="","",$F37+$G37)</f>
        <v>0</v>
      </c>
      <c r="I37" s="19" t="n">
        <f aca="false">IF($B37="","",SUMIFS(_MainTable!$K$2:$K$2001,_MainTable!$F$2:$F$2001,$B37,_MainTable!$G$2:$G$2001,"&gt;="&amp;Controls!$C$5,_MainTable!$G$2:$G$2001,"&lt;="&amp;Controls!$C$6))</f>
        <v>3696</v>
      </c>
      <c r="J37" s="20" t="n">
        <f aca="false">IF($B37="","",IFERROR($I37/$H37,0))</f>
        <v>0</v>
      </c>
      <c r="K37" s="19" t="n">
        <f aca="false">IF($B37="","",$H37-$I37)</f>
        <v>-3696</v>
      </c>
      <c r="L37" s="19" t="n">
        <f aca="false">IF($B37="","",IFERROR(SUMIFS(_MainTable!$K$2:$K$2001,_MainTable!$F$2:$F$2001,$B37,_MainTable!$G$2:$G$2001,"&gt;="&amp;Controls!$C$12,_MainTable!$G$2:$G$2001,"&lt;="&amp;EOMONTH(Controls!$C$7,0))/MIN(Controls!$C$9,Controls!$C$10),0))</f>
        <v>597.073333333333</v>
      </c>
      <c r="M37" s="19" t="n">
        <f aca="false">IF($B37="","",$L37*Controls!$C$11)</f>
        <v>1194.14666666667</v>
      </c>
      <c r="N37" s="19" t="n">
        <f aca="false">IF($B37="","",$I37+$M37)</f>
        <v>4890.14666666667</v>
      </c>
      <c r="O37" s="20" t="n">
        <f aca="false">IF($B37="","",IFERROR($N37/$H37,0))</f>
        <v>0</v>
      </c>
      <c r="P37" s="19" t="n">
        <f aca="false">IF($B37="","",$H37-$N37)</f>
        <v>-4890.14666666667</v>
      </c>
      <c r="Q37" s="21" t="n">
        <f aca="false">IF($B37="","",IF($L37&lt;=0,"n/a",IFERROR($K37/$L37,"n/a")))</f>
        <v>-6.19019439264859</v>
      </c>
      <c r="R37" s="22" t="str">
        <f aca="false">IF($B37="","",IF(AND($H37=0,$I37=0),"⚪ No Activity",IF(AND($H37=0,COUNTIFS('SC Change Orders'!$B$2:$B$501,$B37,'SC Change Orders'!$C$2:$C$501,"&gt;="&amp;Controls!$C$5,'SC Change Orders'!$C$2:$C$501,"&lt;="&amp;Controls!$C$6)=0),"⚪ No Funding on File",IF($H37=0,"🔴 Unfunded Spend",IF($I37&gt;=$H37,"🔴 Over Budget",IF($N37&gt;$H37,"🔴 Projected Shortfall",IF($J37&gt;=Controls!$C$8,"🟡 Watch","🟢 On Track")))))))</f>
        <v>⚪ No Funding on File</v>
      </c>
    </row>
    <row r="38" customFormat="false" ht="15" hidden="false" customHeight="false" outlineLevel="0" collapsed="false">
      <c r="A38" s="17" t="str">
        <f aca="false">IF($B38="","",IF((IFERROR(INDEX(_RefTable!$A$2:$A$501,MATCH($B38,_RefTable!$C$2:$C$501,0)),IFERROR(INDEX(_MainTable!$A$2:$A$2001,MATCH($B38,_MainTable!$F$2:$F$2001,0)),IFERROR(INDEX('SC Change Orders'!$A$2:$A$501,MATCH($B38,'SC Change Orders'!$B$2:$B$501,0)),"(unknown vendor)"))))&amp;""="","—",(IFERROR(INDEX(_RefTable!$A$2:$A$501,MATCH($B38,_RefTable!$C$2:$C$501,0)),IFERROR(INDEX(_MainTable!$A$2:$A$2001,MATCH($B38,_MainTable!$F$2:$F$2001,0)),IFERROR(INDEX('SC Change Orders'!$A$2:$A$501,MATCH($B38,'SC Change Orders'!$B$2:$B$501,0)),"(unknown vendor)"))))))</f>
        <v>CIOX HEALTH LLC</v>
      </c>
      <c r="B38" s="18" t="n">
        <f aca="false">IFERROR(INDEX('PO Index'!$B$5:$B$84,34),"")</f>
        <v>11023</v>
      </c>
      <c r="C38" s="17" t="str">
        <f aca="false">IF($B38="","",IF((IFERROR(INDEX(_RefTable!$B$2:$B$501,MATCH($B38,_RefTable!$C$2:$C$501,0))&amp;IF(COUNTIF(_RefTable!$C$2:$C$501,$B38)&gt;1," (+"&amp;COUNTIF(_RefTable!$C$2:$C$501,$B38)-1&amp;" more)",""),IFERROR(INDEX(_MainTable!$B$2:$B$2001,MATCH($B38,_MainTable!$F$2:$F$2001,0)),"")))&amp;""="","—",(IFERROR(INDEX(_RefTable!$B$2:$B$501,MATCH($B38,_RefTable!$C$2:$C$501,0))&amp;IF(COUNTIF(_RefTable!$C$2:$C$501,$B38)&gt;1," (+"&amp;COUNTIF(_RefTable!$C$2:$C$501,$B38)-1&amp;" more)",""),IFERROR(INDEX(_MainTable!$B$2:$B$2001,MATCH($B38,_MainTable!$F$2:$F$2001,0)),"")))))</f>
        <v>Labor Only- ROI</v>
      </c>
      <c r="D38" s="17" t="str">
        <f aca="false">IF($B38="","",IF((IFERROR(INDEX(_RefTable!$E$2:$E$501,MATCH($B38,_RefTable!$C$2:$C$501,0)),IFERROR(INDEX(_MainTable!$C$2:$C$2001,MATCH($B38,_MainTable!$F$2:$F$2001,0)),"")))&amp;""="","—",(IFERROR(INDEX(_RefTable!$E$2:$E$501,MATCH($B38,_RefTable!$C$2:$C$501,0)),IFERROR(INDEX(_MainTable!$C$2:$C$2001,MATCH($B38,_MainTable!$F$2:$F$2001,0)),"")))))</f>
        <v>Sona Buchanan</v>
      </c>
      <c r="E38" s="17" t="str">
        <f aca="false">IF($B38="","",IF((IFERROR(INDEX(_RefTable!$F$2:$F$501,MATCH($B38,_RefTable!$C$2:$C$501,0)),IFERROR(INDEX(_MainTable!$D$2:$D$2001,MATCH($B38,_MainTable!$F$2:$F$2001,0)),"")))&amp;""="","—",(IFERROR(INDEX(_RefTable!$F$2:$F$501,MATCH($B38,_RefTable!$C$2:$C$501,0)),IFERROR(INDEX(_MainTable!$D$2:$D$2001,MATCH($B38,_MainTable!$F$2:$F$2001,0)),"")))))</f>
        <v>Melissa Daniels</v>
      </c>
      <c r="F38" s="19" t="n">
        <f aca="false">IF($B38="","",IFERROR(_xlfn.MINIFS('SC Change Orders'!$E$2:$E$501,'SC Change Orders'!$B$2:$B$501,$B38,'SC Change Orders'!$C$2:$C$501,"&gt;="&amp;Controls!$C$5,'SC Change Orders'!$C$2:$C$501,"&lt;="&amp;Controls!$C$6),0))</f>
        <v>0</v>
      </c>
      <c r="G38" s="19" t="n">
        <f aca="false">IF($B38="","",SUMIFS('SC Change Orders'!$F$2:$F$501,'SC Change Orders'!$B$2:$B$501,$B38,'SC Change Orders'!$C$2:$C$501,"&gt;="&amp;Controls!$C$5,'SC Change Orders'!$C$2:$C$501,"&lt;="&amp;Controls!$C$6))</f>
        <v>0</v>
      </c>
      <c r="H38" s="19" t="n">
        <f aca="false">IF($B38="","",$F38+$G38)</f>
        <v>0</v>
      </c>
      <c r="I38" s="19" t="n">
        <f aca="false">IF($B38="","",SUMIFS(_MainTable!$K$2:$K$2001,_MainTable!$F$2:$F$2001,$B38,_MainTable!$G$2:$G$2001,"&gt;="&amp;Controls!$C$5,_MainTable!$G$2:$G$2001,"&lt;="&amp;Controls!$C$6))</f>
        <v>41938.75</v>
      </c>
      <c r="J38" s="20" t="n">
        <f aca="false">IF($B38="","",IFERROR($I38/$H38,0))</f>
        <v>0</v>
      </c>
      <c r="K38" s="19" t="n">
        <f aca="false">IF($B38="","",$H38-$I38)</f>
        <v>-41938.75</v>
      </c>
      <c r="L38" s="19" t="n">
        <f aca="false">IF($B38="","",IFERROR(SUMIFS(_MainTable!$K$2:$K$2001,_MainTable!$F$2:$F$2001,$B38,_MainTable!$G$2:$G$2001,"&gt;="&amp;Controls!$C$12,_MainTable!$G$2:$G$2001,"&lt;="&amp;EOMONTH(Controls!$C$7,0))/MIN(Controls!$C$9,Controls!$C$10),0))</f>
        <v>9210.83333333333</v>
      </c>
      <c r="M38" s="19" t="n">
        <f aca="false">IF($B38="","",$L38*Controls!$C$11)</f>
        <v>18421.6666666667</v>
      </c>
      <c r="N38" s="19" t="n">
        <f aca="false">IF($B38="","",$I38+$M38)</f>
        <v>60360.4166666667</v>
      </c>
      <c r="O38" s="20" t="n">
        <f aca="false">IF($B38="","",IFERROR($N38/$H38,0))</f>
        <v>0</v>
      </c>
      <c r="P38" s="19" t="n">
        <f aca="false">IF($B38="","",$H38-$N38)</f>
        <v>-60360.4166666667</v>
      </c>
      <c r="Q38" s="21" t="n">
        <f aca="false">IF($B38="","",IF($L38&lt;=0,"n/a",IFERROR($K38/$L38,"n/a")))</f>
        <v>-4.55319822672578</v>
      </c>
      <c r="R38" s="22" t="str">
        <f aca="false">IF($B38="","",IF(AND($H38=0,$I38=0),"⚪ No Activity",IF(AND($H38=0,COUNTIFS('SC Change Orders'!$B$2:$B$501,$B38,'SC Change Orders'!$C$2:$C$501,"&gt;="&amp;Controls!$C$5,'SC Change Orders'!$C$2:$C$501,"&lt;="&amp;Controls!$C$6)=0),"⚪ No Funding on File",IF($H38=0,"🔴 Unfunded Spend",IF($I38&gt;=$H38,"🔴 Over Budget",IF($N38&gt;$H38,"🔴 Projected Shortfall",IF($J38&gt;=Controls!$C$8,"🟡 Watch","🟢 On Track")))))))</f>
        <v>⚪ No Funding on File</v>
      </c>
    </row>
    <row r="39" customFormat="false" ht="15" hidden="false" customHeight="false" outlineLevel="0" collapsed="false">
      <c r="A39" s="17" t="str">
        <f aca="false">IF($B39="","",IF((IFERROR(INDEX(_RefTable!$A$2:$A$501,MATCH($B39,_RefTable!$C$2:$C$501,0)),IFERROR(INDEX(_MainTable!$A$2:$A$2001,MATCH($B39,_MainTable!$F$2:$F$2001,0)),IFERROR(INDEX('SC Change Orders'!$A$2:$A$501,MATCH($B39,'SC Change Orders'!$B$2:$B$501,0)),"(unknown vendor)"))))&amp;""="","—",(IFERROR(INDEX(_RefTable!$A$2:$A$501,MATCH($B39,_RefTable!$C$2:$C$501,0)),IFERROR(INDEX(_MainTable!$A$2:$A$2001,MATCH($B39,_MainTable!$F$2:$F$2001,0)),IFERROR(INDEX('SC Change Orders'!$A$2:$A$501,MATCH($B39,'SC Change Orders'!$B$2:$B$501,0)),"(unknown vendor)"))))))</f>
        <v>WAYSTAR HEALTH</v>
      </c>
      <c r="B39" s="18" t="n">
        <f aca="false">IFERROR(INDEX('PO Index'!$B$5:$B$84,35),"")</f>
        <v>11053</v>
      </c>
      <c r="C39" s="17" t="str">
        <f aca="false">IF($B39="","",IF((IFERROR(INDEX(_RefTable!$B$2:$B$501,MATCH($B39,_RefTable!$C$2:$C$501,0))&amp;IF(COUNTIF(_RefTable!$C$2:$C$501,$B39)&gt;1," (+"&amp;COUNTIF(_RefTable!$C$2:$C$501,$B39)-1&amp;" more)",""),IFERROR(INDEX(_MainTable!$B$2:$B$2001,MATCH($B39,_MainTable!$F$2:$F$2001,0)),"")))&amp;""="","—",(IFERROR(INDEX(_RefTable!$B$2:$B$501,MATCH($B39,_RefTable!$C$2:$C$501,0))&amp;IF(COUNTIF(_RefTable!$C$2:$C$501,$B39)&gt;1," (+"&amp;COUNTIF(_RefTable!$C$2:$C$501,$B39)-1&amp;" more)",""),IFERROR(INDEX(_MainTable!$B$2:$B$2001,MATCH($B39,_MainTable!$F$2:$F$2001,0)),"")))))</f>
        <v>Claims Clearinghouse</v>
      </c>
      <c r="D39" s="17" t="str">
        <f aca="false">IF($B39="","",IF((IFERROR(INDEX(_RefTable!$E$2:$E$501,MATCH($B39,_RefTable!$C$2:$C$501,0)),IFERROR(INDEX(_MainTable!$C$2:$C$2001,MATCH($B39,_MainTable!$F$2:$F$2001,0)),"")))&amp;""="","—",(IFERROR(INDEX(_RefTable!$E$2:$E$501,MATCH($B39,_RefTable!$C$2:$C$501,0)),IFERROR(INDEX(_MainTable!$C$2:$C$2001,MATCH($B39,_MainTable!$F$2:$F$2001,0)),"")))))</f>
        <v>Jake Reid</v>
      </c>
      <c r="E39" s="17" t="str">
        <f aca="false">IF($B39="","",IF((IFERROR(INDEX(_RefTable!$F$2:$F$501,MATCH($B39,_RefTable!$C$2:$C$501,0)),IFERROR(INDEX(_MainTable!$D$2:$D$2001,MATCH($B39,_MainTable!$F$2:$F$2001,0)),"")))&amp;""="","—",(IFERROR(INDEX(_RefTable!$F$2:$F$501,MATCH($B39,_RefTable!$C$2:$C$501,0)),IFERROR(INDEX(_MainTable!$D$2:$D$2001,MATCH($B39,_MainTable!$F$2:$F$2001,0)),"")))))</f>
        <v>Rodney Frank</v>
      </c>
      <c r="F39" s="19" t="n">
        <f aca="false">IF($B39="","",IFERROR(_xlfn.MINIFS('SC Change Orders'!$E$2:$E$501,'SC Change Orders'!$B$2:$B$501,$B39,'SC Change Orders'!$C$2:$C$501,"&gt;="&amp;Controls!$C$5,'SC Change Orders'!$C$2:$C$501,"&lt;="&amp;Controls!$C$6),0))</f>
        <v>216000</v>
      </c>
      <c r="G39" s="19" t="n">
        <f aca="false">IF($B39="","",SUMIFS('SC Change Orders'!$F$2:$F$501,'SC Change Orders'!$B$2:$B$501,$B39,'SC Change Orders'!$C$2:$C$501,"&gt;="&amp;Controls!$C$5,'SC Change Orders'!$C$2:$C$501,"&lt;="&amp;Controls!$C$6))</f>
        <v>760000</v>
      </c>
      <c r="H39" s="19" t="n">
        <f aca="false">IF($B39="","",$F39+$G39)</f>
        <v>976000</v>
      </c>
      <c r="I39" s="19" t="n">
        <f aca="false">IF($B39="","",SUMIFS(_MainTable!$K$2:$K$2001,_MainTable!$F$2:$F$2001,$B39,_MainTable!$G$2:$G$2001,"&gt;="&amp;Controls!$C$5,_MainTable!$G$2:$G$2001,"&lt;="&amp;Controls!$C$6))</f>
        <v>560890.19</v>
      </c>
      <c r="J39" s="20" t="n">
        <f aca="false">IF($B39="","",IFERROR($I39/$H39,0))</f>
        <v>0.574682571721311</v>
      </c>
      <c r="K39" s="19" t="n">
        <f aca="false">IF($B39="","",$H39-$I39)</f>
        <v>415109.81</v>
      </c>
      <c r="L39" s="19" t="n">
        <f aca="false">IF($B39="","",IFERROR(SUMIFS(_MainTable!$K$2:$K$2001,_MainTable!$F$2:$F$2001,$B39,_MainTable!$G$2:$G$2001,"&gt;="&amp;Controls!$C$12,_MainTable!$G$2:$G$2001,"&lt;="&amp;EOMONTH(Controls!$C$7,0))/MIN(Controls!$C$9,Controls!$C$10),0))</f>
        <v>122435.21</v>
      </c>
      <c r="M39" s="19" t="n">
        <f aca="false">IF($B39="","",$L39*Controls!$C$11)</f>
        <v>244870.42</v>
      </c>
      <c r="N39" s="19" t="n">
        <f aca="false">IF($B39="","",$I39+$M39)</f>
        <v>805760.61</v>
      </c>
      <c r="O39" s="20" t="n">
        <f aca="false">IF($B39="","",IFERROR($N39/$H39,0))</f>
        <v>0.825574395491803</v>
      </c>
      <c r="P39" s="19" t="n">
        <f aca="false">IF($B39="","",$H39-$N39)</f>
        <v>170239.39</v>
      </c>
      <c r="Q39" s="21" t="n">
        <f aca="false">IF($B39="","",IF($L39&lt;=0,"n/a",IFERROR($K39/$L39,"n/a")))</f>
        <v>3.39044470949166</v>
      </c>
      <c r="R39" s="22" t="str">
        <f aca="false">IF($B39="","",IF(AND($H39=0,$I39=0),"⚪ No Activity",IF(AND($H39=0,COUNTIFS('SC Change Orders'!$B$2:$B$501,$B39,'SC Change Orders'!$C$2:$C$501,"&gt;="&amp;Controls!$C$5,'SC Change Orders'!$C$2:$C$501,"&lt;="&amp;Controls!$C$6)=0),"⚪ No Funding on File",IF($H39=0,"🔴 Unfunded Spend",IF($I39&gt;=$H39,"🔴 Over Budget",IF($N39&gt;$H39,"🔴 Projected Shortfall",IF($J39&gt;=Controls!$C$8,"🟡 Watch","🟢 On Track")))))))</f>
        <v>🟢 On Track</v>
      </c>
    </row>
    <row r="40" customFormat="false" ht="15" hidden="false" customHeight="false" outlineLevel="0" collapsed="false">
      <c r="A40" s="17" t="str">
        <f aca="false">IF($B40="","",IF((IFERROR(INDEX(_RefTable!$A$2:$A$501,MATCH($B40,_RefTable!$C$2:$C$501,0)),IFERROR(INDEX(_MainTable!$A$2:$A$2001,MATCH($B40,_MainTable!$F$2:$F$2001,0)),IFERROR(INDEX('SC Change Orders'!$A$2:$A$501,MATCH($B40,'SC Change Orders'!$B$2:$B$501,0)),"(unknown vendor)"))))&amp;""="","—",(IFERROR(INDEX(_RefTable!$A$2:$A$501,MATCH($B40,_RefTable!$C$2:$C$501,0)),IFERROR(INDEX(_MainTable!$A$2:$A$2001,MATCH($B40,_MainTable!$F$2:$F$2001,0)),IFERROR(INDEX('SC Change Orders'!$A$2:$A$501,MATCH($B40,'SC Change Orders'!$B$2:$B$501,0)),"(unknown vendor)"))))))</f>
        <v>CLOUDMED</v>
      </c>
      <c r="B40" s="18" t="n">
        <f aca="false">IFERROR(INDEX('PO Index'!$B$5:$B$84,36),"")</f>
        <v>11172</v>
      </c>
      <c r="C40" s="17" t="str">
        <f aca="false">IF($B40="","",IF((IFERROR(INDEX(_RefTable!$B$2:$B$501,MATCH($B40,_RefTable!$C$2:$C$501,0))&amp;IF(COUNTIF(_RefTable!$C$2:$C$501,$B40)&gt;1," (+"&amp;COUNTIF(_RefTable!$C$2:$C$501,$B40)-1&amp;" more)",""),IFERROR(INDEX(_MainTable!$B$2:$B$2001,MATCH($B40,_MainTable!$F$2:$F$2001,0)),"")))&amp;""="","—",(IFERROR(INDEX(_RefTable!$B$2:$B$501,MATCH($B40,_RefTable!$C$2:$C$501,0))&amp;IF(COUNTIF(_RefTable!$C$2:$C$501,$B40)&gt;1," (+"&amp;COUNTIF(_RefTable!$C$2:$C$501,$B40)-1&amp;" more)",""),IFERROR(INDEX(_MainTable!$B$2:$B$2001,MATCH($B40,_MainTable!$F$2:$F$2001,0)),"")))))</f>
        <v>Underpayment (+2 more)</v>
      </c>
      <c r="D40" s="17" t="str">
        <f aca="false">IF($B40="","",IF((IFERROR(INDEX(_RefTable!$E$2:$E$501,MATCH($B40,_RefTable!$C$2:$C$501,0)),IFERROR(INDEX(_MainTable!$C$2:$C$2001,MATCH($B40,_MainTable!$F$2:$F$2001,0)),"")))&amp;""="","—",(IFERROR(INDEX(_RefTable!$E$2:$E$501,MATCH($B40,_RefTable!$C$2:$C$501,0)),IFERROR(INDEX(_MainTable!$C$2:$C$2001,MATCH($B40,_MainTable!$F$2:$F$2001,0)),"")))))</f>
        <v>Jake Reid</v>
      </c>
      <c r="E40" s="17" t="str">
        <f aca="false">IF($B40="","",IF((IFERROR(INDEX(_RefTable!$F$2:$F$501,MATCH($B40,_RefTable!$C$2:$C$501,0)),IFERROR(INDEX(_MainTable!$D$2:$D$2001,MATCH($B40,_MainTable!$F$2:$F$2001,0)),"")))&amp;""="","—",(IFERROR(INDEX(_RefTable!$F$2:$F$501,MATCH($B40,_RefTable!$C$2:$C$501,0)),IFERROR(INDEX(_MainTable!$D$2:$D$2001,MATCH($B40,_MainTable!$F$2:$F$2001,0)),"")))))</f>
        <v>Cody Thornock</v>
      </c>
      <c r="F40" s="19" t="n">
        <f aca="false">IF($B40="","",IFERROR(_xlfn.MINIFS('SC Change Orders'!$E$2:$E$501,'SC Change Orders'!$B$2:$B$501,$B40,'SC Change Orders'!$C$2:$C$501,"&gt;="&amp;Controls!$C$5,'SC Change Orders'!$C$2:$C$501,"&lt;="&amp;Controls!$C$6),0))</f>
        <v>1000000</v>
      </c>
      <c r="G40" s="19" t="n">
        <f aca="false">IF($B40="","",SUMIFS('SC Change Orders'!$F$2:$F$501,'SC Change Orders'!$B$2:$B$501,$B40,'SC Change Orders'!$C$2:$C$501,"&gt;="&amp;Controls!$C$5,'SC Change Orders'!$C$2:$C$501,"&lt;="&amp;Controls!$C$6))</f>
        <v>1600000</v>
      </c>
      <c r="H40" s="19" t="n">
        <f aca="false">IF($B40="","",$F40+$G40)</f>
        <v>2600000</v>
      </c>
      <c r="I40" s="19" t="n">
        <f aca="false">IF($B40="","",SUMIFS(_MainTable!$K$2:$K$2001,_MainTable!$F$2:$F$2001,$B40,_MainTable!$G$2:$G$2001,"&gt;="&amp;Controls!$C$5,_MainTable!$G$2:$G$2001,"&lt;="&amp;Controls!$C$6))</f>
        <v>833466.21</v>
      </c>
      <c r="J40" s="20" t="n">
        <f aca="false">IF($B40="","",IFERROR($I40/$H40,0))</f>
        <v>0.320563926923077</v>
      </c>
      <c r="K40" s="19" t="n">
        <f aca="false">IF($B40="","",$H40-$I40)</f>
        <v>1766533.79</v>
      </c>
      <c r="L40" s="19" t="n">
        <f aca="false">IF($B40="","",IFERROR(SUMIFS(_MainTable!$K$2:$K$2001,_MainTable!$F$2:$F$2001,$B40,_MainTable!$G$2:$G$2001,"&gt;="&amp;Controls!$C$12,_MainTable!$G$2:$G$2001,"&lt;="&amp;EOMONTH(Controls!$C$7,0))/MIN(Controls!$C$9,Controls!$C$10),0))</f>
        <v>185433.626666667</v>
      </c>
      <c r="M40" s="19" t="n">
        <f aca="false">IF($B40="","",$L40*Controls!$C$11)</f>
        <v>370867.253333333</v>
      </c>
      <c r="N40" s="19" t="n">
        <f aca="false">IF($B40="","",$I40+$M40)</f>
        <v>1204333.46333333</v>
      </c>
      <c r="O40" s="20" t="n">
        <f aca="false">IF($B40="","",IFERROR($N40/$H40,0))</f>
        <v>0.463205178205128</v>
      </c>
      <c r="P40" s="19" t="n">
        <f aca="false">IF($B40="","",$H40-$N40)</f>
        <v>1395666.53666667</v>
      </c>
      <c r="Q40" s="21" t="n">
        <f aca="false">IF($B40="","",IF($L40&lt;=0,"n/a",IFERROR($K40/$L40,"n/a")))</f>
        <v>9.52650186352393</v>
      </c>
      <c r="R40" s="22" t="str">
        <f aca="false">IF($B40="","",IF(AND($H40=0,$I40=0),"⚪ No Activity",IF(AND($H40=0,COUNTIFS('SC Change Orders'!$B$2:$B$501,$B40,'SC Change Orders'!$C$2:$C$501,"&gt;="&amp;Controls!$C$5,'SC Change Orders'!$C$2:$C$501,"&lt;="&amp;Controls!$C$6)=0),"⚪ No Funding on File",IF($H40=0,"🔴 Unfunded Spend",IF($I40&gt;=$H40,"🔴 Over Budget",IF($N40&gt;$H40,"🔴 Projected Shortfall",IF($J40&gt;=Controls!$C$8,"🟡 Watch","🟢 On Track")))))))</f>
        <v>🟢 On Track</v>
      </c>
    </row>
    <row r="41" customFormat="false" ht="15" hidden="false" customHeight="false" outlineLevel="0" collapsed="false">
      <c r="A41" s="17" t="str">
        <f aca="false">IF($B41="","",IF((IFERROR(INDEX(_RefTable!$A$2:$A$501,MATCH($B41,_RefTable!$C$2:$C$501,0)),IFERROR(INDEX(_MainTable!$A$2:$A$2001,MATCH($B41,_MainTable!$F$2:$F$2001,0)),IFERROR(INDEX('SC Change Orders'!$A$2:$A$501,MATCH($B41,'SC Change Orders'!$B$2:$B$501,0)),"(unknown vendor)"))))&amp;""="","—",(IFERROR(INDEX(_RefTable!$A$2:$A$501,MATCH($B41,_RefTable!$C$2:$C$501,0)),IFERROR(INDEX(_MainTable!$A$2:$A$2001,MATCH($B41,_MainTable!$F$2:$F$2001,0)),IFERROR(INDEX('SC Change Orders'!$A$2:$A$501,MATCH($B41,'SC Change Orders'!$B$2:$B$501,0)),"(unknown vendor)"))))))</f>
        <v>SOLVENTUM HEALTH INFO SYSTEM</v>
      </c>
      <c r="B41" s="18" t="n">
        <f aca="false">IFERROR(INDEX('PO Index'!$B$5:$B$84,37),"")</f>
        <v>11217</v>
      </c>
      <c r="C41" s="17" t="str">
        <f aca="false">IF($B41="","",IF((IFERROR(INDEX(_RefTable!$B$2:$B$501,MATCH($B41,_RefTable!$C$2:$C$501,0))&amp;IF(COUNTIF(_RefTable!$C$2:$C$501,$B41)&gt;1," (+"&amp;COUNTIF(_RefTable!$C$2:$C$501,$B41)-1&amp;" more)",""),IFERROR(INDEX(_MainTable!$B$2:$B$2001,MATCH($B41,_MainTable!$F$2:$F$2001,0)),"")))&amp;""="","—",(IFERROR(INDEX(_RefTable!$B$2:$B$501,MATCH($B41,_RefTable!$C$2:$C$501,0))&amp;IF(COUNTIF(_RefTable!$C$2:$C$501,$B41)&gt;1," (+"&amp;COUNTIF(_RefTable!$C$2:$C$501,$B41)-1&amp;" more)",""),IFERROR(INDEX(_MainTable!$B$2:$B$2001,MATCH($B41,_MainTable!$F$2:$F$2001,0)),"")))))</f>
        <v>CAC (+1 more)</v>
      </c>
      <c r="D41" s="17" t="str">
        <f aca="false">IF($B41="","",IF((IFERROR(INDEX(_RefTable!$E$2:$E$501,MATCH($B41,_RefTable!$C$2:$C$501,0)),IFERROR(INDEX(_MainTable!$C$2:$C$2001,MATCH($B41,_MainTable!$F$2:$F$2001,0)),"")))&amp;""="","—",(IFERROR(INDEX(_RefTable!$E$2:$E$501,MATCH($B41,_RefTable!$C$2:$C$501,0)),IFERROR(INDEX(_MainTable!$C$2:$C$2001,MATCH($B41,_MainTable!$F$2:$F$2001,0)),"")))))</f>
        <v>Sona Buchanan</v>
      </c>
      <c r="E41" s="17" t="str">
        <f aca="false">IF($B41="","",IF((IFERROR(INDEX(_RefTable!$F$2:$F$501,MATCH($B41,_RefTable!$C$2:$C$501,0)),IFERROR(INDEX(_MainTable!$D$2:$D$2001,MATCH($B41,_MainTable!$F$2:$F$2001,0)),"")))&amp;""="","—",(IFERROR(INDEX(_RefTable!$F$2:$F$501,MATCH($B41,_RefTable!$C$2:$C$501,0)),IFERROR(INDEX(_MainTable!$D$2:$D$2001,MATCH($B41,_MainTable!$F$2:$F$2001,0)),"")))))</f>
        <v>Heather Geile</v>
      </c>
      <c r="F41" s="19" t="n">
        <f aca="false">IF($B41="","",IFERROR(_xlfn.MINIFS('SC Change Orders'!$E$2:$E$501,'SC Change Orders'!$B$2:$B$501,$B41,'SC Change Orders'!$C$2:$C$501,"&gt;="&amp;Controls!$C$5,'SC Change Orders'!$C$2:$C$501,"&lt;="&amp;Controls!$C$6),0))</f>
        <v>0</v>
      </c>
      <c r="G41" s="19" t="n">
        <f aca="false">IF($B41="","",SUMIFS('SC Change Orders'!$F$2:$F$501,'SC Change Orders'!$B$2:$B$501,$B41,'SC Change Orders'!$C$2:$C$501,"&gt;="&amp;Controls!$C$5,'SC Change Orders'!$C$2:$C$501,"&lt;="&amp;Controls!$C$6))</f>
        <v>0</v>
      </c>
      <c r="H41" s="19" t="n">
        <f aca="false">IF($B41="","",$F41+$G41)</f>
        <v>0</v>
      </c>
      <c r="I41" s="19" t="n">
        <f aca="false">IF($B41="","",SUMIFS(_MainTable!$K$2:$K$2001,_MainTable!$F$2:$F$2001,$B41,_MainTable!$G$2:$G$2001,"&gt;="&amp;Controls!$C$5,_MainTable!$G$2:$G$2001,"&lt;="&amp;Controls!$C$6))</f>
        <v>441141.26</v>
      </c>
      <c r="J41" s="20" t="n">
        <f aca="false">IF($B41="","",IFERROR($I41/$H41,0))</f>
        <v>0</v>
      </c>
      <c r="K41" s="19" t="n">
        <f aca="false">IF($B41="","",$H41-$I41)</f>
        <v>-441141.26</v>
      </c>
      <c r="L41" s="19" t="n">
        <f aca="false">IF($B41="","",IFERROR(SUMIFS(_MainTable!$K$2:$K$2001,_MainTable!$F$2:$F$2001,$B41,_MainTable!$G$2:$G$2001,"&gt;="&amp;Controls!$C$12,_MainTable!$G$2:$G$2001,"&lt;="&amp;EOMONTH(Controls!$C$7,0))/MIN(Controls!$C$9,Controls!$C$10),0))</f>
        <v>147047.086666667</v>
      </c>
      <c r="M41" s="19" t="n">
        <f aca="false">IF($B41="","",$L41*Controls!$C$11)</f>
        <v>294094.173333333</v>
      </c>
      <c r="N41" s="19" t="n">
        <f aca="false">IF($B41="","",$I41+$M41)</f>
        <v>735235.433333333</v>
      </c>
      <c r="O41" s="20" t="n">
        <f aca="false">IF($B41="","",IFERROR($N41/$H41,0))</f>
        <v>0</v>
      </c>
      <c r="P41" s="19" t="n">
        <f aca="false">IF($B41="","",$H41-$N41)</f>
        <v>-735235.433333333</v>
      </c>
      <c r="Q41" s="21" t="n">
        <f aca="false">IF($B41="","",IF($L41&lt;=0,"n/a",IFERROR($K41/$L41,"n/a")))</f>
        <v>-3</v>
      </c>
      <c r="R41" s="22" t="str">
        <f aca="false">IF($B41="","",IF(AND($H41=0,$I41=0),"⚪ No Activity",IF(AND($H41=0,COUNTIFS('SC Change Orders'!$B$2:$B$501,$B41,'SC Change Orders'!$C$2:$C$501,"&gt;="&amp;Controls!$C$5,'SC Change Orders'!$C$2:$C$501,"&lt;="&amp;Controls!$C$6)=0),"⚪ No Funding on File",IF($H41=0,"🔴 Unfunded Spend",IF($I41&gt;=$H41,"🔴 Over Budget",IF($N41&gt;$H41,"🔴 Projected Shortfall",IF($J41&gt;=Controls!$C$8,"🟡 Watch","🟢 On Track")))))))</f>
        <v>⚪ No Funding on File</v>
      </c>
    </row>
    <row r="42" customFormat="false" ht="15" hidden="false" customHeight="false" outlineLevel="0" collapsed="false">
      <c r="A42" s="17" t="str">
        <f aca="false">IF($B42="","",IF((IFERROR(INDEX(_RefTable!$A$2:$A$501,MATCH($B42,_RefTable!$C$2:$C$501,0)),IFERROR(INDEX(_MainTable!$A$2:$A$2001,MATCH($B42,_MainTable!$F$2:$F$2001,0)),IFERROR(INDEX('SC Change Orders'!$A$2:$A$501,MATCH($B42,'SC Change Orders'!$B$2:$B$501,0)),"(unknown vendor)"))))&amp;""="","—",(IFERROR(INDEX(_RefTable!$A$2:$A$501,MATCH($B42,_RefTable!$C$2:$C$501,0)),IFERROR(INDEX(_MainTable!$A$2:$A$2001,MATCH($B42,_MainTable!$F$2:$F$2001,0)),IFERROR(INDEX('SC Change Orders'!$A$2:$A$501,MATCH($B42,'SC Change Orders'!$B$2:$B$501,0)),"(unknown vendor)"))))))</f>
        <v>GUIDEHOUSE INC</v>
      </c>
      <c r="B42" s="18" t="n">
        <f aca="false">IFERROR(INDEX('PO Index'!$B$5:$B$84,38),"")</f>
        <v>11587</v>
      </c>
      <c r="C42" s="17" t="str">
        <f aca="false">IF($B42="","",IF((IFERROR(INDEX(_RefTable!$B$2:$B$501,MATCH($B42,_RefTable!$C$2:$C$501,0))&amp;IF(COUNTIF(_RefTable!$C$2:$C$501,$B42)&gt;1," (+"&amp;COUNTIF(_RefTable!$C$2:$C$501,$B42)-1&amp;" more)",""),IFERROR(INDEX(_MainTable!$B$2:$B$2001,MATCH($B42,_MainTable!$F$2:$F$2001,0)),"")))&amp;""="","—",(IFERROR(INDEX(_RefTable!$B$2:$B$501,MATCH($B42,_RefTable!$C$2:$C$501,0))&amp;IF(COUNTIF(_RefTable!$C$2:$C$501,$B42)&gt;1," (+"&amp;COUNTIF(_RefTable!$C$2:$C$501,$B42)-1&amp;" more)",""),IFERROR(INDEX(_MainTable!$B$2:$B$2001,MATCH($B42,_MainTable!$F$2:$F$2001,0)),"")))))</f>
        <v>CCC</v>
      </c>
      <c r="D42" s="17" t="str">
        <f aca="false">IF($B42="","",IF((IFERROR(INDEX(_RefTable!$E$2:$E$501,MATCH($B42,_RefTable!$C$2:$C$501,0)),IFERROR(INDEX(_MainTable!$C$2:$C$2001,MATCH($B42,_MainTable!$F$2:$F$2001,0)),"")))&amp;""="","—",(IFERROR(INDEX(_RefTable!$E$2:$E$501,MATCH($B42,_RefTable!$C$2:$C$501,0)),IFERROR(INDEX(_MainTable!$C$2:$C$2001,MATCH($B42,_MainTable!$F$2:$F$2001,0)),"")))))</f>
        <v>Anne Jensen</v>
      </c>
      <c r="E42" s="17" t="str">
        <f aca="false">IF($B42="","",IF((IFERROR(INDEX(_RefTable!$F$2:$F$501,MATCH($B42,_RefTable!$C$2:$C$501,0)),IFERROR(INDEX(_MainTable!$D$2:$D$2001,MATCH($B42,_MainTable!$F$2:$F$2001,0)),"")))&amp;""="","—",(IFERROR(INDEX(_RefTable!$F$2:$F$501,MATCH($B42,_RefTable!$C$2:$C$501,0)),IFERROR(INDEX(_MainTable!$D$2:$D$2001,MATCH($B42,_MainTable!$F$2:$F$2001,0)),"")))))</f>
        <v>Laney Rivera</v>
      </c>
      <c r="F42" s="19" t="n">
        <f aca="false">IF($B42="","",IFERROR(_xlfn.MINIFS('SC Change Orders'!$E$2:$E$501,'SC Change Orders'!$B$2:$B$501,$B42,'SC Change Orders'!$C$2:$C$501,"&gt;="&amp;Controls!$C$5,'SC Change Orders'!$C$2:$C$501,"&lt;="&amp;Controls!$C$6),0))</f>
        <v>0</v>
      </c>
      <c r="G42" s="19" t="n">
        <f aca="false">IF($B42="","",SUMIFS('SC Change Orders'!$F$2:$F$501,'SC Change Orders'!$B$2:$B$501,$B42,'SC Change Orders'!$C$2:$C$501,"&gt;="&amp;Controls!$C$5,'SC Change Orders'!$C$2:$C$501,"&lt;="&amp;Controls!$C$6))</f>
        <v>0</v>
      </c>
      <c r="H42" s="19" t="n">
        <f aca="false">IF($B42="","",$F42+$G42)</f>
        <v>0</v>
      </c>
      <c r="I42" s="19" t="n">
        <f aca="false">IF($B42="","",SUMIFS(_MainTable!$K$2:$K$2001,_MainTable!$F$2:$F$2001,$B42,_MainTable!$G$2:$G$2001,"&gt;="&amp;Controls!$C$5,_MainTable!$G$2:$G$2001,"&lt;="&amp;Controls!$C$6))</f>
        <v>64750</v>
      </c>
      <c r="J42" s="20" t="n">
        <f aca="false">IF($B42="","",IFERROR($I42/$H42,0))</f>
        <v>0</v>
      </c>
      <c r="K42" s="19" t="n">
        <f aca="false">IF($B42="","",$H42-$I42)</f>
        <v>-64750</v>
      </c>
      <c r="L42" s="19" t="n">
        <f aca="false">IF($B42="","",IFERROR(SUMIFS(_MainTable!$K$2:$K$2001,_MainTable!$F$2:$F$2001,$B42,_MainTable!$G$2:$G$2001,"&gt;="&amp;Controls!$C$12,_MainTable!$G$2:$G$2001,"&lt;="&amp;EOMONTH(Controls!$C$7,0))/MIN(Controls!$C$9,Controls!$C$10),0))</f>
        <v>12950</v>
      </c>
      <c r="M42" s="19" t="n">
        <f aca="false">IF($B42="","",$L42*Controls!$C$11)</f>
        <v>25900</v>
      </c>
      <c r="N42" s="19" t="n">
        <f aca="false">IF($B42="","",$I42+$M42)</f>
        <v>90650</v>
      </c>
      <c r="O42" s="20" t="n">
        <f aca="false">IF($B42="","",IFERROR($N42/$H42,0))</f>
        <v>0</v>
      </c>
      <c r="P42" s="19" t="n">
        <f aca="false">IF($B42="","",$H42-$N42)</f>
        <v>-90650</v>
      </c>
      <c r="Q42" s="21" t="n">
        <f aca="false">IF($B42="","",IF($L42&lt;=0,"n/a",IFERROR($K42/$L42,"n/a")))</f>
        <v>-5</v>
      </c>
      <c r="R42" s="22" t="str">
        <f aca="false">IF($B42="","",IF(AND($H42=0,$I42=0),"⚪ No Activity",IF(AND($H42=0,COUNTIFS('SC Change Orders'!$B$2:$B$501,$B42,'SC Change Orders'!$C$2:$C$501,"&gt;="&amp;Controls!$C$5,'SC Change Orders'!$C$2:$C$501,"&lt;="&amp;Controls!$C$6)=0),"⚪ No Funding on File",IF($H42=0,"🔴 Unfunded Spend",IF($I42&gt;=$H42,"🔴 Over Budget",IF($N42&gt;$H42,"🔴 Projected Shortfall",IF($J42&gt;=Controls!$C$8,"🟡 Watch","🟢 On Track")))))))</f>
        <v>⚪ No Funding on File</v>
      </c>
    </row>
    <row r="43" customFormat="false" ht="15" hidden="false" customHeight="false" outlineLevel="0" collapsed="false">
      <c r="A43" s="17" t="str">
        <f aca="false">IF($B43="","",IF((IFERROR(INDEX(_RefTable!$A$2:$A$501,MATCH($B43,_RefTable!$C$2:$C$501,0)),IFERROR(INDEX(_MainTable!$A$2:$A$2001,MATCH($B43,_MainTable!$F$2:$F$2001,0)),IFERROR(INDEX('SC Change Orders'!$A$2:$A$501,MATCH($B43,'SC Change Orders'!$B$2:$B$501,0)),"(unknown vendor)"))))&amp;""="","—",(IFERROR(INDEX(_RefTable!$A$2:$A$501,MATCH($B43,_RefTable!$C$2:$C$501,0)),IFERROR(INDEX(_MainTable!$A$2:$A$2001,MATCH($B43,_MainTable!$F$2:$F$2001,0)),IFERROR(INDEX('SC Change Orders'!$A$2:$A$501,MATCH($B43,'SC Change Orders'!$B$2:$B$501,0)),"(unknown vendor)"))))))</f>
        <v>WAYSTAR HEALTH</v>
      </c>
      <c r="B43" s="18" t="n">
        <f aca="false">IFERROR(INDEX('PO Index'!$B$5:$B$84,39),"")</f>
        <v>11631</v>
      </c>
      <c r="C43" s="17" t="str">
        <f aca="false">IF($B43="","",IF((IFERROR(INDEX(_RefTable!$B$2:$B$501,MATCH($B43,_RefTable!$C$2:$C$501,0))&amp;IF(COUNTIF(_RefTable!$C$2:$C$501,$B43)&gt;1," (+"&amp;COUNTIF(_RefTable!$C$2:$C$501,$B43)-1&amp;" more)",""),IFERROR(INDEX(_MainTable!$B$2:$B$2001,MATCH($B43,_MainTable!$F$2:$F$2001,0)),"")))&amp;""="","—",(IFERROR(INDEX(_RefTable!$B$2:$B$501,MATCH($B43,_RefTable!$C$2:$C$501,0))&amp;IF(COUNTIF(_RefTable!$C$2:$C$501,$B43)&gt;1," (+"&amp;COUNTIF(_RefTable!$C$2:$C$501,$B43)-1&amp;" more)",""),IFERROR(INDEX(_MainTable!$B$2:$B$2001,MATCH($B43,_MainTable!$F$2:$F$2001,0)),"")))))</f>
        <v>RTA Auth</v>
      </c>
      <c r="D43" s="17" t="str">
        <f aca="false">IF($B43="","",IF((IFERROR(INDEX(_RefTable!$E$2:$E$501,MATCH($B43,_RefTable!$C$2:$C$501,0)),IFERROR(INDEX(_MainTable!$C$2:$C$2001,MATCH($B43,_MainTable!$F$2:$F$2001,0)),"")))&amp;""="","—",(IFERROR(INDEX(_RefTable!$E$2:$E$501,MATCH($B43,_RefTable!$C$2:$C$501,0)),IFERROR(INDEX(_MainTable!$C$2:$C$2001,MATCH($B43,_MainTable!$F$2:$F$2001,0)),"")))))</f>
        <v>Rachel Seaman</v>
      </c>
      <c r="E43" s="17" t="str">
        <f aca="false">IF($B43="","",IF((IFERROR(INDEX(_RefTable!$F$2:$F$501,MATCH($B43,_RefTable!$C$2:$C$501,0)),IFERROR(INDEX(_MainTable!$D$2:$D$2001,MATCH($B43,_MainTable!$F$2:$F$2001,0)),"")))&amp;""="","—",(IFERROR(INDEX(_RefTable!$F$2:$F$501,MATCH($B43,_RefTable!$C$2:$C$501,0)),IFERROR(INDEX(_MainTable!$D$2:$D$2001,MATCH($B43,_MainTable!$F$2:$F$2001,0)),"")))))</f>
        <v>Becca Osmanagic</v>
      </c>
      <c r="F43" s="19" t="n">
        <f aca="false">IF($B43="","",IFERROR(_xlfn.MINIFS('SC Change Orders'!$E$2:$E$501,'SC Change Orders'!$B$2:$B$501,$B43,'SC Change Orders'!$C$2:$C$501,"&gt;="&amp;Controls!$C$5,'SC Change Orders'!$C$2:$C$501,"&lt;="&amp;Controls!$C$6),0))</f>
        <v>135960</v>
      </c>
      <c r="G43" s="19" t="n">
        <f aca="false">IF($B43="","",SUMIFS('SC Change Orders'!$F$2:$F$501,'SC Change Orders'!$B$2:$B$501,$B43,'SC Change Orders'!$C$2:$C$501,"&gt;="&amp;Controls!$C$5,'SC Change Orders'!$C$2:$C$501,"&lt;="&amp;Controls!$C$6))</f>
        <v>132000</v>
      </c>
      <c r="H43" s="19" t="n">
        <f aca="false">IF($B43="","",$F43+$G43)</f>
        <v>267960</v>
      </c>
      <c r="I43" s="19" t="n">
        <f aca="false">IF($B43="","",SUMIFS(_MainTable!$K$2:$K$2001,_MainTable!$F$2:$F$2001,$B43,_MainTable!$G$2:$G$2001,"&gt;="&amp;Controls!$C$5,_MainTable!$G$2:$G$2001,"&lt;="&amp;Controls!$C$6))</f>
        <v>264000</v>
      </c>
      <c r="J43" s="20" t="n">
        <f aca="false">IF($B43="","",IFERROR($I43/$H43,0))</f>
        <v>0.985221674876847</v>
      </c>
      <c r="K43" s="19" t="n">
        <f aca="false">IF($B43="","",$H43-$I43)</f>
        <v>3960</v>
      </c>
      <c r="L43" s="19" t="n">
        <f aca="false">IF($B43="","",IFERROR(SUMIFS(_MainTable!$K$2:$K$2001,_MainTable!$F$2:$F$2001,$B43,_MainTable!$G$2:$G$2001,"&gt;="&amp;Controls!$C$12,_MainTable!$G$2:$G$2001,"&lt;="&amp;EOMONTH(Controls!$C$7,0))/MIN(Controls!$C$9,Controls!$C$10),0))</f>
        <v>0</v>
      </c>
      <c r="M43" s="19" t="n">
        <f aca="false">IF($B43="","",$L43*Controls!$C$11)</f>
        <v>0</v>
      </c>
      <c r="N43" s="19" t="n">
        <f aca="false">IF($B43="","",$I43+$M43)</f>
        <v>264000</v>
      </c>
      <c r="O43" s="20" t="n">
        <f aca="false">IF($B43="","",IFERROR($N43/$H43,0))</f>
        <v>0.985221674876847</v>
      </c>
      <c r="P43" s="19" t="n">
        <f aca="false">IF($B43="","",$H43-$N43)</f>
        <v>3960</v>
      </c>
      <c r="Q43" s="21" t="str">
        <f aca="false">IF($B43="","",IF($L43&lt;=0,"n/a",IFERROR($K43/$L43,"n/a")))</f>
        <v>n/a</v>
      </c>
      <c r="R43" s="22" t="str">
        <f aca="false">IF($B43="","",IF(AND($H43=0,$I43=0),"⚪ No Activity",IF(AND($H43=0,COUNTIFS('SC Change Orders'!$B$2:$B$501,$B43,'SC Change Orders'!$C$2:$C$501,"&gt;="&amp;Controls!$C$5,'SC Change Orders'!$C$2:$C$501,"&lt;="&amp;Controls!$C$6)=0),"⚪ No Funding on File",IF($H43=0,"🔴 Unfunded Spend",IF($I43&gt;=$H43,"🔴 Over Budget",IF($N43&gt;$H43,"🔴 Projected Shortfall",IF($J43&gt;=Controls!$C$8,"🟡 Watch","🟢 On Track")))))))</f>
        <v>🟡 Watch</v>
      </c>
    </row>
    <row r="44" customFormat="false" ht="15" hidden="false" customHeight="false" outlineLevel="0" collapsed="false">
      <c r="A44" s="17" t="str">
        <f aca="false">IF($B44="","",IF((IFERROR(INDEX(_RefTable!$A$2:$A$501,MATCH($B44,_RefTable!$C$2:$C$501,0)),IFERROR(INDEX(_MainTable!$A$2:$A$2001,MATCH($B44,_MainTable!$F$2:$F$2001,0)),IFERROR(INDEX('SC Change Orders'!$A$2:$A$501,MATCH($B44,'SC Change Orders'!$B$2:$B$501,0)),"(unknown vendor)"))))&amp;""="","—",(IFERROR(INDEX(_RefTable!$A$2:$A$501,MATCH($B44,_RefTable!$C$2:$C$501,0)),IFERROR(INDEX(_MainTable!$A$2:$A$2001,MATCH($B44,_MainTable!$F$2:$F$2001,0)),IFERROR(INDEX('SC Change Orders'!$A$2:$A$501,MATCH($B44,'SC Change Orders'!$B$2:$B$501,0)),"(unknown vendor)"))))))</f>
        <v>HEALTHSTREAM</v>
      </c>
      <c r="B44" s="18" t="n">
        <f aca="false">IFERROR(INDEX('PO Index'!$B$5:$B$84,40),"")</f>
        <v>11778</v>
      </c>
      <c r="C44" s="17" t="str">
        <f aca="false">IF($B44="","",IF((IFERROR(INDEX(_RefTable!$B$2:$B$501,MATCH($B44,_RefTable!$C$2:$C$501,0))&amp;IF(COUNTIF(_RefTable!$C$2:$C$501,$B44)&gt;1," (+"&amp;COUNTIF(_RefTable!$C$2:$C$501,$B44)-1&amp;" more)",""),IFERROR(INDEX(_MainTable!$B$2:$B$2001,MATCH($B44,_MainTable!$F$2:$F$2001,0)),"")))&amp;""="","—",(IFERROR(INDEX(_RefTable!$B$2:$B$501,MATCH($B44,_RefTable!$C$2:$C$501,0))&amp;IF(COUNTIF(_RefTable!$C$2:$C$501,$B44)&gt;1," (+"&amp;COUNTIF(_RefTable!$C$2:$C$501,$B44)-1&amp;" more)",""),IFERROR(INDEX(_MainTable!$B$2:$B$2001,MATCH($B44,_MainTable!$F$2:$F$2001,0)),"")))))</f>
        <v>Education</v>
      </c>
      <c r="D44" s="17" t="str">
        <f aca="false">IF($B44="","",IF((IFERROR(INDEX(_RefTable!$E$2:$E$501,MATCH($B44,_RefTable!$C$2:$C$501,0)),IFERROR(INDEX(_MainTable!$C$2:$C$2001,MATCH($B44,_MainTable!$F$2:$F$2001,0)),"")))&amp;""="","—",(IFERROR(INDEX(_RefTable!$E$2:$E$501,MATCH($B44,_RefTable!$C$2:$C$501,0)),IFERROR(INDEX(_MainTable!$C$2:$C$2001,MATCH($B44,_MainTable!$F$2:$F$2001,0)),"")))))</f>
        <v>Adam Vardaman</v>
      </c>
      <c r="E44" s="17" t="str">
        <f aca="false">IF($B44="","",IF((IFERROR(INDEX(_RefTable!$F$2:$F$501,MATCH($B44,_RefTable!$C$2:$C$501,0)),IFERROR(INDEX(_MainTable!$D$2:$D$2001,MATCH($B44,_MainTable!$F$2:$F$2001,0)),"")))&amp;""="","—",(IFERROR(INDEX(_RefTable!$F$2:$F$501,MATCH($B44,_RefTable!$C$2:$C$501,0)),IFERROR(INDEX(_MainTable!$D$2:$D$2001,MATCH($B44,_MainTable!$F$2:$F$2001,0)),"")))))</f>
        <v>Heather Geile</v>
      </c>
      <c r="F44" s="19" t="n">
        <f aca="false">IF($B44="","",IFERROR(_xlfn.MINIFS('SC Change Orders'!$E$2:$E$501,'SC Change Orders'!$B$2:$B$501,$B44,'SC Change Orders'!$C$2:$C$501,"&gt;="&amp;Controls!$C$5,'SC Change Orders'!$C$2:$C$501,"&lt;="&amp;Controls!$C$6),0))</f>
        <v>0</v>
      </c>
      <c r="G44" s="19" t="n">
        <f aca="false">IF($B44="","",SUMIFS('SC Change Orders'!$F$2:$F$501,'SC Change Orders'!$B$2:$B$501,$B44,'SC Change Orders'!$C$2:$C$501,"&gt;="&amp;Controls!$C$5,'SC Change Orders'!$C$2:$C$501,"&lt;="&amp;Controls!$C$6))</f>
        <v>0</v>
      </c>
      <c r="H44" s="19" t="n">
        <f aca="false">IF($B44="","",$F44+$G44)</f>
        <v>0</v>
      </c>
      <c r="I44" s="19" t="n">
        <f aca="false">IF($B44="","",SUMIFS(_MainTable!$K$2:$K$2001,_MainTable!$F$2:$F$2001,$B44,_MainTable!$G$2:$G$2001,"&gt;="&amp;Controls!$C$5,_MainTable!$G$2:$G$2001,"&lt;="&amp;Controls!$C$6))</f>
        <v>194937.93</v>
      </c>
      <c r="J44" s="20" t="n">
        <f aca="false">IF($B44="","",IFERROR($I44/$H44,0))</f>
        <v>0</v>
      </c>
      <c r="K44" s="19" t="n">
        <f aca="false">IF($B44="","",$H44-$I44)</f>
        <v>-194937.93</v>
      </c>
      <c r="L44" s="19" t="n">
        <f aca="false">IF($B44="","",IFERROR(SUMIFS(_MainTable!$K$2:$K$2001,_MainTable!$F$2:$F$2001,$B44,_MainTable!$G$2:$G$2001,"&gt;="&amp;Controls!$C$12,_MainTable!$G$2:$G$2001,"&lt;="&amp;EOMONTH(Controls!$C$7,0))/MIN(Controls!$C$9,Controls!$C$10),0))</f>
        <v>0</v>
      </c>
      <c r="M44" s="19" t="n">
        <f aca="false">IF($B44="","",$L44*Controls!$C$11)</f>
        <v>0</v>
      </c>
      <c r="N44" s="19" t="n">
        <f aca="false">IF($B44="","",$I44+$M44)</f>
        <v>194937.93</v>
      </c>
      <c r="O44" s="20" t="n">
        <f aca="false">IF($B44="","",IFERROR($N44/$H44,0))</f>
        <v>0</v>
      </c>
      <c r="P44" s="19" t="n">
        <f aca="false">IF($B44="","",$H44-$N44)</f>
        <v>-194937.93</v>
      </c>
      <c r="Q44" s="21" t="str">
        <f aca="false">IF($B44="","",IF($L44&lt;=0,"n/a",IFERROR($K44/$L44,"n/a")))</f>
        <v>n/a</v>
      </c>
      <c r="R44" s="22" t="str">
        <f aca="false">IF($B44="","",IF(AND($H44=0,$I44=0),"⚪ No Activity",IF(AND($H44=0,COUNTIFS('SC Change Orders'!$B$2:$B$501,$B44,'SC Change Orders'!$C$2:$C$501,"&gt;="&amp;Controls!$C$5,'SC Change Orders'!$C$2:$C$501,"&lt;="&amp;Controls!$C$6)=0),"⚪ No Funding on File",IF($H44=0,"🔴 Unfunded Spend",IF($I44&gt;=$H44,"🔴 Over Budget",IF($N44&gt;$H44,"🔴 Projected Shortfall",IF($J44&gt;=Controls!$C$8,"🟡 Watch","🟢 On Track")))))))</f>
        <v>⚪ No Funding on File</v>
      </c>
    </row>
    <row r="45" customFormat="false" ht="15" hidden="false" customHeight="false" outlineLevel="0" collapsed="false">
      <c r="A45" s="17" t="str">
        <f aca="false">IF($B45="","",IF((IFERROR(INDEX(_RefTable!$A$2:$A$501,MATCH($B45,_RefTable!$C$2:$C$501,0)),IFERROR(INDEX(_MainTable!$A$2:$A$2001,MATCH($B45,_MainTable!$F$2:$F$2001,0)),IFERROR(INDEX('SC Change Orders'!$A$2:$A$501,MATCH($B45,'SC Change Orders'!$B$2:$B$501,0)),"(unknown vendor)"))))&amp;""="","—",(IFERROR(INDEX(_RefTable!$A$2:$A$501,MATCH($B45,_RefTable!$C$2:$C$501,0)),IFERROR(INDEX(_MainTable!$A$2:$A$2001,MATCH($B45,_MainTable!$F$2:$F$2001,0)),IFERROR(INDEX('SC Change Orders'!$A$2:$A$501,MATCH($B45,'SC Change Orders'!$B$2:$B$501,0)),"(unknown vendor)"))))))</f>
        <v>MEDLYTIX LLC</v>
      </c>
      <c r="B45" s="18" t="n">
        <f aca="false">IFERROR(INDEX('PO Index'!$B$5:$B$84,41),"")</f>
        <v>12088</v>
      </c>
      <c r="C45" s="17" t="str">
        <f aca="false">IF($B45="","",IF((IFERROR(INDEX(_RefTable!$B$2:$B$501,MATCH($B45,_RefTable!$C$2:$C$501,0))&amp;IF(COUNTIF(_RefTable!$C$2:$C$501,$B45)&gt;1," (+"&amp;COUNTIF(_RefTable!$C$2:$C$501,$B45)-1&amp;" more)",""),IFERROR(INDEX(_MainTable!$B$2:$B$2001,MATCH($B45,_MainTable!$F$2:$F$2001,0)),"")))&amp;""="","—",(IFERROR(INDEX(_RefTable!$B$2:$B$501,MATCH($B45,_RefTable!$C$2:$C$501,0))&amp;IF(COUNTIF(_RefTable!$C$2:$C$501,$B45)&gt;1," (+"&amp;COUNTIF(_RefTable!$C$2:$C$501,$B45)-1&amp;" more)",""),IFERROR(INDEX(_MainTable!$B$2:$B$2001,MATCH($B45,_MainTable!$F$2:$F$2001,0)),"")))))</f>
        <v>Coverage Detection</v>
      </c>
      <c r="D45" s="17" t="str">
        <f aca="false">IF($B45="","",IF((IFERROR(INDEX(_RefTable!$E$2:$E$501,MATCH($B45,_RefTable!$C$2:$C$501,0)),IFERROR(INDEX(_MainTable!$C$2:$C$2001,MATCH($B45,_MainTable!$F$2:$F$2001,0)),"")))&amp;""="","—",(IFERROR(INDEX(_RefTable!$E$2:$E$501,MATCH($B45,_RefTable!$C$2:$C$501,0)),IFERROR(INDEX(_MainTable!$C$2:$C$2001,MATCH($B45,_MainTable!$F$2:$F$2001,0)),"")))))</f>
        <v>Anne Jensen</v>
      </c>
      <c r="E45" s="17" t="str">
        <f aca="false">IF($B45="","",IF((IFERROR(INDEX(_RefTable!$F$2:$F$501,MATCH($B45,_RefTable!$C$2:$C$501,0)),IFERROR(INDEX(_MainTable!$D$2:$D$2001,MATCH($B45,_MainTable!$F$2:$F$2001,0)),"")))&amp;""="","—",(IFERROR(INDEX(_RefTable!$F$2:$F$501,MATCH($B45,_RefTable!$C$2:$C$501,0)),IFERROR(INDEX(_MainTable!$D$2:$D$2001,MATCH($B45,_MainTable!$F$2:$F$2001,0)),"")))))</f>
        <v>Laney Rivera</v>
      </c>
      <c r="F45" s="19" t="n">
        <f aca="false">IF($B45="","",IFERROR(_xlfn.MINIFS('SC Change Orders'!$E$2:$E$501,'SC Change Orders'!$B$2:$B$501,$B45,'SC Change Orders'!$C$2:$C$501,"&gt;="&amp;Controls!$C$5,'SC Change Orders'!$C$2:$C$501,"&lt;="&amp;Controls!$C$6),0))</f>
        <v>0</v>
      </c>
      <c r="G45" s="19" t="n">
        <f aca="false">IF($B45="","",SUMIFS('SC Change Orders'!$F$2:$F$501,'SC Change Orders'!$B$2:$B$501,$B45,'SC Change Orders'!$C$2:$C$501,"&gt;="&amp;Controls!$C$5,'SC Change Orders'!$C$2:$C$501,"&lt;="&amp;Controls!$C$6))</f>
        <v>0</v>
      </c>
      <c r="H45" s="19" t="n">
        <f aca="false">IF($B45="","",$F45+$G45)</f>
        <v>0</v>
      </c>
      <c r="I45" s="19" t="n">
        <f aca="false">IF($B45="","",SUMIFS(_MainTable!$K$2:$K$2001,_MainTable!$F$2:$F$2001,$B45,_MainTable!$G$2:$G$2001,"&gt;="&amp;Controls!$C$5,_MainTable!$G$2:$G$2001,"&lt;="&amp;Controls!$C$6))</f>
        <v>66407.26</v>
      </c>
      <c r="J45" s="20" t="n">
        <f aca="false">IF($B45="","",IFERROR($I45/$H45,0))</f>
        <v>0</v>
      </c>
      <c r="K45" s="19" t="n">
        <f aca="false">IF($B45="","",$H45-$I45)</f>
        <v>-66407.26</v>
      </c>
      <c r="L45" s="19" t="n">
        <f aca="false">IF($B45="","",IFERROR(SUMIFS(_MainTable!$K$2:$K$2001,_MainTable!$F$2:$F$2001,$B45,_MainTable!$G$2:$G$2001,"&gt;="&amp;Controls!$C$12,_MainTable!$G$2:$G$2001,"&lt;="&amp;EOMONTH(Controls!$C$7,0))/MIN(Controls!$C$9,Controls!$C$10),0))</f>
        <v>22135.7533333333</v>
      </c>
      <c r="M45" s="19" t="n">
        <f aca="false">IF($B45="","",$L45*Controls!$C$11)</f>
        <v>44271.5066666667</v>
      </c>
      <c r="N45" s="19" t="n">
        <f aca="false">IF($B45="","",$I45+$M45)</f>
        <v>110678.766666667</v>
      </c>
      <c r="O45" s="20" t="n">
        <f aca="false">IF($B45="","",IFERROR($N45/$H45,0))</f>
        <v>0</v>
      </c>
      <c r="P45" s="19" t="n">
        <f aca="false">IF($B45="","",$H45-$N45)</f>
        <v>-110678.766666667</v>
      </c>
      <c r="Q45" s="21" t="n">
        <f aca="false">IF($B45="","",IF($L45&lt;=0,"n/a",IFERROR($K45/$L45,"n/a")))</f>
        <v>-3</v>
      </c>
      <c r="R45" s="22" t="str">
        <f aca="false">IF($B45="","",IF(AND($H45=0,$I45=0),"⚪ No Activity",IF(AND($H45=0,COUNTIFS('SC Change Orders'!$B$2:$B$501,$B45,'SC Change Orders'!$C$2:$C$501,"&gt;="&amp;Controls!$C$5,'SC Change Orders'!$C$2:$C$501,"&lt;="&amp;Controls!$C$6)=0),"⚪ No Funding on File",IF($H45=0,"🔴 Unfunded Spend",IF($I45&gt;=$H45,"🔴 Over Budget",IF($N45&gt;$H45,"🔴 Projected Shortfall",IF($J45&gt;=Controls!$C$8,"🟡 Watch","🟢 On Track")))))))</f>
        <v>🔴 Unfunded Spend</v>
      </c>
    </row>
    <row r="46" customFormat="false" ht="15" hidden="false" customHeight="false" outlineLevel="0" collapsed="false">
      <c r="A46" s="17" t="str">
        <f aca="false">IF($B46="","",IF((IFERROR(INDEX(_RefTable!$A$2:$A$501,MATCH($B46,_RefTable!$C$2:$C$501,0)),IFERROR(INDEX(_MainTable!$A$2:$A$2001,MATCH($B46,_MainTable!$F$2:$F$2001,0)),IFERROR(INDEX('SC Change Orders'!$A$2:$A$501,MATCH($B46,'SC Change Orders'!$B$2:$B$501,0)),"(unknown vendor)"))))&amp;""="","—",(IFERROR(INDEX(_RefTable!$A$2:$A$501,MATCH($B46,_RefTable!$C$2:$C$501,0)),IFERROR(INDEX(_MainTable!$A$2:$A$2001,MATCH($B46,_MainTable!$F$2:$F$2001,0)),IFERROR(INDEX('SC Change Orders'!$A$2:$A$501,MATCH($B46,'SC Change Orders'!$B$2:$B$501,0)),"(unknown vendor)"))))))</f>
        <v>HYVE HEALTHCARE</v>
      </c>
      <c r="B46" s="18" t="n">
        <f aca="false">IFERROR(INDEX('PO Index'!$B$5:$B$84,42),"")</f>
        <v>12263</v>
      </c>
      <c r="C46" s="17" t="str">
        <f aca="false">IF($B46="","",IF((IFERROR(INDEX(_RefTable!$B$2:$B$501,MATCH($B46,_RefTable!$C$2:$C$501,0))&amp;IF(COUNTIF(_RefTable!$C$2:$C$501,$B46)&gt;1," (+"&amp;COUNTIF(_RefTable!$C$2:$C$501,$B46)-1&amp;" more)",""),IFERROR(INDEX(_MainTable!$B$2:$B$2001,MATCH($B46,_MainTable!$F$2:$F$2001,0)),"")))&amp;""="","—",(IFERROR(INDEX(_RefTable!$B$2:$B$501,MATCH($B46,_RefTable!$C$2:$C$501,0))&amp;IF(COUNTIF(_RefTable!$C$2:$C$501,$B46)&gt;1," (+"&amp;COUNTIF(_RefTable!$C$2:$C$501,$B46)-1&amp;" more)",""),IFERROR(INDEX(_MainTable!$B$2:$B$2001,MATCH($B46,_MainTable!$F$2:$F$2001,0)),"")))))</f>
        <v>Price Transparency</v>
      </c>
      <c r="D46" s="17" t="str">
        <f aca="false">IF($B46="","",IF((IFERROR(INDEX(_RefTable!$E$2:$E$501,MATCH($B46,_RefTable!$C$2:$C$501,0)),IFERROR(INDEX(_MainTable!$C$2:$C$2001,MATCH($B46,_MainTable!$F$2:$F$2001,0)),"")))&amp;""="","—",(IFERROR(INDEX(_RefTable!$E$2:$E$501,MATCH($B46,_RefTable!$C$2:$C$501,0)),IFERROR(INDEX(_MainTable!$C$2:$C$2001,MATCH($B46,_MainTable!$F$2:$F$2001,0)),"")))))</f>
        <v>Matthew Morishita</v>
      </c>
      <c r="E46" s="17" t="str">
        <f aca="false">IF($B46="","",IF((IFERROR(INDEX(_RefTable!$F$2:$F$501,MATCH($B46,_RefTable!$C$2:$C$501,0)),IFERROR(INDEX(_MainTable!$D$2:$D$2001,MATCH($B46,_MainTable!$F$2:$F$2001,0)),"")))&amp;""="","—",(IFERROR(INDEX(_RefTable!$F$2:$F$501,MATCH($B46,_RefTable!$C$2:$C$501,0)),IFERROR(INDEX(_MainTable!$D$2:$D$2001,MATCH($B46,_MainTable!$F$2:$F$2001,0)),"")))))</f>
        <v>Amanda Leroue</v>
      </c>
      <c r="F46" s="19" t="n">
        <f aca="false">IF($B46="","",IFERROR(_xlfn.MINIFS('SC Change Orders'!$E$2:$E$501,'SC Change Orders'!$B$2:$B$501,$B46,'SC Change Orders'!$C$2:$C$501,"&gt;="&amp;Controls!$C$5,'SC Change Orders'!$C$2:$C$501,"&lt;="&amp;Controls!$C$6),0))</f>
        <v>96000</v>
      </c>
      <c r="G46" s="19" t="n">
        <f aca="false">IF($B46="","",SUMIFS('SC Change Orders'!$F$2:$F$501,'SC Change Orders'!$B$2:$B$501,$B46,'SC Change Orders'!$C$2:$C$501,"&gt;="&amp;Controls!$C$5,'SC Change Orders'!$C$2:$C$501,"&lt;="&amp;Controls!$C$6))</f>
        <v>0</v>
      </c>
      <c r="H46" s="19" t="n">
        <f aca="false">IF($B46="","",$F46+$G46)</f>
        <v>96000</v>
      </c>
      <c r="I46" s="19" t="n">
        <f aca="false">IF($B46="","",SUMIFS(_MainTable!$K$2:$K$2001,_MainTable!$F$2:$F$2001,$B46,_MainTable!$G$2:$G$2001,"&gt;="&amp;Controls!$C$5,_MainTable!$G$2:$G$2001,"&lt;="&amp;Controls!$C$6))</f>
        <v>0</v>
      </c>
      <c r="J46" s="20" t="n">
        <f aca="false">IF($B46="","",IFERROR($I46/$H46,0))</f>
        <v>0</v>
      </c>
      <c r="K46" s="19" t="n">
        <f aca="false">IF($B46="","",$H46-$I46)</f>
        <v>96000</v>
      </c>
      <c r="L46" s="19" t="n">
        <f aca="false">IF($B46="","",IFERROR(SUMIFS(_MainTable!$K$2:$K$2001,_MainTable!$F$2:$F$2001,$B46,_MainTable!$G$2:$G$2001,"&gt;="&amp;Controls!$C$12,_MainTable!$G$2:$G$2001,"&lt;="&amp;EOMONTH(Controls!$C$7,0))/MIN(Controls!$C$9,Controls!$C$10),0))</f>
        <v>0</v>
      </c>
      <c r="M46" s="19" t="n">
        <f aca="false">IF($B46="","",$L46*Controls!$C$11)</f>
        <v>0</v>
      </c>
      <c r="N46" s="19" t="n">
        <f aca="false">IF($B46="","",$I46+$M46)</f>
        <v>0</v>
      </c>
      <c r="O46" s="20" t="n">
        <f aca="false">IF($B46="","",IFERROR($N46/$H46,0))</f>
        <v>0</v>
      </c>
      <c r="P46" s="19" t="n">
        <f aca="false">IF($B46="","",$H46-$N46)</f>
        <v>96000</v>
      </c>
      <c r="Q46" s="21" t="str">
        <f aca="false">IF($B46="","",IF($L46&lt;=0,"n/a",IFERROR($K46/$L46,"n/a")))</f>
        <v>n/a</v>
      </c>
      <c r="R46" s="22" t="str">
        <f aca="false">IF($B46="","",IF(AND($H46=0,$I46=0),"⚪ No Activity",IF(AND($H46=0,COUNTIFS('SC Change Orders'!$B$2:$B$501,$B46,'SC Change Orders'!$C$2:$C$501,"&gt;="&amp;Controls!$C$5,'SC Change Orders'!$C$2:$C$501,"&lt;="&amp;Controls!$C$6)=0),"⚪ No Funding on File",IF($H46=0,"🔴 Unfunded Spend",IF($I46&gt;=$H46,"🔴 Over Budget",IF($N46&gt;$H46,"🔴 Projected Shortfall",IF($J46&gt;=Controls!$C$8,"🟡 Watch","🟢 On Track")))))))</f>
        <v>🟢 On Track</v>
      </c>
    </row>
    <row r="47" customFormat="false" ht="15" hidden="false" customHeight="false" outlineLevel="0" collapsed="false">
      <c r="A47" s="17" t="str">
        <f aca="false">IF($B47="","",IF((IFERROR(INDEX(_RefTable!$A$2:$A$501,MATCH($B47,_RefTable!$C$2:$C$501,0)),IFERROR(INDEX(_MainTable!$A$2:$A$2001,MATCH($B47,_MainTable!$F$2:$F$2001,0)),IFERROR(INDEX('SC Change Orders'!$A$2:$A$501,MATCH($B47,'SC Change Orders'!$B$2:$B$501,0)),"(unknown vendor)"))))&amp;""="","—",(IFERROR(INDEX(_RefTable!$A$2:$A$501,MATCH($B47,_RefTable!$C$2:$C$501,0)),IFERROR(INDEX(_MainTable!$A$2:$A$2001,MATCH($B47,_MainTable!$F$2:$F$2001,0)),IFERROR(INDEX('SC Change Orders'!$A$2:$A$501,MATCH($B47,'SC Change Orders'!$B$2:$B$501,0)),"(unknown vendor)"))))))</f>
        <v>UNITED AUDIT SYSTEMS INC</v>
      </c>
      <c r="B47" s="18" t="n">
        <f aca="false">IFERROR(INDEX('PO Index'!$B$5:$B$84,43),"")</f>
        <v>12584</v>
      </c>
      <c r="C47" s="17" t="str">
        <f aca="false">IF($B47="","",IF((IFERROR(INDEX(_RefTable!$B$2:$B$501,MATCH($B47,_RefTable!$C$2:$C$501,0))&amp;IF(COUNTIF(_RefTable!$C$2:$C$501,$B47)&gt;1," (+"&amp;COUNTIF(_RefTable!$C$2:$C$501,$B47)-1&amp;" more)",""),IFERROR(INDEX(_MainTable!$B$2:$B$2001,MATCH($B47,_MainTable!$F$2:$F$2001,0)),"")))&amp;""="","—",(IFERROR(INDEX(_RefTable!$B$2:$B$501,MATCH($B47,_RefTable!$C$2:$C$501,0))&amp;IF(COUNTIF(_RefTable!$C$2:$C$501,$B47)&gt;1," (+"&amp;COUNTIF(_RefTable!$C$2:$C$501,$B47)-1&amp;" more)",""),IFERROR(INDEX(_MainTable!$B$2:$B$2001,MATCH($B47,_MainTable!$F$2:$F$2001,0)),"")))))</f>
        <v>Coding Audit</v>
      </c>
      <c r="D47" s="17" t="str">
        <f aca="false">IF($B47="","",IF((IFERROR(INDEX(_RefTable!$E$2:$E$501,MATCH($B47,_RefTable!$C$2:$C$501,0)),IFERROR(INDEX(_MainTable!$C$2:$C$2001,MATCH($B47,_MainTable!$F$2:$F$2001,0)),"")))&amp;""="","—",(IFERROR(INDEX(_RefTable!$E$2:$E$501,MATCH($B47,_RefTable!$C$2:$C$501,0)),IFERROR(INDEX(_MainTable!$C$2:$C$2001,MATCH($B47,_MainTable!$F$2:$F$2001,0)),"")))))</f>
        <v>Sona Buchanan</v>
      </c>
      <c r="E47" s="17" t="str">
        <f aca="false">IF($B47="","",IF((IFERROR(INDEX(_RefTable!$F$2:$F$501,MATCH($B47,_RefTable!$C$2:$C$501,0)),IFERROR(INDEX(_MainTable!$D$2:$D$2001,MATCH($B47,_MainTable!$F$2:$F$2001,0)),"")))&amp;""="","—",(IFERROR(INDEX(_RefTable!$F$2:$F$501,MATCH($B47,_RefTable!$C$2:$C$501,0)),IFERROR(INDEX(_MainTable!$D$2:$D$2001,MATCH($B47,_MainTable!$F$2:$F$2001,0)),"")))))</f>
        <v>Heather Geile</v>
      </c>
      <c r="F47" s="19" t="n">
        <f aca="false">IF($B47="","",IFERROR(_xlfn.MINIFS('SC Change Orders'!$E$2:$E$501,'SC Change Orders'!$B$2:$B$501,$B47,'SC Change Orders'!$C$2:$C$501,"&gt;="&amp;Controls!$C$5,'SC Change Orders'!$C$2:$C$501,"&lt;="&amp;Controls!$C$6),0))</f>
        <v>500000</v>
      </c>
      <c r="G47" s="19" t="n">
        <f aca="false">IF($B47="","",SUMIFS('SC Change Orders'!$F$2:$F$501,'SC Change Orders'!$B$2:$B$501,$B47,'SC Change Orders'!$C$2:$C$501,"&gt;="&amp;Controls!$C$5,'SC Change Orders'!$C$2:$C$501,"&lt;="&amp;Controls!$C$6))</f>
        <v>500000</v>
      </c>
      <c r="H47" s="19" t="n">
        <f aca="false">IF($B47="","",$F47+$G47)</f>
        <v>1000000</v>
      </c>
      <c r="I47" s="19" t="n">
        <f aca="false">IF($B47="","",SUMIFS(_MainTable!$K$2:$K$2001,_MainTable!$F$2:$F$2001,$B47,_MainTable!$G$2:$G$2001,"&gt;="&amp;Controls!$C$5,_MainTable!$G$2:$G$2001,"&lt;="&amp;Controls!$C$6))</f>
        <v>3822.5</v>
      </c>
      <c r="J47" s="20" t="n">
        <f aca="false">IF($B47="","",IFERROR($I47/$H47,0))</f>
        <v>0.0038225</v>
      </c>
      <c r="K47" s="19" t="n">
        <f aca="false">IF($B47="","",$H47-$I47)</f>
        <v>996177.5</v>
      </c>
      <c r="L47" s="19" t="n">
        <f aca="false">IF($B47="","",IFERROR(SUMIFS(_MainTable!$K$2:$K$2001,_MainTable!$F$2:$F$2001,$B47,_MainTable!$G$2:$G$2001,"&gt;="&amp;Controls!$C$12,_MainTable!$G$2:$G$2001,"&lt;="&amp;EOMONTH(Controls!$C$7,0))/MIN(Controls!$C$9,Controls!$C$10),0))</f>
        <v>1274.16666666667</v>
      </c>
      <c r="M47" s="19" t="n">
        <f aca="false">IF($B47="","",$L47*Controls!$C$11)</f>
        <v>2548.33333333333</v>
      </c>
      <c r="N47" s="19" t="n">
        <f aca="false">IF($B47="","",$I47+$M47)</f>
        <v>6370.83333333333</v>
      </c>
      <c r="O47" s="20" t="n">
        <f aca="false">IF($B47="","",IFERROR($N47/$H47,0))</f>
        <v>0.00637083333333333</v>
      </c>
      <c r="P47" s="19" t="n">
        <f aca="false">IF($B47="","",$H47-$N47)</f>
        <v>993629.166666667</v>
      </c>
      <c r="Q47" s="21" t="n">
        <f aca="false">IF($B47="","",IF($L47&lt;=0,"n/a",IFERROR($K47/$L47,"n/a")))</f>
        <v>781.82668410726</v>
      </c>
      <c r="R47" s="22" t="str">
        <f aca="false">IF($B47="","",IF(AND($H47=0,$I47=0),"⚪ No Activity",IF(AND($H47=0,COUNTIFS('SC Change Orders'!$B$2:$B$501,$B47,'SC Change Orders'!$C$2:$C$501,"&gt;="&amp;Controls!$C$5,'SC Change Orders'!$C$2:$C$501,"&lt;="&amp;Controls!$C$6)=0),"⚪ No Funding on File",IF($H47=0,"🔴 Unfunded Spend",IF($I47&gt;=$H47,"🔴 Over Budget",IF($N47&gt;$H47,"🔴 Projected Shortfall",IF($J47&gt;=Controls!$C$8,"🟡 Watch","🟢 On Track")))))))</f>
        <v>🟢 On Track</v>
      </c>
    </row>
    <row r="48" customFormat="false" ht="15" hidden="false" customHeight="false" outlineLevel="0" collapsed="false">
      <c r="A48" s="17" t="str">
        <f aca="false">IF($B48="","",IF((IFERROR(INDEX(_RefTable!$A$2:$A$501,MATCH($B48,_RefTable!$C$2:$C$501,0)),IFERROR(INDEX(_MainTable!$A$2:$A$2001,MATCH($B48,_MainTable!$F$2:$F$2001,0)),IFERROR(INDEX('SC Change Orders'!$A$2:$A$501,MATCH($B48,'SC Change Orders'!$B$2:$B$501,0)),"(unknown vendor)"))))&amp;""="","—",(IFERROR(INDEX(_RefTable!$A$2:$A$501,MATCH($B48,_RefTable!$C$2:$C$501,0)),IFERROR(INDEX(_MainTable!$A$2:$A$2001,MATCH($B48,_MainTable!$F$2:$F$2001,0)),IFERROR(INDEX('SC Change Orders'!$A$2:$A$501,MATCH($B48,'SC Change Orders'!$B$2:$B$501,0)),"(unknown vendor)"))))))</f>
        <v/>
      </c>
      <c r="B48" s="18" t="str">
        <f aca="false">IFERROR(INDEX('PO Index'!$B$5:$B$84,44),"")</f>
        <v/>
      </c>
      <c r="C48" s="17" t="str">
        <f aca="false">IF($B48="","",IF((IFERROR(INDEX(_RefTable!$B$2:$B$501,MATCH($B48,_RefTable!$C$2:$C$501,0))&amp;IF(COUNTIF(_RefTable!$C$2:$C$501,$B48)&gt;1," (+"&amp;COUNTIF(_RefTable!$C$2:$C$501,$B48)-1&amp;" more)",""),IFERROR(INDEX(_MainTable!$B$2:$B$2001,MATCH($B48,_MainTable!$F$2:$F$2001,0)),"")))&amp;""="","—",(IFERROR(INDEX(_RefTable!$B$2:$B$501,MATCH($B48,_RefTable!$C$2:$C$501,0))&amp;IF(COUNTIF(_RefTable!$C$2:$C$501,$B48)&gt;1," (+"&amp;COUNTIF(_RefTable!$C$2:$C$501,$B48)-1&amp;" more)",""),IFERROR(INDEX(_MainTable!$B$2:$B$2001,MATCH($B48,_MainTable!$F$2:$F$2001,0)),"")))))</f>
        <v/>
      </c>
      <c r="D48" s="17" t="str">
        <f aca="false">IF($B48="","",IF((IFERROR(INDEX(_RefTable!$E$2:$E$501,MATCH($B48,_RefTable!$C$2:$C$501,0)),IFERROR(INDEX(_MainTable!$C$2:$C$2001,MATCH($B48,_MainTable!$F$2:$F$2001,0)),"")))&amp;""="","—",(IFERROR(INDEX(_RefTable!$E$2:$E$501,MATCH($B48,_RefTable!$C$2:$C$501,0)),IFERROR(INDEX(_MainTable!$C$2:$C$2001,MATCH($B48,_MainTable!$F$2:$F$2001,0)),"")))))</f>
        <v/>
      </c>
      <c r="E48" s="17" t="str">
        <f aca="false">IF($B48="","",IF((IFERROR(INDEX(_RefTable!$F$2:$F$501,MATCH($B48,_RefTable!$C$2:$C$501,0)),IFERROR(INDEX(_MainTable!$D$2:$D$2001,MATCH($B48,_MainTable!$F$2:$F$2001,0)),"")))&amp;""="","—",(IFERROR(INDEX(_RefTable!$F$2:$F$501,MATCH($B48,_RefTable!$C$2:$C$501,0)),IFERROR(INDEX(_MainTable!$D$2:$D$2001,MATCH($B48,_MainTable!$F$2:$F$2001,0)),"")))))</f>
        <v/>
      </c>
      <c r="F48" s="19" t="str">
        <f aca="false">IF($B48="","",IFERROR(_xlfn.MINIFS('SC Change Orders'!$E$2:$E$501,'SC Change Orders'!$B$2:$B$501,$B48,'SC Change Orders'!$C$2:$C$501,"&gt;="&amp;Controls!$C$5,'SC Change Orders'!$C$2:$C$501,"&lt;="&amp;Controls!$C$6),0))</f>
        <v/>
      </c>
      <c r="G48" s="19" t="str">
        <f aca="false">IF($B48="","",SUMIFS('SC Change Orders'!$F$2:$F$501,'SC Change Orders'!$B$2:$B$501,$B48,'SC Change Orders'!$C$2:$C$501,"&gt;="&amp;Controls!$C$5,'SC Change Orders'!$C$2:$C$501,"&lt;="&amp;Controls!$C$6))</f>
        <v/>
      </c>
      <c r="H48" s="19" t="str">
        <f aca="false">IF($B48="","",$F48+$G48)</f>
        <v/>
      </c>
      <c r="I48" s="19" t="str">
        <f aca="false">IF($B48="","",SUMIFS(_MainTable!$K$2:$K$2001,_MainTable!$F$2:$F$2001,$B48,_MainTable!$G$2:$G$2001,"&gt;="&amp;Controls!$C$5,_MainTable!$G$2:$G$2001,"&lt;="&amp;Controls!$C$6))</f>
        <v/>
      </c>
      <c r="J48" s="20" t="str">
        <f aca="false">IF($B48="","",IFERROR($I48/$H48,0))</f>
        <v/>
      </c>
      <c r="K48" s="19" t="str">
        <f aca="false">IF($B48="","",$H48-$I48)</f>
        <v/>
      </c>
      <c r="L48" s="19" t="str">
        <f aca="false">IF($B48="","",IFERROR(SUMIFS(_MainTable!$K$2:$K$2001,_MainTable!$F$2:$F$2001,$B48,_MainTable!$G$2:$G$2001,"&gt;="&amp;Controls!$C$12,_MainTable!$G$2:$G$2001,"&lt;="&amp;EOMONTH(Controls!$C$7,0))/MIN(Controls!$C$9,Controls!$C$10),0))</f>
        <v/>
      </c>
      <c r="M48" s="19" t="str">
        <f aca="false">IF($B48="","",$L48*Controls!$C$11)</f>
        <v/>
      </c>
      <c r="N48" s="19" t="str">
        <f aca="false">IF($B48="","",$I48+$M48)</f>
        <v/>
      </c>
      <c r="O48" s="20" t="str">
        <f aca="false">IF($B48="","",IFERROR($N48/$H48,0))</f>
        <v/>
      </c>
      <c r="P48" s="19" t="str">
        <f aca="false">IF($B48="","",$H48-$N48)</f>
        <v/>
      </c>
      <c r="Q48" s="21" t="str">
        <f aca="false">IF($B48="","",IF($L48&lt;=0,"n/a",IFERROR($K48/$L48,"n/a")))</f>
        <v/>
      </c>
      <c r="R48" s="22" t="str">
        <f aca="false">IF($B48="","",IF(AND($H48=0,$I48=0),"⚪ No Activity",IF(AND($H48=0,COUNTIFS('SC Change Orders'!$B$2:$B$501,$B48,'SC Change Orders'!$C$2:$C$501,"&gt;="&amp;Controls!$C$5,'SC Change Orders'!$C$2:$C$501,"&lt;="&amp;Controls!$C$6)=0),"⚪ No Funding on File",IF($H48=0,"🔴 Unfunded Spend",IF($I48&gt;=$H48,"🔴 Over Budget",IF($N48&gt;$H48,"🔴 Projected Shortfall",IF($J48&gt;=Controls!$C$8,"🟡 Watch","🟢 On Track")))))))</f>
        <v/>
      </c>
    </row>
    <row r="49" customFormat="false" ht="15" hidden="false" customHeight="false" outlineLevel="0" collapsed="false">
      <c r="A49" s="17" t="str">
        <f aca="false">IF($B49="","",IF((IFERROR(INDEX(_RefTable!$A$2:$A$501,MATCH($B49,_RefTable!$C$2:$C$501,0)),IFERROR(INDEX(_MainTable!$A$2:$A$2001,MATCH($B49,_MainTable!$F$2:$F$2001,0)),IFERROR(INDEX('SC Change Orders'!$A$2:$A$501,MATCH($B49,'SC Change Orders'!$B$2:$B$501,0)),"(unknown vendor)"))))&amp;""="","—",(IFERROR(INDEX(_RefTable!$A$2:$A$501,MATCH($B49,_RefTable!$C$2:$C$501,0)),IFERROR(INDEX(_MainTable!$A$2:$A$2001,MATCH($B49,_MainTable!$F$2:$F$2001,0)),IFERROR(INDEX('SC Change Orders'!$A$2:$A$501,MATCH($B49,'SC Change Orders'!$B$2:$B$501,0)),"(unknown vendor)"))))))</f>
        <v/>
      </c>
      <c r="B49" s="18" t="str">
        <f aca="false">IFERROR(INDEX('PO Index'!$B$5:$B$84,45),"")</f>
        <v/>
      </c>
      <c r="C49" s="17" t="str">
        <f aca="false">IF($B49="","",IF((IFERROR(INDEX(_RefTable!$B$2:$B$501,MATCH($B49,_RefTable!$C$2:$C$501,0))&amp;IF(COUNTIF(_RefTable!$C$2:$C$501,$B49)&gt;1," (+"&amp;COUNTIF(_RefTable!$C$2:$C$501,$B49)-1&amp;" more)",""),IFERROR(INDEX(_MainTable!$B$2:$B$2001,MATCH($B49,_MainTable!$F$2:$F$2001,0)),"")))&amp;""="","—",(IFERROR(INDEX(_RefTable!$B$2:$B$501,MATCH($B49,_RefTable!$C$2:$C$501,0))&amp;IF(COUNTIF(_RefTable!$C$2:$C$501,$B49)&gt;1," (+"&amp;COUNTIF(_RefTable!$C$2:$C$501,$B49)-1&amp;" more)",""),IFERROR(INDEX(_MainTable!$B$2:$B$2001,MATCH($B49,_MainTable!$F$2:$F$2001,0)),"")))))</f>
        <v/>
      </c>
      <c r="D49" s="17" t="str">
        <f aca="false">IF($B49="","",IF((IFERROR(INDEX(_RefTable!$E$2:$E$501,MATCH($B49,_RefTable!$C$2:$C$501,0)),IFERROR(INDEX(_MainTable!$C$2:$C$2001,MATCH($B49,_MainTable!$F$2:$F$2001,0)),"")))&amp;""="","—",(IFERROR(INDEX(_RefTable!$E$2:$E$501,MATCH($B49,_RefTable!$C$2:$C$501,0)),IFERROR(INDEX(_MainTable!$C$2:$C$2001,MATCH($B49,_MainTable!$F$2:$F$2001,0)),"")))))</f>
        <v/>
      </c>
      <c r="E49" s="17" t="str">
        <f aca="false">IF($B49="","",IF((IFERROR(INDEX(_RefTable!$F$2:$F$501,MATCH($B49,_RefTable!$C$2:$C$501,0)),IFERROR(INDEX(_MainTable!$D$2:$D$2001,MATCH($B49,_MainTable!$F$2:$F$2001,0)),"")))&amp;""="","—",(IFERROR(INDEX(_RefTable!$F$2:$F$501,MATCH($B49,_RefTable!$C$2:$C$501,0)),IFERROR(INDEX(_MainTable!$D$2:$D$2001,MATCH($B49,_MainTable!$F$2:$F$2001,0)),"")))))</f>
        <v/>
      </c>
      <c r="F49" s="19" t="str">
        <f aca="false">IF($B49="","",IFERROR(_xlfn.MINIFS('SC Change Orders'!$E$2:$E$501,'SC Change Orders'!$B$2:$B$501,$B49,'SC Change Orders'!$C$2:$C$501,"&gt;="&amp;Controls!$C$5,'SC Change Orders'!$C$2:$C$501,"&lt;="&amp;Controls!$C$6),0))</f>
        <v/>
      </c>
      <c r="G49" s="19" t="str">
        <f aca="false">IF($B49="","",SUMIFS('SC Change Orders'!$F$2:$F$501,'SC Change Orders'!$B$2:$B$501,$B49,'SC Change Orders'!$C$2:$C$501,"&gt;="&amp;Controls!$C$5,'SC Change Orders'!$C$2:$C$501,"&lt;="&amp;Controls!$C$6))</f>
        <v/>
      </c>
      <c r="H49" s="19" t="str">
        <f aca="false">IF($B49="","",$F49+$G49)</f>
        <v/>
      </c>
      <c r="I49" s="19" t="str">
        <f aca="false">IF($B49="","",SUMIFS(_MainTable!$K$2:$K$2001,_MainTable!$F$2:$F$2001,$B49,_MainTable!$G$2:$G$2001,"&gt;="&amp;Controls!$C$5,_MainTable!$G$2:$G$2001,"&lt;="&amp;Controls!$C$6))</f>
        <v/>
      </c>
      <c r="J49" s="20" t="str">
        <f aca="false">IF($B49="","",IFERROR($I49/$H49,0))</f>
        <v/>
      </c>
      <c r="K49" s="19" t="str">
        <f aca="false">IF($B49="","",$H49-$I49)</f>
        <v/>
      </c>
      <c r="L49" s="19" t="str">
        <f aca="false">IF($B49="","",IFERROR(SUMIFS(_MainTable!$K$2:$K$2001,_MainTable!$F$2:$F$2001,$B49,_MainTable!$G$2:$G$2001,"&gt;="&amp;Controls!$C$12,_MainTable!$G$2:$G$2001,"&lt;="&amp;EOMONTH(Controls!$C$7,0))/MIN(Controls!$C$9,Controls!$C$10),0))</f>
        <v/>
      </c>
      <c r="M49" s="19" t="str">
        <f aca="false">IF($B49="","",$L49*Controls!$C$11)</f>
        <v/>
      </c>
      <c r="N49" s="19" t="str">
        <f aca="false">IF($B49="","",$I49+$M49)</f>
        <v/>
      </c>
      <c r="O49" s="20" t="str">
        <f aca="false">IF($B49="","",IFERROR($N49/$H49,0))</f>
        <v/>
      </c>
      <c r="P49" s="19" t="str">
        <f aca="false">IF($B49="","",$H49-$N49)</f>
        <v/>
      </c>
      <c r="Q49" s="21" t="str">
        <f aca="false">IF($B49="","",IF($L49&lt;=0,"n/a",IFERROR($K49/$L49,"n/a")))</f>
        <v/>
      </c>
      <c r="R49" s="22" t="str">
        <f aca="false">IF($B49="","",IF(AND($H49=0,$I49=0),"⚪ No Activity",IF(AND($H49=0,COUNTIFS('SC Change Orders'!$B$2:$B$501,$B49,'SC Change Orders'!$C$2:$C$501,"&gt;="&amp;Controls!$C$5,'SC Change Orders'!$C$2:$C$501,"&lt;="&amp;Controls!$C$6)=0),"⚪ No Funding on File",IF($H49=0,"🔴 Unfunded Spend",IF($I49&gt;=$H49,"🔴 Over Budget",IF($N49&gt;$H49,"🔴 Projected Shortfall",IF($J49&gt;=Controls!$C$8,"🟡 Watch","🟢 On Track")))))))</f>
        <v/>
      </c>
    </row>
    <row r="50" customFormat="false" ht="15" hidden="false" customHeight="false" outlineLevel="0" collapsed="false">
      <c r="A50" s="17" t="str">
        <f aca="false">IF($B50="","",IF((IFERROR(INDEX(_RefTable!$A$2:$A$501,MATCH($B50,_RefTable!$C$2:$C$501,0)),IFERROR(INDEX(_MainTable!$A$2:$A$2001,MATCH($B50,_MainTable!$F$2:$F$2001,0)),IFERROR(INDEX('SC Change Orders'!$A$2:$A$501,MATCH($B50,'SC Change Orders'!$B$2:$B$501,0)),"(unknown vendor)"))))&amp;""="","—",(IFERROR(INDEX(_RefTable!$A$2:$A$501,MATCH($B50,_RefTable!$C$2:$C$501,0)),IFERROR(INDEX(_MainTable!$A$2:$A$2001,MATCH($B50,_MainTable!$F$2:$F$2001,0)),IFERROR(INDEX('SC Change Orders'!$A$2:$A$501,MATCH($B50,'SC Change Orders'!$B$2:$B$501,0)),"(unknown vendor)"))))))</f>
        <v/>
      </c>
      <c r="B50" s="18" t="str">
        <f aca="false">IFERROR(INDEX('PO Index'!$B$5:$B$84,46),"")</f>
        <v/>
      </c>
      <c r="C50" s="17" t="str">
        <f aca="false">IF($B50="","",IF((IFERROR(INDEX(_RefTable!$B$2:$B$501,MATCH($B50,_RefTable!$C$2:$C$501,0))&amp;IF(COUNTIF(_RefTable!$C$2:$C$501,$B50)&gt;1," (+"&amp;COUNTIF(_RefTable!$C$2:$C$501,$B50)-1&amp;" more)",""),IFERROR(INDEX(_MainTable!$B$2:$B$2001,MATCH($B50,_MainTable!$F$2:$F$2001,0)),"")))&amp;""="","—",(IFERROR(INDEX(_RefTable!$B$2:$B$501,MATCH($B50,_RefTable!$C$2:$C$501,0))&amp;IF(COUNTIF(_RefTable!$C$2:$C$501,$B50)&gt;1," (+"&amp;COUNTIF(_RefTable!$C$2:$C$501,$B50)-1&amp;" more)",""),IFERROR(INDEX(_MainTable!$B$2:$B$2001,MATCH($B50,_MainTable!$F$2:$F$2001,0)),"")))))</f>
        <v/>
      </c>
      <c r="D50" s="17" t="str">
        <f aca="false">IF($B50="","",IF((IFERROR(INDEX(_RefTable!$E$2:$E$501,MATCH($B50,_RefTable!$C$2:$C$501,0)),IFERROR(INDEX(_MainTable!$C$2:$C$2001,MATCH($B50,_MainTable!$F$2:$F$2001,0)),"")))&amp;""="","—",(IFERROR(INDEX(_RefTable!$E$2:$E$501,MATCH($B50,_RefTable!$C$2:$C$501,0)),IFERROR(INDEX(_MainTable!$C$2:$C$2001,MATCH($B50,_MainTable!$F$2:$F$2001,0)),"")))))</f>
        <v/>
      </c>
      <c r="E50" s="17" t="str">
        <f aca="false">IF($B50="","",IF((IFERROR(INDEX(_RefTable!$F$2:$F$501,MATCH($B50,_RefTable!$C$2:$C$501,0)),IFERROR(INDEX(_MainTable!$D$2:$D$2001,MATCH($B50,_MainTable!$F$2:$F$2001,0)),"")))&amp;""="","—",(IFERROR(INDEX(_RefTable!$F$2:$F$501,MATCH($B50,_RefTable!$C$2:$C$501,0)),IFERROR(INDEX(_MainTable!$D$2:$D$2001,MATCH($B50,_MainTable!$F$2:$F$2001,0)),"")))))</f>
        <v/>
      </c>
      <c r="F50" s="19" t="str">
        <f aca="false">IF($B50="","",IFERROR(_xlfn.MINIFS('SC Change Orders'!$E$2:$E$501,'SC Change Orders'!$B$2:$B$501,$B50,'SC Change Orders'!$C$2:$C$501,"&gt;="&amp;Controls!$C$5,'SC Change Orders'!$C$2:$C$501,"&lt;="&amp;Controls!$C$6),0))</f>
        <v/>
      </c>
      <c r="G50" s="19" t="str">
        <f aca="false">IF($B50="","",SUMIFS('SC Change Orders'!$F$2:$F$501,'SC Change Orders'!$B$2:$B$501,$B50,'SC Change Orders'!$C$2:$C$501,"&gt;="&amp;Controls!$C$5,'SC Change Orders'!$C$2:$C$501,"&lt;="&amp;Controls!$C$6))</f>
        <v/>
      </c>
      <c r="H50" s="19" t="str">
        <f aca="false">IF($B50="","",$F50+$G50)</f>
        <v/>
      </c>
      <c r="I50" s="19" t="str">
        <f aca="false">IF($B50="","",SUMIFS(_MainTable!$K$2:$K$2001,_MainTable!$F$2:$F$2001,$B50,_MainTable!$G$2:$G$2001,"&gt;="&amp;Controls!$C$5,_MainTable!$G$2:$G$2001,"&lt;="&amp;Controls!$C$6))</f>
        <v/>
      </c>
      <c r="J50" s="20" t="str">
        <f aca="false">IF($B50="","",IFERROR($I50/$H50,0))</f>
        <v/>
      </c>
      <c r="K50" s="19" t="str">
        <f aca="false">IF($B50="","",$H50-$I50)</f>
        <v/>
      </c>
      <c r="L50" s="19" t="str">
        <f aca="false">IF($B50="","",IFERROR(SUMIFS(_MainTable!$K$2:$K$2001,_MainTable!$F$2:$F$2001,$B50,_MainTable!$G$2:$G$2001,"&gt;="&amp;Controls!$C$12,_MainTable!$G$2:$G$2001,"&lt;="&amp;EOMONTH(Controls!$C$7,0))/MIN(Controls!$C$9,Controls!$C$10),0))</f>
        <v/>
      </c>
      <c r="M50" s="19" t="str">
        <f aca="false">IF($B50="","",$L50*Controls!$C$11)</f>
        <v/>
      </c>
      <c r="N50" s="19" t="str">
        <f aca="false">IF($B50="","",$I50+$M50)</f>
        <v/>
      </c>
      <c r="O50" s="20" t="str">
        <f aca="false">IF($B50="","",IFERROR($N50/$H50,0))</f>
        <v/>
      </c>
      <c r="P50" s="19" t="str">
        <f aca="false">IF($B50="","",$H50-$N50)</f>
        <v/>
      </c>
      <c r="Q50" s="21" t="str">
        <f aca="false">IF($B50="","",IF($L50&lt;=0,"n/a",IFERROR($K50/$L50,"n/a")))</f>
        <v/>
      </c>
      <c r="R50" s="22" t="str">
        <f aca="false">IF($B50="","",IF(AND($H50=0,$I50=0),"⚪ No Activity",IF(AND($H50=0,COUNTIFS('SC Change Orders'!$B$2:$B$501,$B50,'SC Change Orders'!$C$2:$C$501,"&gt;="&amp;Controls!$C$5,'SC Change Orders'!$C$2:$C$501,"&lt;="&amp;Controls!$C$6)=0),"⚪ No Funding on File",IF($H50=0,"🔴 Unfunded Spend",IF($I50&gt;=$H50,"🔴 Over Budget",IF($N50&gt;$H50,"🔴 Projected Shortfall",IF($J50&gt;=Controls!$C$8,"🟡 Watch","🟢 On Track")))))))</f>
        <v/>
      </c>
    </row>
    <row r="51" customFormat="false" ht="15" hidden="false" customHeight="false" outlineLevel="0" collapsed="false">
      <c r="A51" s="17" t="str">
        <f aca="false">IF($B51="","",IF((IFERROR(INDEX(_RefTable!$A$2:$A$501,MATCH($B51,_RefTable!$C$2:$C$501,0)),IFERROR(INDEX(_MainTable!$A$2:$A$2001,MATCH($B51,_MainTable!$F$2:$F$2001,0)),IFERROR(INDEX('SC Change Orders'!$A$2:$A$501,MATCH($B51,'SC Change Orders'!$B$2:$B$501,0)),"(unknown vendor)"))))&amp;""="","—",(IFERROR(INDEX(_RefTable!$A$2:$A$501,MATCH($B51,_RefTable!$C$2:$C$501,0)),IFERROR(INDEX(_MainTable!$A$2:$A$2001,MATCH($B51,_MainTable!$F$2:$F$2001,0)),IFERROR(INDEX('SC Change Orders'!$A$2:$A$501,MATCH($B51,'SC Change Orders'!$B$2:$B$501,0)),"(unknown vendor)"))))))</f>
        <v/>
      </c>
      <c r="B51" s="18" t="str">
        <f aca="false">IFERROR(INDEX('PO Index'!$B$5:$B$84,47),"")</f>
        <v/>
      </c>
      <c r="C51" s="17" t="str">
        <f aca="false">IF($B51="","",IF((IFERROR(INDEX(_RefTable!$B$2:$B$501,MATCH($B51,_RefTable!$C$2:$C$501,0))&amp;IF(COUNTIF(_RefTable!$C$2:$C$501,$B51)&gt;1," (+"&amp;COUNTIF(_RefTable!$C$2:$C$501,$B51)-1&amp;" more)",""),IFERROR(INDEX(_MainTable!$B$2:$B$2001,MATCH($B51,_MainTable!$F$2:$F$2001,0)),"")))&amp;""="","—",(IFERROR(INDEX(_RefTable!$B$2:$B$501,MATCH($B51,_RefTable!$C$2:$C$501,0))&amp;IF(COUNTIF(_RefTable!$C$2:$C$501,$B51)&gt;1," (+"&amp;COUNTIF(_RefTable!$C$2:$C$501,$B51)-1&amp;" more)",""),IFERROR(INDEX(_MainTable!$B$2:$B$2001,MATCH($B51,_MainTable!$F$2:$F$2001,0)),"")))))</f>
        <v/>
      </c>
      <c r="D51" s="17" t="str">
        <f aca="false">IF($B51="","",IF((IFERROR(INDEX(_RefTable!$E$2:$E$501,MATCH($B51,_RefTable!$C$2:$C$501,0)),IFERROR(INDEX(_MainTable!$C$2:$C$2001,MATCH($B51,_MainTable!$F$2:$F$2001,0)),"")))&amp;""="","—",(IFERROR(INDEX(_RefTable!$E$2:$E$501,MATCH($B51,_RefTable!$C$2:$C$501,0)),IFERROR(INDEX(_MainTable!$C$2:$C$2001,MATCH($B51,_MainTable!$F$2:$F$2001,0)),"")))))</f>
        <v/>
      </c>
      <c r="E51" s="17" t="str">
        <f aca="false">IF($B51="","",IF((IFERROR(INDEX(_RefTable!$F$2:$F$501,MATCH($B51,_RefTable!$C$2:$C$501,0)),IFERROR(INDEX(_MainTable!$D$2:$D$2001,MATCH($B51,_MainTable!$F$2:$F$2001,0)),"")))&amp;""="","—",(IFERROR(INDEX(_RefTable!$F$2:$F$501,MATCH($B51,_RefTable!$C$2:$C$501,0)),IFERROR(INDEX(_MainTable!$D$2:$D$2001,MATCH($B51,_MainTable!$F$2:$F$2001,0)),"")))))</f>
        <v/>
      </c>
      <c r="F51" s="19" t="str">
        <f aca="false">IF($B51="","",IFERROR(_xlfn.MINIFS('SC Change Orders'!$E$2:$E$501,'SC Change Orders'!$B$2:$B$501,$B51,'SC Change Orders'!$C$2:$C$501,"&gt;="&amp;Controls!$C$5,'SC Change Orders'!$C$2:$C$501,"&lt;="&amp;Controls!$C$6),0))</f>
        <v/>
      </c>
      <c r="G51" s="19" t="str">
        <f aca="false">IF($B51="","",SUMIFS('SC Change Orders'!$F$2:$F$501,'SC Change Orders'!$B$2:$B$501,$B51,'SC Change Orders'!$C$2:$C$501,"&gt;="&amp;Controls!$C$5,'SC Change Orders'!$C$2:$C$501,"&lt;="&amp;Controls!$C$6))</f>
        <v/>
      </c>
      <c r="H51" s="19" t="str">
        <f aca="false">IF($B51="","",$F51+$G51)</f>
        <v/>
      </c>
      <c r="I51" s="19" t="str">
        <f aca="false">IF($B51="","",SUMIFS(_MainTable!$K$2:$K$2001,_MainTable!$F$2:$F$2001,$B51,_MainTable!$G$2:$G$2001,"&gt;="&amp;Controls!$C$5,_MainTable!$G$2:$G$2001,"&lt;="&amp;Controls!$C$6))</f>
        <v/>
      </c>
      <c r="J51" s="20" t="str">
        <f aca="false">IF($B51="","",IFERROR($I51/$H51,0))</f>
        <v/>
      </c>
      <c r="K51" s="19" t="str">
        <f aca="false">IF($B51="","",$H51-$I51)</f>
        <v/>
      </c>
      <c r="L51" s="19" t="str">
        <f aca="false">IF($B51="","",IFERROR(SUMIFS(_MainTable!$K$2:$K$2001,_MainTable!$F$2:$F$2001,$B51,_MainTable!$G$2:$G$2001,"&gt;="&amp;Controls!$C$12,_MainTable!$G$2:$G$2001,"&lt;="&amp;EOMONTH(Controls!$C$7,0))/MIN(Controls!$C$9,Controls!$C$10),0))</f>
        <v/>
      </c>
      <c r="M51" s="19" t="str">
        <f aca="false">IF($B51="","",$L51*Controls!$C$11)</f>
        <v/>
      </c>
      <c r="N51" s="19" t="str">
        <f aca="false">IF($B51="","",$I51+$M51)</f>
        <v/>
      </c>
      <c r="O51" s="20" t="str">
        <f aca="false">IF($B51="","",IFERROR($N51/$H51,0))</f>
        <v/>
      </c>
      <c r="P51" s="19" t="str">
        <f aca="false">IF($B51="","",$H51-$N51)</f>
        <v/>
      </c>
      <c r="Q51" s="21" t="str">
        <f aca="false">IF($B51="","",IF($L51&lt;=0,"n/a",IFERROR($K51/$L51,"n/a")))</f>
        <v/>
      </c>
      <c r="R51" s="22" t="str">
        <f aca="false">IF($B51="","",IF(AND($H51=0,$I51=0),"⚪ No Activity",IF(AND($H51=0,COUNTIFS('SC Change Orders'!$B$2:$B$501,$B51,'SC Change Orders'!$C$2:$C$501,"&gt;="&amp;Controls!$C$5,'SC Change Orders'!$C$2:$C$501,"&lt;="&amp;Controls!$C$6)=0),"⚪ No Funding on File",IF($H51=0,"🔴 Unfunded Spend",IF($I51&gt;=$H51,"🔴 Over Budget",IF($N51&gt;$H51,"🔴 Projected Shortfall",IF($J51&gt;=Controls!$C$8,"🟡 Watch","🟢 On Track")))))))</f>
        <v/>
      </c>
    </row>
    <row r="52" customFormat="false" ht="15" hidden="false" customHeight="false" outlineLevel="0" collapsed="false">
      <c r="A52" s="17" t="str">
        <f aca="false">IF($B52="","",IF((IFERROR(INDEX(_RefTable!$A$2:$A$501,MATCH($B52,_RefTable!$C$2:$C$501,0)),IFERROR(INDEX(_MainTable!$A$2:$A$2001,MATCH($B52,_MainTable!$F$2:$F$2001,0)),IFERROR(INDEX('SC Change Orders'!$A$2:$A$501,MATCH($B52,'SC Change Orders'!$B$2:$B$501,0)),"(unknown vendor)"))))&amp;""="","—",(IFERROR(INDEX(_RefTable!$A$2:$A$501,MATCH($B52,_RefTable!$C$2:$C$501,0)),IFERROR(INDEX(_MainTable!$A$2:$A$2001,MATCH($B52,_MainTable!$F$2:$F$2001,0)),IFERROR(INDEX('SC Change Orders'!$A$2:$A$501,MATCH($B52,'SC Change Orders'!$B$2:$B$501,0)),"(unknown vendor)"))))))</f>
        <v/>
      </c>
      <c r="B52" s="18" t="str">
        <f aca="false">IFERROR(INDEX('PO Index'!$B$5:$B$84,48),"")</f>
        <v/>
      </c>
      <c r="C52" s="17" t="str">
        <f aca="false">IF($B52="","",IF((IFERROR(INDEX(_RefTable!$B$2:$B$501,MATCH($B52,_RefTable!$C$2:$C$501,0))&amp;IF(COUNTIF(_RefTable!$C$2:$C$501,$B52)&gt;1," (+"&amp;COUNTIF(_RefTable!$C$2:$C$501,$B52)-1&amp;" more)",""),IFERROR(INDEX(_MainTable!$B$2:$B$2001,MATCH($B52,_MainTable!$F$2:$F$2001,0)),"")))&amp;""="","—",(IFERROR(INDEX(_RefTable!$B$2:$B$501,MATCH($B52,_RefTable!$C$2:$C$501,0))&amp;IF(COUNTIF(_RefTable!$C$2:$C$501,$B52)&gt;1," (+"&amp;COUNTIF(_RefTable!$C$2:$C$501,$B52)-1&amp;" more)",""),IFERROR(INDEX(_MainTable!$B$2:$B$2001,MATCH($B52,_MainTable!$F$2:$F$2001,0)),"")))))</f>
        <v/>
      </c>
      <c r="D52" s="17" t="str">
        <f aca="false">IF($B52="","",IF((IFERROR(INDEX(_RefTable!$E$2:$E$501,MATCH($B52,_RefTable!$C$2:$C$501,0)),IFERROR(INDEX(_MainTable!$C$2:$C$2001,MATCH($B52,_MainTable!$F$2:$F$2001,0)),"")))&amp;""="","—",(IFERROR(INDEX(_RefTable!$E$2:$E$501,MATCH($B52,_RefTable!$C$2:$C$501,0)),IFERROR(INDEX(_MainTable!$C$2:$C$2001,MATCH($B52,_MainTable!$F$2:$F$2001,0)),"")))))</f>
        <v/>
      </c>
      <c r="E52" s="17" t="str">
        <f aca="false">IF($B52="","",IF((IFERROR(INDEX(_RefTable!$F$2:$F$501,MATCH($B52,_RefTable!$C$2:$C$501,0)),IFERROR(INDEX(_MainTable!$D$2:$D$2001,MATCH($B52,_MainTable!$F$2:$F$2001,0)),"")))&amp;""="","—",(IFERROR(INDEX(_RefTable!$F$2:$F$501,MATCH($B52,_RefTable!$C$2:$C$501,0)),IFERROR(INDEX(_MainTable!$D$2:$D$2001,MATCH($B52,_MainTable!$F$2:$F$2001,0)),"")))))</f>
        <v/>
      </c>
      <c r="F52" s="19" t="str">
        <f aca="false">IF($B52="","",IFERROR(_xlfn.MINIFS('SC Change Orders'!$E$2:$E$501,'SC Change Orders'!$B$2:$B$501,$B52,'SC Change Orders'!$C$2:$C$501,"&gt;="&amp;Controls!$C$5,'SC Change Orders'!$C$2:$C$501,"&lt;="&amp;Controls!$C$6),0))</f>
        <v/>
      </c>
      <c r="G52" s="19" t="str">
        <f aca="false">IF($B52="","",SUMIFS('SC Change Orders'!$F$2:$F$501,'SC Change Orders'!$B$2:$B$501,$B52,'SC Change Orders'!$C$2:$C$501,"&gt;="&amp;Controls!$C$5,'SC Change Orders'!$C$2:$C$501,"&lt;="&amp;Controls!$C$6))</f>
        <v/>
      </c>
      <c r="H52" s="19" t="str">
        <f aca="false">IF($B52="","",$F52+$G52)</f>
        <v/>
      </c>
      <c r="I52" s="19" t="str">
        <f aca="false">IF($B52="","",SUMIFS(_MainTable!$K$2:$K$2001,_MainTable!$F$2:$F$2001,$B52,_MainTable!$G$2:$G$2001,"&gt;="&amp;Controls!$C$5,_MainTable!$G$2:$G$2001,"&lt;="&amp;Controls!$C$6))</f>
        <v/>
      </c>
      <c r="J52" s="20" t="str">
        <f aca="false">IF($B52="","",IFERROR($I52/$H52,0))</f>
        <v/>
      </c>
      <c r="K52" s="19" t="str">
        <f aca="false">IF($B52="","",$H52-$I52)</f>
        <v/>
      </c>
      <c r="L52" s="19" t="str">
        <f aca="false">IF($B52="","",IFERROR(SUMIFS(_MainTable!$K$2:$K$2001,_MainTable!$F$2:$F$2001,$B52,_MainTable!$G$2:$G$2001,"&gt;="&amp;Controls!$C$12,_MainTable!$G$2:$G$2001,"&lt;="&amp;EOMONTH(Controls!$C$7,0))/MIN(Controls!$C$9,Controls!$C$10),0))</f>
        <v/>
      </c>
      <c r="M52" s="19" t="str">
        <f aca="false">IF($B52="","",$L52*Controls!$C$11)</f>
        <v/>
      </c>
      <c r="N52" s="19" t="str">
        <f aca="false">IF($B52="","",$I52+$M52)</f>
        <v/>
      </c>
      <c r="O52" s="20" t="str">
        <f aca="false">IF($B52="","",IFERROR($N52/$H52,0))</f>
        <v/>
      </c>
      <c r="P52" s="19" t="str">
        <f aca="false">IF($B52="","",$H52-$N52)</f>
        <v/>
      </c>
      <c r="Q52" s="21" t="str">
        <f aca="false">IF($B52="","",IF($L52&lt;=0,"n/a",IFERROR($K52/$L52,"n/a")))</f>
        <v/>
      </c>
      <c r="R52" s="22" t="str">
        <f aca="false">IF($B52="","",IF(AND($H52=0,$I52=0),"⚪ No Activity",IF(AND($H52=0,COUNTIFS('SC Change Orders'!$B$2:$B$501,$B52,'SC Change Orders'!$C$2:$C$501,"&gt;="&amp;Controls!$C$5,'SC Change Orders'!$C$2:$C$501,"&lt;="&amp;Controls!$C$6)=0),"⚪ No Funding on File",IF($H52=0,"🔴 Unfunded Spend",IF($I52&gt;=$H52,"🔴 Over Budget",IF($N52&gt;$H52,"🔴 Projected Shortfall",IF($J52&gt;=Controls!$C$8,"🟡 Watch","🟢 On Track")))))))</f>
        <v/>
      </c>
    </row>
    <row r="53" customFormat="false" ht="15" hidden="false" customHeight="false" outlineLevel="0" collapsed="false">
      <c r="A53" s="17" t="str">
        <f aca="false">IF($B53="","",IF((IFERROR(INDEX(_RefTable!$A$2:$A$501,MATCH($B53,_RefTable!$C$2:$C$501,0)),IFERROR(INDEX(_MainTable!$A$2:$A$2001,MATCH($B53,_MainTable!$F$2:$F$2001,0)),IFERROR(INDEX('SC Change Orders'!$A$2:$A$501,MATCH($B53,'SC Change Orders'!$B$2:$B$501,0)),"(unknown vendor)"))))&amp;""="","—",(IFERROR(INDEX(_RefTable!$A$2:$A$501,MATCH($B53,_RefTable!$C$2:$C$501,0)),IFERROR(INDEX(_MainTable!$A$2:$A$2001,MATCH($B53,_MainTable!$F$2:$F$2001,0)),IFERROR(INDEX('SC Change Orders'!$A$2:$A$501,MATCH($B53,'SC Change Orders'!$B$2:$B$501,0)),"(unknown vendor)"))))))</f>
        <v/>
      </c>
      <c r="B53" s="18" t="str">
        <f aca="false">IFERROR(INDEX('PO Index'!$B$5:$B$84,49),"")</f>
        <v/>
      </c>
      <c r="C53" s="17" t="str">
        <f aca="false">IF($B53="","",IF((IFERROR(INDEX(_RefTable!$B$2:$B$501,MATCH($B53,_RefTable!$C$2:$C$501,0))&amp;IF(COUNTIF(_RefTable!$C$2:$C$501,$B53)&gt;1," (+"&amp;COUNTIF(_RefTable!$C$2:$C$501,$B53)-1&amp;" more)",""),IFERROR(INDEX(_MainTable!$B$2:$B$2001,MATCH($B53,_MainTable!$F$2:$F$2001,0)),"")))&amp;""="","—",(IFERROR(INDEX(_RefTable!$B$2:$B$501,MATCH($B53,_RefTable!$C$2:$C$501,0))&amp;IF(COUNTIF(_RefTable!$C$2:$C$501,$B53)&gt;1," (+"&amp;COUNTIF(_RefTable!$C$2:$C$501,$B53)-1&amp;" more)",""),IFERROR(INDEX(_MainTable!$B$2:$B$2001,MATCH($B53,_MainTable!$F$2:$F$2001,0)),"")))))</f>
        <v/>
      </c>
      <c r="D53" s="17" t="str">
        <f aca="false">IF($B53="","",IF((IFERROR(INDEX(_RefTable!$E$2:$E$501,MATCH($B53,_RefTable!$C$2:$C$501,0)),IFERROR(INDEX(_MainTable!$C$2:$C$2001,MATCH($B53,_MainTable!$F$2:$F$2001,0)),"")))&amp;""="","—",(IFERROR(INDEX(_RefTable!$E$2:$E$501,MATCH($B53,_RefTable!$C$2:$C$501,0)),IFERROR(INDEX(_MainTable!$C$2:$C$2001,MATCH($B53,_MainTable!$F$2:$F$2001,0)),"")))))</f>
        <v/>
      </c>
      <c r="E53" s="17" t="str">
        <f aca="false">IF($B53="","",IF((IFERROR(INDEX(_RefTable!$F$2:$F$501,MATCH($B53,_RefTable!$C$2:$C$501,0)),IFERROR(INDEX(_MainTable!$D$2:$D$2001,MATCH($B53,_MainTable!$F$2:$F$2001,0)),"")))&amp;""="","—",(IFERROR(INDEX(_RefTable!$F$2:$F$501,MATCH($B53,_RefTable!$C$2:$C$501,0)),IFERROR(INDEX(_MainTable!$D$2:$D$2001,MATCH($B53,_MainTable!$F$2:$F$2001,0)),"")))))</f>
        <v/>
      </c>
      <c r="F53" s="19" t="str">
        <f aca="false">IF($B53="","",IFERROR(_xlfn.MINIFS('SC Change Orders'!$E$2:$E$501,'SC Change Orders'!$B$2:$B$501,$B53,'SC Change Orders'!$C$2:$C$501,"&gt;="&amp;Controls!$C$5,'SC Change Orders'!$C$2:$C$501,"&lt;="&amp;Controls!$C$6),0))</f>
        <v/>
      </c>
      <c r="G53" s="19" t="str">
        <f aca="false">IF($B53="","",SUMIFS('SC Change Orders'!$F$2:$F$501,'SC Change Orders'!$B$2:$B$501,$B53,'SC Change Orders'!$C$2:$C$501,"&gt;="&amp;Controls!$C$5,'SC Change Orders'!$C$2:$C$501,"&lt;="&amp;Controls!$C$6))</f>
        <v/>
      </c>
      <c r="H53" s="19" t="str">
        <f aca="false">IF($B53="","",$F53+$G53)</f>
        <v/>
      </c>
      <c r="I53" s="19" t="str">
        <f aca="false">IF($B53="","",SUMIFS(_MainTable!$K$2:$K$2001,_MainTable!$F$2:$F$2001,$B53,_MainTable!$G$2:$G$2001,"&gt;="&amp;Controls!$C$5,_MainTable!$G$2:$G$2001,"&lt;="&amp;Controls!$C$6))</f>
        <v/>
      </c>
      <c r="J53" s="20" t="str">
        <f aca="false">IF($B53="","",IFERROR($I53/$H53,0))</f>
        <v/>
      </c>
      <c r="K53" s="19" t="str">
        <f aca="false">IF($B53="","",$H53-$I53)</f>
        <v/>
      </c>
      <c r="L53" s="19" t="str">
        <f aca="false">IF($B53="","",IFERROR(SUMIFS(_MainTable!$K$2:$K$2001,_MainTable!$F$2:$F$2001,$B53,_MainTable!$G$2:$G$2001,"&gt;="&amp;Controls!$C$12,_MainTable!$G$2:$G$2001,"&lt;="&amp;EOMONTH(Controls!$C$7,0))/MIN(Controls!$C$9,Controls!$C$10),0))</f>
        <v/>
      </c>
      <c r="M53" s="19" t="str">
        <f aca="false">IF($B53="","",$L53*Controls!$C$11)</f>
        <v/>
      </c>
      <c r="N53" s="19" t="str">
        <f aca="false">IF($B53="","",$I53+$M53)</f>
        <v/>
      </c>
      <c r="O53" s="20" t="str">
        <f aca="false">IF($B53="","",IFERROR($N53/$H53,0))</f>
        <v/>
      </c>
      <c r="P53" s="19" t="str">
        <f aca="false">IF($B53="","",$H53-$N53)</f>
        <v/>
      </c>
      <c r="Q53" s="21" t="str">
        <f aca="false">IF($B53="","",IF($L53&lt;=0,"n/a",IFERROR($K53/$L53,"n/a")))</f>
        <v/>
      </c>
      <c r="R53" s="22" t="str">
        <f aca="false">IF($B53="","",IF(AND($H53=0,$I53=0),"⚪ No Activity",IF(AND($H53=0,COUNTIFS('SC Change Orders'!$B$2:$B$501,$B53,'SC Change Orders'!$C$2:$C$501,"&gt;="&amp;Controls!$C$5,'SC Change Orders'!$C$2:$C$501,"&lt;="&amp;Controls!$C$6)=0),"⚪ No Funding on File",IF($H53=0,"🔴 Unfunded Spend",IF($I53&gt;=$H53,"🔴 Over Budget",IF($N53&gt;$H53,"🔴 Projected Shortfall",IF($J53&gt;=Controls!$C$8,"🟡 Watch","🟢 On Track")))))))</f>
        <v/>
      </c>
    </row>
    <row r="54" customFormat="false" ht="15" hidden="false" customHeight="false" outlineLevel="0" collapsed="false">
      <c r="A54" s="17" t="str">
        <f aca="false">IF($B54="","",IF((IFERROR(INDEX(_RefTable!$A$2:$A$501,MATCH($B54,_RefTable!$C$2:$C$501,0)),IFERROR(INDEX(_MainTable!$A$2:$A$2001,MATCH($B54,_MainTable!$F$2:$F$2001,0)),IFERROR(INDEX('SC Change Orders'!$A$2:$A$501,MATCH($B54,'SC Change Orders'!$B$2:$B$501,0)),"(unknown vendor)"))))&amp;""="","—",(IFERROR(INDEX(_RefTable!$A$2:$A$501,MATCH($B54,_RefTable!$C$2:$C$501,0)),IFERROR(INDEX(_MainTable!$A$2:$A$2001,MATCH($B54,_MainTable!$F$2:$F$2001,0)),IFERROR(INDEX('SC Change Orders'!$A$2:$A$501,MATCH($B54,'SC Change Orders'!$B$2:$B$501,0)),"(unknown vendor)"))))))</f>
        <v/>
      </c>
      <c r="B54" s="18" t="str">
        <f aca="false">IFERROR(INDEX('PO Index'!$B$5:$B$84,50),"")</f>
        <v/>
      </c>
      <c r="C54" s="17" t="str">
        <f aca="false">IF($B54="","",IF((IFERROR(INDEX(_RefTable!$B$2:$B$501,MATCH($B54,_RefTable!$C$2:$C$501,0))&amp;IF(COUNTIF(_RefTable!$C$2:$C$501,$B54)&gt;1," (+"&amp;COUNTIF(_RefTable!$C$2:$C$501,$B54)-1&amp;" more)",""),IFERROR(INDEX(_MainTable!$B$2:$B$2001,MATCH($B54,_MainTable!$F$2:$F$2001,0)),"")))&amp;""="","—",(IFERROR(INDEX(_RefTable!$B$2:$B$501,MATCH($B54,_RefTable!$C$2:$C$501,0))&amp;IF(COUNTIF(_RefTable!$C$2:$C$501,$B54)&gt;1," (+"&amp;COUNTIF(_RefTable!$C$2:$C$501,$B54)-1&amp;" more)",""),IFERROR(INDEX(_MainTable!$B$2:$B$2001,MATCH($B54,_MainTable!$F$2:$F$2001,0)),"")))))</f>
        <v/>
      </c>
      <c r="D54" s="17" t="str">
        <f aca="false">IF($B54="","",IF((IFERROR(INDEX(_RefTable!$E$2:$E$501,MATCH($B54,_RefTable!$C$2:$C$501,0)),IFERROR(INDEX(_MainTable!$C$2:$C$2001,MATCH($B54,_MainTable!$F$2:$F$2001,0)),"")))&amp;""="","—",(IFERROR(INDEX(_RefTable!$E$2:$E$501,MATCH($B54,_RefTable!$C$2:$C$501,0)),IFERROR(INDEX(_MainTable!$C$2:$C$2001,MATCH($B54,_MainTable!$F$2:$F$2001,0)),"")))))</f>
        <v/>
      </c>
      <c r="E54" s="17" t="str">
        <f aca="false">IF($B54="","",IF((IFERROR(INDEX(_RefTable!$F$2:$F$501,MATCH($B54,_RefTable!$C$2:$C$501,0)),IFERROR(INDEX(_MainTable!$D$2:$D$2001,MATCH($B54,_MainTable!$F$2:$F$2001,0)),"")))&amp;""="","—",(IFERROR(INDEX(_RefTable!$F$2:$F$501,MATCH($B54,_RefTable!$C$2:$C$501,0)),IFERROR(INDEX(_MainTable!$D$2:$D$2001,MATCH($B54,_MainTable!$F$2:$F$2001,0)),"")))))</f>
        <v/>
      </c>
      <c r="F54" s="19" t="str">
        <f aca="false">IF($B54="","",IFERROR(_xlfn.MINIFS('SC Change Orders'!$E$2:$E$501,'SC Change Orders'!$B$2:$B$501,$B54,'SC Change Orders'!$C$2:$C$501,"&gt;="&amp;Controls!$C$5,'SC Change Orders'!$C$2:$C$501,"&lt;="&amp;Controls!$C$6),0))</f>
        <v/>
      </c>
      <c r="G54" s="19" t="str">
        <f aca="false">IF($B54="","",SUMIFS('SC Change Orders'!$F$2:$F$501,'SC Change Orders'!$B$2:$B$501,$B54,'SC Change Orders'!$C$2:$C$501,"&gt;="&amp;Controls!$C$5,'SC Change Orders'!$C$2:$C$501,"&lt;="&amp;Controls!$C$6))</f>
        <v/>
      </c>
      <c r="H54" s="19" t="str">
        <f aca="false">IF($B54="","",$F54+$G54)</f>
        <v/>
      </c>
      <c r="I54" s="19" t="str">
        <f aca="false">IF($B54="","",SUMIFS(_MainTable!$K$2:$K$2001,_MainTable!$F$2:$F$2001,$B54,_MainTable!$G$2:$G$2001,"&gt;="&amp;Controls!$C$5,_MainTable!$G$2:$G$2001,"&lt;="&amp;Controls!$C$6))</f>
        <v/>
      </c>
      <c r="J54" s="20" t="str">
        <f aca="false">IF($B54="","",IFERROR($I54/$H54,0))</f>
        <v/>
      </c>
      <c r="K54" s="19" t="str">
        <f aca="false">IF($B54="","",$H54-$I54)</f>
        <v/>
      </c>
      <c r="L54" s="19" t="str">
        <f aca="false">IF($B54="","",IFERROR(SUMIFS(_MainTable!$K$2:$K$2001,_MainTable!$F$2:$F$2001,$B54,_MainTable!$G$2:$G$2001,"&gt;="&amp;Controls!$C$12,_MainTable!$G$2:$G$2001,"&lt;="&amp;EOMONTH(Controls!$C$7,0))/MIN(Controls!$C$9,Controls!$C$10),0))</f>
        <v/>
      </c>
      <c r="M54" s="19" t="str">
        <f aca="false">IF($B54="","",$L54*Controls!$C$11)</f>
        <v/>
      </c>
      <c r="N54" s="19" t="str">
        <f aca="false">IF($B54="","",$I54+$M54)</f>
        <v/>
      </c>
      <c r="O54" s="20" t="str">
        <f aca="false">IF($B54="","",IFERROR($N54/$H54,0))</f>
        <v/>
      </c>
      <c r="P54" s="19" t="str">
        <f aca="false">IF($B54="","",$H54-$N54)</f>
        <v/>
      </c>
      <c r="Q54" s="21" t="str">
        <f aca="false">IF($B54="","",IF($L54&lt;=0,"n/a",IFERROR($K54/$L54,"n/a")))</f>
        <v/>
      </c>
      <c r="R54" s="22" t="str">
        <f aca="false">IF($B54="","",IF(AND($H54=0,$I54=0),"⚪ No Activity",IF(AND($H54=0,COUNTIFS('SC Change Orders'!$B$2:$B$501,$B54,'SC Change Orders'!$C$2:$C$501,"&gt;="&amp;Controls!$C$5,'SC Change Orders'!$C$2:$C$501,"&lt;="&amp;Controls!$C$6)=0),"⚪ No Funding on File",IF($H54=0,"🔴 Unfunded Spend",IF($I54&gt;=$H54,"🔴 Over Budget",IF($N54&gt;$H54,"🔴 Projected Shortfall",IF($J54&gt;=Controls!$C$8,"🟡 Watch","🟢 On Track")))))))</f>
        <v/>
      </c>
    </row>
    <row r="55" customFormat="false" ht="15" hidden="false" customHeight="false" outlineLevel="0" collapsed="false">
      <c r="A55" s="17" t="str">
        <f aca="false">IF($B55="","",IF((IFERROR(INDEX(_RefTable!$A$2:$A$501,MATCH($B55,_RefTable!$C$2:$C$501,0)),IFERROR(INDEX(_MainTable!$A$2:$A$2001,MATCH($B55,_MainTable!$F$2:$F$2001,0)),IFERROR(INDEX('SC Change Orders'!$A$2:$A$501,MATCH($B55,'SC Change Orders'!$B$2:$B$501,0)),"(unknown vendor)"))))&amp;""="","—",(IFERROR(INDEX(_RefTable!$A$2:$A$501,MATCH($B55,_RefTable!$C$2:$C$501,0)),IFERROR(INDEX(_MainTable!$A$2:$A$2001,MATCH($B55,_MainTable!$F$2:$F$2001,0)),IFERROR(INDEX('SC Change Orders'!$A$2:$A$501,MATCH($B55,'SC Change Orders'!$B$2:$B$501,0)),"(unknown vendor)"))))))</f>
        <v/>
      </c>
      <c r="B55" s="18" t="str">
        <f aca="false">IFERROR(INDEX('PO Index'!$B$5:$B$84,51),"")</f>
        <v/>
      </c>
      <c r="C55" s="17" t="str">
        <f aca="false">IF($B55="","",IF((IFERROR(INDEX(_RefTable!$B$2:$B$501,MATCH($B55,_RefTable!$C$2:$C$501,0))&amp;IF(COUNTIF(_RefTable!$C$2:$C$501,$B55)&gt;1," (+"&amp;COUNTIF(_RefTable!$C$2:$C$501,$B55)-1&amp;" more)",""),IFERROR(INDEX(_MainTable!$B$2:$B$2001,MATCH($B55,_MainTable!$F$2:$F$2001,0)),"")))&amp;""="","—",(IFERROR(INDEX(_RefTable!$B$2:$B$501,MATCH($B55,_RefTable!$C$2:$C$501,0))&amp;IF(COUNTIF(_RefTable!$C$2:$C$501,$B55)&gt;1," (+"&amp;COUNTIF(_RefTable!$C$2:$C$501,$B55)-1&amp;" more)",""),IFERROR(INDEX(_MainTable!$B$2:$B$2001,MATCH($B55,_MainTable!$F$2:$F$2001,0)),"")))))</f>
        <v/>
      </c>
      <c r="D55" s="17" t="str">
        <f aca="false">IF($B55="","",IF((IFERROR(INDEX(_RefTable!$E$2:$E$501,MATCH($B55,_RefTable!$C$2:$C$501,0)),IFERROR(INDEX(_MainTable!$C$2:$C$2001,MATCH($B55,_MainTable!$F$2:$F$2001,0)),"")))&amp;""="","—",(IFERROR(INDEX(_RefTable!$E$2:$E$501,MATCH($B55,_RefTable!$C$2:$C$501,0)),IFERROR(INDEX(_MainTable!$C$2:$C$2001,MATCH($B55,_MainTable!$F$2:$F$2001,0)),"")))))</f>
        <v/>
      </c>
      <c r="E55" s="17" t="str">
        <f aca="false">IF($B55="","",IF((IFERROR(INDEX(_RefTable!$F$2:$F$501,MATCH($B55,_RefTable!$C$2:$C$501,0)),IFERROR(INDEX(_MainTable!$D$2:$D$2001,MATCH($B55,_MainTable!$F$2:$F$2001,0)),"")))&amp;""="","—",(IFERROR(INDEX(_RefTable!$F$2:$F$501,MATCH($B55,_RefTable!$C$2:$C$501,0)),IFERROR(INDEX(_MainTable!$D$2:$D$2001,MATCH($B55,_MainTable!$F$2:$F$2001,0)),"")))))</f>
        <v/>
      </c>
      <c r="F55" s="19" t="str">
        <f aca="false">IF($B55="","",IFERROR(_xlfn.MINIFS('SC Change Orders'!$E$2:$E$501,'SC Change Orders'!$B$2:$B$501,$B55,'SC Change Orders'!$C$2:$C$501,"&gt;="&amp;Controls!$C$5,'SC Change Orders'!$C$2:$C$501,"&lt;="&amp;Controls!$C$6),0))</f>
        <v/>
      </c>
      <c r="G55" s="19" t="str">
        <f aca="false">IF($B55="","",SUMIFS('SC Change Orders'!$F$2:$F$501,'SC Change Orders'!$B$2:$B$501,$B55,'SC Change Orders'!$C$2:$C$501,"&gt;="&amp;Controls!$C$5,'SC Change Orders'!$C$2:$C$501,"&lt;="&amp;Controls!$C$6))</f>
        <v/>
      </c>
      <c r="H55" s="19" t="str">
        <f aca="false">IF($B55="","",$F55+$G55)</f>
        <v/>
      </c>
      <c r="I55" s="19" t="str">
        <f aca="false">IF($B55="","",SUMIFS(_MainTable!$K$2:$K$2001,_MainTable!$F$2:$F$2001,$B55,_MainTable!$G$2:$G$2001,"&gt;="&amp;Controls!$C$5,_MainTable!$G$2:$G$2001,"&lt;="&amp;Controls!$C$6))</f>
        <v/>
      </c>
      <c r="J55" s="20" t="str">
        <f aca="false">IF($B55="","",IFERROR($I55/$H55,0))</f>
        <v/>
      </c>
      <c r="K55" s="19" t="str">
        <f aca="false">IF($B55="","",$H55-$I55)</f>
        <v/>
      </c>
      <c r="L55" s="19" t="str">
        <f aca="false">IF($B55="","",IFERROR(SUMIFS(_MainTable!$K$2:$K$2001,_MainTable!$F$2:$F$2001,$B55,_MainTable!$G$2:$G$2001,"&gt;="&amp;Controls!$C$12,_MainTable!$G$2:$G$2001,"&lt;="&amp;EOMONTH(Controls!$C$7,0))/MIN(Controls!$C$9,Controls!$C$10),0))</f>
        <v/>
      </c>
      <c r="M55" s="19" t="str">
        <f aca="false">IF($B55="","",$L55*Controls!$C$11)</f>
        <v/>
      </c>
      <c r="N55" s="19" t="str">
        <f aca="false">IF($B55="","",$I55+$M55)</f>
        <v/>
      </c>
      <c r="O55" s="20" t="str">
        <f aca="false">IF($B55="","",IFERROR($N55/$H55,0))</f>
        <v/>
      </c>
      <c r="P55" s="19" t="str">
        <f aca="false">IF($B55="","",$H55-$N55)</f>
        <v/>
      </c>
      <c r="Q55" s="21" t="str">
        <f aca="false">IF($B55="","",IF($L55&lt;=0,"n/a",IFERROR($K55/$L55,"n/a")))</f>
        <v/>
      </c>
      <c r="R55" s="22" t="str">
        <f aca="false">IF($B55="","",IF(AND($H55=0,$I55=0),"⚪ No Activity",IF(AND($H55=0,COUNTIFS('SC Change Orders'!$B$2:$B$501,$B55,'SC Change Orders'!$C$2:$C$501,"&gt;="&amp;Controls!$C$5,'SC Change Orders'!$C$2:$C$501,"&lt;="&amp;Controls!$C$6)=0),"⚪ No Funding on File",IF($H55=0,"🔴 Unfunded Spend",IF($I55&gt;=$H55,"🔴 Over Budget",IF($N55&gt;$H55,"🔴 Projected Shortfall",IF($J55&gt;=Controls!$C$8,"🟡 Watch","🟢 On Track")))))))</f>
        <v/>
      </c>
    </row>
    <row r="56" customFormat="false" ht="15" hidden="false" customHeight="false" outlineLevel="0" collapsed="false">
      <c r="A56" s="17" t="str">
        <f aca="false">IF($B56="","",IF((IFERROR(INDEX(_RefTable!$A$2:$A$501,MATCH($B56,_RefTable!$C$2:$C$501,0)),IFERROR(INDEX(_MainTable!$A$2:$A$2001,MATCH($B56,_MainTable!$F$2:$F$2001,0)),IFERROR(INDEX('SC Change Orders'!$A$2:$A$501,MATCH($B56,'SC Change Orders'!$B$2:$B$501,0)),"(unknown vendor)"))))&amp;""="","—",(IFERROR(INDEX(_RefTable!$A$2:$A$501,MATCH($B56,_RefTable!$C$2:$C$501,0)),IFERROR(INDEX(_MainTable!$A$2:$A$2001,MATCH($B56,_MainTable!$F$2:$F$2001,0)),IFERROR(INDEX('SC Change Orders'!$A$2:$A$501,MATCH($B56,'SC Change Orders'!$B$2:$B$501,0)),"(unknown vendor)"))))))</f>
        <v/>
      </c>
      <c r="B56" s="18" t="str">
        <f aca="false">IFERROR(INDEX('PO Index'!$B$5:$B$84,52),"")</f>
        <v/>
      </c>
      <c r="C56" s="17" t="str">
        <f aca="false">IF($B56="","",IF((IFERROR(INDEX(_RefTable!$B$2:$B$501,MATCH($B56,_RefTable!$C$2:$C$501,0))&amp;IF(COUNTIF(_RefTable!$C$2:$C$501,$B56)&gt;1," (+"&amp;COUNTIF(_RefTable!$C$2:$C$501,$B56)-1&amp;" more)",""),IFERROR(INDEX(_MainTable!$B$2:$B$2001,MATCH($B56,_MainTable!$F$2:$F$2001,0)),"")))&amp;""="","—",(IFERROR(INDEX(_RefTable!$B$2:$B$501,MATCH($B56,_RefTable!$C$2:$C$501,0))&amp;IF(COUNTIF(_RefTable!$C$2:$C$501,$B56)&gt;1," (+"&amp;COUNTIF(_RefTable!$C$2:$C$501,$B56)-1&amp;" more)",""),IFERROR(INDEX(_MainTable!$B$2:$B$2001,MATCH($B56,_MainTable!$F$2:$F$2001,0)),"")))))</f>
        <v/>
      </c>
      <c r="D56" s="17" t="str">
        <f aca="false">IF($B56="","",IF((IFERROR(INDEX(_RefTable!$E$2:$E$501,MATCH($B56,_RefTable!$C$2:$C$501,0)),IFERROR(INDEX(_MainTable!$C$2:$C$2001,MATCH($B56,_MainTable!$F$2:$F$2001,0)),"")))&amp;""="","—",(IFERROR(INDEX(_RefTable!$E$2:$E$501,MATCH($B56,_RefTable!$C$2:$C$501,0)),IFERROR(INDEX(_MainTable!$C$2:$C$2001,MATCH($B56,_MainTable!$F$2:$F$2001,0)),"")))))</f>
        <v/>
      </c>
      <c r="E56" s="17" t="str">
        <f aca="false">IF($B56="","",IF((IFERROR(INDEX(_RefTable!$F$2:$F$501,MATCH($B56,_RefTable!$C$2:$C$501,0)),IFERROR(INDEX(_MainTable!$D$2:$D$2001,MATCH($B56,_MainTable!$F$2:$F$2001,0)),"")))&amp;""="","—",(IFERROR(INDEX(_RefTable!$F$2:$F$501,MATCH($B56,_RefTable!$C$2:$C$501,0)),IFERROR(INDEX(_MainTable!$D$2:$D$2001,MATCH($B56,_MainTable!$F$2:$F$2001,0)),"")))))</f>
        <v/>
      </c>
      <c r="F56" s="19" t="str">
        <f aca="false">IF($B56="","",IFERROR(_xlfn.MINIFS('SC Change Orders'!$E$2:$E$501,'SC Change Orders'!$B$2:$B$501,$B56,'SC Change Orders'!$C$2:$C$501,"&gt;="&amp;Controls!$C$5,'SC Change Orders'!$C$2:$C$501,"&lt;="&amp;Controls!$C$6),0))</f>
        <v/>
      </c>
      <c r="G56" s="19" t="str">
        <f aca="false">IF($B56="","",SUMIFS('SC Change Orders'!$F$2:$F$501,'SC Change Orders'!$B$2:$B$501,$B56,'SC Change Orders'!$C$2:$C$501,"&gt;="&amp;Controls!$C$5,'SC Change Orders'!$C$2:$C$501,"&lt;="&amp;Controls!$C$6))</f>
        <v/>
      </c>
      <c r="H56" s="19" t="str">
        <f aca="false">IF($B56="","",$F56+$G56)</f>
        <v/>
      </c>
      <c r="I56" s="19" t="str">
        <f aca="false">IF($B56="","",SUMIFS(_MainTable!$K$2:$K$2001,_MainTable!$F$2:$F$2001,$B56,_MainTable!$G$2:$G$2001,"&gt;="&amp;Controls!$C$5,_MainTable!$G$2:$G$2001,"&lt;="&amp;Controls!$C$6))</f>
        <v/>
      </c>
      <c r="J56" s="20" t="str">
        <f aca="false">IF($B56="","",IFERROR($I56/$H56,0))</f>
        <v/>
      </c>
      <c r="K56" s="19" t="str">
        <f aca="false">IF($B56="","",$H56-$I56)</f>
        <v/>
      </c>
      <c r="L56" s="19" t="str">
        <f aca="false">IF($B56="","",IFERROR(SUMIFS(_MainTable!$K$2:$K$2001,_MainTable!$F$2:$F$2001,$B56,_MainTable!$G$2:$G$2001,"&gt;="&amp;Controls!$C$12,_MainTable!$G$2:$G$2001,"&lt;="&amp;EOMONTH(Controls!$C$7,0))/MIN(Controls!$C$9,Controls!$C$10),0))</f>
        <v/>
      </c>
      <c r="M56" s="19" t="str">
        <f aca="false">IF($B56="","",$L56*Controls!$C$11)</f>
        <v/>
      </c>
      <c r="N56" s="19" t="str">
        <f aca="false">IF($B56="","",$I56+$M56)</f>
        <v/>
      </c>
      <c r="O56" s="20" t="str">
        <f aca="false">IF($B56="","",IFERROR($N56/$H56,0))</f>
        <v/>
      </c>
      <c r="P56" s="19" t="str">
        <f aca="false">IF($B56="","",$H56-$N56)</f>
        <v/>
      </c>
      <c r="Q56" s="21" t="str">
        <f aca="false">IF($B56="","",IF($L56&lt;=0,"n/a",IFERROR($K56/$L56,"n/a")))</f>
        <v/>
      </c>
      <c r="R56" s="22" t="str">
        <f aca="false">IF($B56="","",IF(AND($H56=0,$I56=0),"⚪ No Activity",IF(AND($H56=0,COUNTIFS('SC Change Orders'!$B$2:$B$501,$B56,'SC Change Orders'!$C$2:$C$501,"&gt;="&amp;Controls!$C$5,'SC Change Orders'!$C$2:$C$501,"&lt;="&amp;Controls!$C$6)=0),"⚪ No Funding on File",IF($H56=0,"🔴 Unfunded Spend",IF($I56&gt;=$H56,"🔴 Over Budget",IF($N56&gt;$H56,"🔴 Projected Shortfall",IF($J56&gt;=Controls!$C$8,"🟡 Watch","🟢 On Track")))))))</f>
        <v/>
      </c>
    </row>
    <row r="57" customFormat="false" ht="15" hidden="false" customHeight="false" outlineLevel="0" collapsed="false">
      <c r="A57" s="17" t="str">
        <f aca="false">IF($B57="","",IF((IFERROR(INDEX(_RefTable!$A$2:$A$501,MATCH($B57,_RefTable!$C$2:$C$501,0)),IFERROR(INDEX(_MainTable!$A$2:$A$2001,MATCH($B57,_MainTable!$F$2:$F$2001,0)),IFERROR(INDEX('SC Change Orders'!$A$2:$A$501,MATCH($B57,'SC Change Orders'!$B$2:$B$501,0)),"(unknown vendor)"))))&amp;""="","—",(IFERROR(INDEX(_RefTable!$A$2:$A$501,MATCH($B57,_RefTable!$C$2:$C$501,0)),IFERROR(INDEX(_MainTable!$A$2:$A$2001,MATCH($B57,_MainTable!$F$2:$F$2001,0)),IFERROR(INDEX('SC Change Orders'!$A$2:$A$501,MATCH($B57,'SC Change Orders'!$B$2:$B$501,0)),"(unknown vendor)"))))))</f>
        <v/>
      </c>
      <c r="B57" s="18" t="str">
        <f aca="false">IFERROR(INDEX('PO Index'!$B$5:$B$84,53),"")</f>
        <v/>
      </c>
      <c r="C57" s="17" t="str">
        <f aca="false">IF($B57="","",IF((IFERROR(INDEX(_RefTable!$B$2:$B$501,MATCH($B57,_RefTable!$C$2:$C$501,0))&amp;IF(COUNTIF(_RefTable!$C$2:$C$501,$B57)&gt;1," (+"&amp;COUNTIF(_RefTable!$C$2:$C$501,$B57)-1&amp;" more)",""),IFERROR(INDEX(_MainTable!$B$2:$B$2001,MATCH($B57,_MainTable!$F$2:$F$2001,0)),"")))&amp;""="","—",(IFERROR(INDEX(_RefTable!$B$2:$B$501,MATCH($B57,_RefTable!$C$2:$C$501,0))&amp;IF(COUNTIF(_RefTable!$C$2:$C$501,$B57)&gt;1," (+"&amp;COUNTIF(_RefTable!$C$2:$C$501,$B57)-1&amp;" more)",""),IFERROR(INDEX(_MainTable!$B$2:$B$2001,MATCH($B57,_MainTable!$F$2:$F$2001,0)),"")))))</f>
        <v/>
      </c>
      <c r="D57" s="17" t="str">
        <f aca="false">IF($B57="","",IF((IFERROR(INDEX(_RefTable!$E$2:$E$501,MATCH($B57,_RefTable!$C$2:$C$501,0)),IFERROR(INDEX(_MainTable!$C$2:$C$2001,MATCH($B57,_MainTable!$F$2:$F$2001,0)),"")))&amp;""="","—",(IFERROR(INDEX(_RefTable!$E$2:$E$501,MATCH($B57,_RefTable!$C$2:$C$501,0)),IFERROR(INDEX(_MainTable!$C$2:$C$2001,MATCH($B57,_MainTable!$F$2:$F$2001,0)),"")))))</f>
        <v/>
      </c>
      <c r="E57" s="17" t="str">
        <f aca="false">IF($B57="","",IF((IFERROR(INDEX(_RefTable!$F$2:$F$501,MATCH($B57,_RefTable!$C$2:$C$501,0)),IFERROR(INDEX(_MainTable!$D$2:$D$2001,MATCH($B57,_MainTable!$F$2:$F$2001,0)),"")))&amp;""="","—",(IFERROR(INDEX(_RefTable!$F$2:$F$501,MATCH($B57,_RefTable!$C$2:$C$501,0)),IFERROR(INDEX(_MainTable!$D$2:$D$2001,MATCH($B57,_MainTable!$F$2:$F$2001,0)),"")))))</f>
        <v/>
      </c>
      <c r="F57" s="19" t="str">
        <f aca="false">IF($B57="","",IFERROR(_xlfn.MINIFS('SC Change Orders'!$E$2:$E$501,'SC Change Orders'!$B$2:$B$501,$B57,'SC Change Orders'!$C$2:$C$501,"&gt;="&amp;Controls!$C$5,'SC Change Orders'!$C$2:$C$501,"&lt;="&amp;Controls!$C$6),0))</f>
        <v/>
      </c>
      <c r="G57" s="19" t="str">
        <f aca="false">IF($B57="","",SUMIFS('SC Change Orders'!$F$2:$F$501,'SC Change Orders'!$B$2:$B$501,$B57,'SC Change Orders'!$C$2:$C$501,"&gt;="&amp;Controls!$C$5,'SC Change Orders'!$C$2:$C$501,"&lt;="&amp;Controls!$C$6))</f>
        <v/>
      </c>
      <c r="H57" s="19" t="str">
        <f aca="false">IF($B57="","",$F57+$G57)</f>
        <v/>
      </c>
      <c r="I57" s="19" t="str">
        <f aca="false">IF($B57="","",SUMIFS(_MainTable!$K$2:$K$2001,_MainTable!$F$2:$F$2001,$B57,_MainTable!$G$2:$G$2001,"&gt;="&amp;Controls!$C$5,_MainTable!$G$2:$G$2001,"&lt;="&amp;Controls!$C$6))</f>
        <v/>
      </c>
      <c r="J57" s="20" t="str">
        <f aca="false">IF($B57="","",IFERROR($I57/$H57,0))</f>
        <v/>
      </c>
      <c r="K57" s="19" t="str">
        <f aca="false">IF($B57="","",$H57-$I57)</f>
        <v/>
      </c>
      <c r="L57" s="19" t="str">
        <f aca="false">IF($B57="","",IFERROR(SUMIFS(_MainTable!$K$2:$K$2001,_MainTable!$F$2:$F$2001,$B57,_MainTable!$G$2:$G$2001,"&gt;="&amp;Controls!$C$12,_MainTable!$G$2:$G$2001,"&lt;="&amp;EOMONTH(Controls!$C$7,0))/MIN(Controls!$C$9,Controls!$C$10),0))</f>
        <v/>
      </c>
      <c r="M57" s="19" t="str">
        <f aca="false">IF($B57="","",$L57*Controls!$C$11)</f>
        <v/>
      </c>
      <c r="N57" s="19" t="str">
        <f aca="false">IF($B57="","",$I57+$M57)</f>
        <v/>
      </c>
      <c r="O57" s="20" t="str">
        <f aca="false">IF($B57="","",IFERROR($N57/$H57,0))</f>
        <v/>
      </c>
      <c r="P57" s="19" t="str">
        <f aca="false">IF($B57="","",$H57-$N57)</f>
        <v/>
      </c>
      <c r="Q57" s="21" t="str">
        <f aca="false">IF($B57="","",IF($L57&lt;=0,"n/a",IFERROR($K57/$L57,"n/a")))</f>
        <v/>
      </c>
      <c r="R57" s="22" t="str">
        <f aca="false">IF($B57="","",IF(AND($H57=0,$I57=0),"⚪ No Activity",IF(AND($H57=0,COUNTIFS('SC Change Orders'!$B$2:$B$501,$B57,'SC Change Orders'!$C$2:$C$501,"&gt;="&amp;Controls!$C$5,'SC Change Orders'!$C$2:$C$501,"&lt;="&amp;Controls!$C$6)=0),"⚪ No Funding on File",IF($H57=0,"🔴 Unfunded Spend",IF($I57&gt;=$H57,"🔴 Over Budget",IF($N57&gt;$H57,"🔴 Projected Shortfall",IF($J57&gt;=Controls!$C$8,"🟡 Watch","🟢 On Track")))))))</f>
        <v/>
      </c>
    </row>
    <row r="58" customFormat="false" ht="15" hidden="false" customHeight="false" outlineLevel="0" collapsed="false">
      <c r="A58" s="17" t="str">
        <f aca="false">IF($B58="","",IF((IFERROR(INDEX(_RefTable!$A$2:$A$501,MATCH($B58,_RefTable!$C$2:$C$501,0)),IFERROR(INDEX(_MainTable!$A$2:$A$2001,MATCH($B58,_MainTable!$F$2:$F$2001,0)),IFERROR(INDEX('SC Change Orders'!$A$2:$A$501,MATCH($B58,'SC Change Orders'!$B$2:$B$501,0)),"(unknown vendor)"))))&amp;""="","—",(IFERROR(INDEX(_RefTable!$A$2:$A$501,MATCH($B58,_RefTable!$C$2:$C$501,0)),IFERROR(INDEX(_MainTable!$A$2:$A$2001,MATCH($B58,_MainTable!$F$2:$F$2001,0)),IFERROR(INDEX('SC Change Orders'!$A$2:$A$501,MATCH($B58,'SC Change Orders'!$B$2:$B$501,0)),"(unknown vendor)"))))))</f>
        <v/>
      </c>
      <c r="B58" s="18" t="str">
        <f aca="false">IFERROR(INDEX('PO Index'!$B$5:$B$84,54),"")</f>
        <v/>
      </c>
      <c r="C58" s="17" t="str">
        <f aca="false">IF($B58="","",IF((IFERROR(INDEX(_RefTable!$B$2:$B$501,MATCH($B58,_RefTable!$C$2:$C$501,0))&amp;IF(COUNTIF(_RefTable!$C$2:$C$501,$B58)&gt;1," (+"&amp;COUNTIF(_RefTable!$C$2:$C$501,$B58)-1&amp;" more)",""),IFERROR(INDEX(_MainTable!$B$2:$B$2001,MATCH($B58,_MainTable!$F$2:$F$2001,0)),"")))&amp;""="","—",(IFERROR(INDEX(_RefTable!$B$2:$B$501,MATCH($B58,_RefTable!$C$2:$C$501,0))&amp;IF(COUNTIF(_RefTable!$C$2:$C$501,$B58)&gt;1," (+"&amp;COUNTIF(_RefTable!$C$2:$C$501,$B58)-1&amp;" more)",""),IFERROR(INDEX(_MainTable!$B$2:$B$2001,MATCH($B58,_MainTable!$F$2:$F$2001,0)),"")))))</f>
        <v/>
      </c>
      <c r="D58" s="17" t="str">
        <f aca="false">IF($B58="","",IF((IFERROR(INDEX(_RefTable!$E$2:$E$501,MATCH($B58,_RefTable!$C$2:$C$501,0)),IFERROR(INDEX(_MainTable!$C$2:$C$2001,MATCH($B58,_MainTable!$F$2:$F$2001,0)),"")))&amp;""="","—",(IFERROR(INDEX(_RefTable!$E$2:$E$501,MATCH($B58,_RefTable!$C$2:$C$501,0)),IFERROR(INDEX(_MainTable!$C$2:$C$2001,MATCH($B58,_MainTable!$F$2:$F$2001,0)),"")))))</f>
        <v/>
      </c>
      <c r="E58" s="17" t="str">
        <f aca="false">IF($B58="","",IF((IFERROR(INDEX(_RefTable!$F$2:$F$501,MATCH($B58,_RefTable!$C$2:$C$501,0)),IFERROR(INDEX(_MainTable!$D$2:$D$2001,MATCH($B58,_MainTable!$F$2:$F$2001,0)),"")))&amp;""="","—",(IFERROR(INDEX(_RefTable!$F$2:$F$501,MATCH($B58,_RefTable!$C$2:$C$501,0)),IFERROR(INDEX(_MainTable!$D$2:$D$2001,MATCH($B58,_MainTable!$F$2:$F$2001,0)),"")))))</f>
        <v/>
      </c>
      <c r="F58" s="19" t="str">
        <f aca="false">IF($B58="","",IFERROR(_xlfn.MINIFS('SC Change Orders'!$E$2:$E$501,'SC Change Orders'!$B$2:$B$501,$B58,'SC Change Orders'!$C$2:$C$501,"&gt;="&amp;Controls!$C$5,'SC Change Orders'!$C$2:$C$501,"&lt;="&amp;Controls!$C$6),0))</f>
        <v/>
      </c>
      <c r="G58" s="19" t="str">
        <f aca="false">IF($B58="","",SUMIFS('SC Change Orders'!$F$2:$F$501,'SC Change Orders'!$B$2:$B$501,$B58,'SC Change Orders'!$C$2:$C$501,"&gt;="&amp;Controls!$C$5,'SC Change Orders'!$C$2:$C$501,"&lt;="&amp;Controls!$C$6))</f>
        <v/>
      </c>
      <c r="H58" s="19" t="str">
        <f aca="false">IF($B58="","",$F58+$G58)</f>
        <v/>
      </c>
      <c r="I58" s="19" t="str">
        <f aca="false">IF($B58="","",SUMIFS(_MainTable!$K$2:$K$2001,_MainTable!$F$2:$F$2001,$B58,_MainTable!$G$2:$G$2001,"&gt;="&amp;Controls!$C$5,_MainTable!$G$2:$G$2001,"&lt;="&amp;Controls!$C$6))</f>
        <v/>
      </c>
      <c r="J58" s="20" t="str">
        <f aca="false">IF($B58="","",IFERROR($I58/$H58,0))</f>
        <v/>
      </c>
      <c r="K58" s="19" t="str">
        <f aca="false">IF($B58="","",$H58-$I58)</f>
        <v/>
      </c>
      <c r="L58" s="19" t="str">
        <f aca="false">IF($B58="","",IFERROR(SUMIFS(_MainTable!$K$2:$K$2001,_MainTable!$F$2:$F$2001,$B58,_MainTable!$G$2:$G$2001,"&gt;="&amp;Controls!$C$12,_MainTable!$G$2:$G$2001,"&lt;="&amp;EOMONTH(Controls!$C$7,0))/MIN(Controls!$C$9,Controls!$C$10),0))</f>
        <v/>
      </c>
      <c r="M58" s="19" t="str">
        <f aca="false">IF($B58="","",$L58*Controls!$C$11)</f>
        <v/>
      </c>
      <c r="N58" s="19" t="str">
        <f aca="false">IF($B58="","",$I58+$M58)</f>
        <v/>
      </c>
      <c r="O58" s="20" t="str">
        <f aca="false">IF($B58="","",IFERROR($N58/$H58,0))</f>
        <v/>
      </c>
      <c r="P58" s="19" t="str">
        <f aca="false">IF($B58="","",$H58-$N58)</f>
        <v/>
      </c>
      <c r="Q58" s="21" t="str">
        <f aca="false">IF($B58="","",IF($L58&lt;=0,"n/a",IFERROR($K58/$L58,"n/a")))</f>
        <v/>
      </c>
      <c r="R58" s="22" t="str">
        <f aca="false">IF($B58="","",IF(AND($H58=0,$I58=0),"⚪ No Activity",IF(AND($H58=0,COUNTIFS('SC Change Orders'!$B$2:$B$501,$B58,'SC Change Orders'!$C$2:$C$501,"&gt;="&amp;Controls!$C$5,'SC Change Orders'!$C$2:$C$501,"&lt;="&amp;Controls!$C$6)=0),"⚪ No Funding on File",IF($H58=0,"🔴 Unfunded Spend",IF($I58&gt;=$H58,"🔴 Over Budget",IF($N58&gt;$H58,"🔴 Projected Shortfall",IF($J58&gt;=Controls!$C$8,"🟡 Watch","🟢 On Track")))))))</f>
        <v/>
      </c>
    </row>
    <row r="59" customFormat="false" ht="15" hidden="false" customHeight="false" outlineLevel="0" collapsed="false">
      <c r="A59" s="17" t="str">
        <f aca="false">IF($B59="","",IF((IFERROR(INDEX(_RefTable!$A$2:$A$501,MATCH($B59,_RefTable!$C$2:$C$501,0)),IFERROR(INDEX(_MainTable!$A$2:$A$2001,MATCH($B59,_MainTable!$F$2:$F$2001,0)),IFERROR(INDEX('SC Change Orders'!$A$2:$A$501,MATCH($B59,'SC Change Orders'!$B$2:$B$501,0)),"(unknown vendor)"))))&amp;""="","—",(IFERROR(INDEX(_RefTable!$A$2:$A$501,MATCH($B59,_RefTable!$C$2:$C$501,0)),IFERROR(INDEX(_MainTable!$A$2:$A$2001,MATCH($B59,_MainTable!$F$2:$F$2001,0)),IFERROR(INDEX('SC Change Orders'!$A$2:$A$501,MATCH($B59,'SC Change Orders'!$B$2:$B$501,0)),"(unknown vendor)"))))))</f>
        <v/>
      </c>
      <c r="B59" s="18" t="str">
        <f aca="false">IFERROR(INDEX('PO Index'!$B$5:$B$84,55),"")</f>
        <v/>
      </c>
      <c r="C59" s="17" t="str">
        <f aca="false">IF($B59="","",IF((IFERROR(INDEX(_RefTable!$B$2:$B$501,MATCH($B59,_RefTable!$C$2:$C$501,0))&amp;IF(COUNTIF(_RefTable!$C$2:$C$501,$B59)&gt;1," (+"&amp;COUNTIF(_RefTable!$C$2:$C$501,$B59)-1&amp;" more)",""),IFERROR(INDEX(_MainTable!$B$2:$B$2001,MATCH($B59,_MainTable!$F$2:$F$2001,0)),"")))&amp;""="","—",(IFERROR(INDEX(_RefTable!$B$2:$B$501,MATCH($B59,_RefTable!$C$2:$C$501,0))&amp;IF(COUNTIF(_RefTable!$C$2:$C$501,$B59)&gt;1," (+"&amp;COUNTIF(_RefTable!$C$2:$C$501,$B59)-1&amp;" more)",""),IFERROR(INDEX(_MainTable!$B$2:$B$2001,MATCH($B59,_MainTable!$F$2:$F$2001,0)),"")))))</f>
        <v/>
      </c>
      <c r="D59" s="17" t="str">
        <f aca="false">IF($B59="","",IF((IFERROR(INDEX(_RefTable!$E$2:$E$501,MATCH($B59,_RefTable!$C$2:$C$501,0)),IFERROR(INDEX(_MainTable!$C$2:$C$2001,MATCH($B59,_MainTable!$F$2:$F$2001,0)),"")))&amp;""="","—",(IFERROR(INDEX(_RefTable!$E$2:$E$501,MATCH($B59,_RefTable!$C$2:$C$501,0)),IFERROR(INDEX(_MainTable!$C$2:$C$2001,MATCH($B59,_MainTable!$F$2:$F$2001,0)),"")))))</f>
        <v/>
      </c>
      <c r="E59" s="17" t="str">
        <f aca="false">IF($B59="","",IF((IFERROR(INDEX(_RefTable!$F$2:$F$501,MATCH($B59,_RefTable!$C$2:$C$501,0)),IFERROR(INDEX(_MainTable!$D$2:$D$2001,MATCH($B59,_MainTable!$F$2:$F$2001,0)),"")))&amp;""="","—",(IFERROR(INDEX(_RefTable!$F$2:$F$501,MATCH($B59,_RefTable!$C$2:$C$501,0)),IFERROR(INDEX(_MainTable!$D$2:$D$2001,MATCH($B59,_MainTable!$F$2:$F$2001,0)),"")))))</f>
        <v/>
      </c>
      <c r="F59" s="19" t="str">
        <f aca="false">IF($B59="","",IFERROR(_xlfn.MINIFS('SC Change Orders'!$E$2:$E$501,'SC Change Orders'!$B$2:$B$501,$B59,'SC Change Orders'!$C$2:$C$501,"&gt;="&amp;Controls!$C$5,'SC Change Orders'!$C$2:$C$501,"&lt;="&amp;Controls!$C$6),0))</f>
        <v/>
      </c>
      <c r="G59" s="19" t="str">
        <f aca="false">IF($B59="","",SUMIFS('SC Change Orders'!$F$2:$F$501,'SC Change Orders'!$B$2:$B$501,$B59,'SC Change Orders'!$C$2:$C$501,"&gt;="&amp;Controls!$C$5,'SC Change Orders'!$C$2:$C$501,"&lt;="&amp;Controls!$C$6))</f>
        <v/>
      </c>
      <c r="H59" s="19" t="str">
        <f aca="false">IF($B59="","",$F59+$G59)</f>
        <v/>
      </c>
      <c r="I59" s="19" t="str">
        <f aca="false">IF($B59="","",SUMIFS(_MainTable!$K$2:$K$2001,_MainTable!$F$2:$F$2001,$B59,_MainTable!$G$2:$G$2001,"&gt;="&amp;Controls!$C$5,_MainTable!$G$2:$G$2001,"&lt;="&amp;Controls!$C$6))</f>
        <v/>
      </c>
      <c r="J59" s="20" t="str">
        <f aca="false">IF($B59="","",IFERROR($I59/$H59,0))</f>
        <v/>
      </c>
      <c r="K59" s="19" t="str">
        <f aca="false">IF($B59="","",$H59-$I59)</f>
        <v/>
      </c>
      <c r="L59" s="19" t="str">
        <f aca="false">IF($B59="","",IFERROR(SUMIFS(_MainTable!$K$2:$K$2001,_MainTable!$F$2:$F$2001,$B59,_MainTable!$G$2:$G$2001,"&gt;="&amp;Controls!$C$12,_MainTable!$G$2:$G$2001,"&lt;="&amp;EOMONTH(Controls!$C$7,0))/MIN(Controls!$C$9,Controls!$C$10),0))</f>
        <v/>
      </c>
      <c r="M59" s="19" t="str">
        <f aca="false">IF($B59="","",$L59*Controls!$C$11)</f>
        <v/>
      </c>
      <c r="N59" s="19" t="str">
        <f aca="false">IF($B59="","",$I59+$M59)</f>
        <v/>
      </c>
      <c r="O59" s="20" t="str">
        <f aca="false">IF($B59="","",IFERROR($N59/$H59,0))</f>
        <v/>
      </c>
      <c r="P59" s="19" t="str">
        <f aca="false">IF($B59="","",$H59-$N59)</f>
        <v/>
      </c>
      <c r="Q59" s="21" t="str">
        <f aca="false">IF($B59="","",IF($L59&lt;=0,"n/a",IFERROR($K59/$L59,"n/a")))</f>
        <v/>
      </c>
      <c r="R59" s="22" t="str">
        <f aca="false">IF($B59="","",IF(AND($H59=0,$I59=0),"⚪ No Activity",IF(AND($H59=0,COUNTIFS('SC Change Orders'!$B$2:$B$501,$B59,'SC Change Orders'!$C$2:$C$501,"&gt;="&amp;Controls!$C$5,'SC Change Orders'!$C$2:$C$501,"&lt;="&amp;Controls!$C$6)=0),"⚪ No Funding on File",IF($H59=0,"🔴 Unfunded Spend",IF($I59&gt;=$H59,"🔴 Over Budget",IF($N59&gt;$H59,"🔴 Projected Shortfall",IF($J59&gt;=Controls!$C$8,"🟡 Watch","🟢 On Track")))))))</f>
        <v/>
      </c>
    </row>
    <row r="60" customFormat="false" ht="15" hidden="false" customHeight="false" outlineLevel="0" collapsed="false">
      <c r="A60" s="17" t="str">
        <f aca="false">IF($B60="","",IF((IFERROR(INDEX(_RefTable!$A$2:$A$501,MATCH($B60,_RefTable!$C$2:$C$501,0)),IFERROR(INDEX(_MainTable!$A$2:$A$2001,MATCH($B60,_MainTable!$F$2:$F$2001,0)),IFERROR(INDEX('SC Change Orders'!$A$2:$A$501,MATCH($B60,'SC Change Orders'!$B$2:$B$501,0)),"(unknown vendor)"))))&amp;""="","—",(IFERROR(INDEX(_RefTable!$A$2:$A$501,MATCH($B60,_RefTable!$C$2:$C$501,0)),IFERROR(INDEX(_MainTable!$A$2:$A$2001,MATCH($B60,_MainTable!$F$2:$F$2001,0)),IFERROR(INDEX('SC Change Orders'!$A$2:$A$501,MATCH($B60,'SC Change Orders'!$B$2:$B$501,0)),"(unknown vendor)"))))))</f>
        <v/>
      </c>
      <c r="B60" s="18" t="str">
        <f aca="false">IFERROR(INDEX('PO Index'!$B$5:$B$84,56),"")</f>
        <v/>
      </c>
      <c r="C60" s="17" t="str">
        <f aca="false">IF($B60="","",IF((IFERROR(INDEX(_RefTable!$B$2:$B$501,MATCH($B60,_RefTable!$C$2:$C$501,0))&amp;IF(COUNTIF(_RefTable!$C$2:$C$501,$B60)&gt;1," (+"&amp;COUNTIF(_RefTable!$C$2:$C$501,$B60)-1&amp;" more)",""),IFERROR(INDEX(_MainTable!$B$2:$B$2001,MATCH($B60,_MainTable!$F$2:$F$2001,0)),"")))&amp;""="","—",(IFERROR(INDEX(_RefTable!$B$2:$B$501,MATCH($B60,_RefTable!$C$2:$C$501,0))&amp;IF(COUNTIF(_RefTable!$C$2:$C$501,$B60)&gt;1," (+"&amp;COUNTIF(_RefTable!$C$2:$C$501,$B60)-1&amp;" more)",""),IFERROR(INDEX(_MainTable!$B$2:$B$2001,MATCH($B60,_MainTable!$F$2:$F$2001,0)),"")))))</f>
        <v/>
      </c>
      <c r="D60" s="17" t="str">
        <f aca="false">IF($B60="","",IF((IFERROR(INDEX(_RefTable!$E$2:$E$501,MATCH($B60,_RefTable!$C$2:$C$501,0)),IFERROR(INDEX(_MainTable!$C$2:$C$2001,MATCH($B60,_MainTable!$F$2:$F$2001,0)),"")))&amp;""="","—",(IFERROR(INDEX(_RefTable!$E$2:$E$501,MATCH($B60,_RefTable!$C$2:$C$501,0)),IFERROR(INDEX(_MainTable!$C$2:$C$2001,MATCH($B60,_MainTable!$F$2:$F$2001,0)),"")))))</f>
        <v/>
      </c>
      <c r="E60" s="17" t="str">
        <f aca="false">IF($B60="","",IF((IFERROR(INDEX(_RefTable!$F$2:$F$501,MATCH($B60,_RefTable!$C$2:$C$501,0)),IFERROR(INDEX(_MainTable!$D$2:$D$2001,MATCH($B60,_MainTable!$F$2:$F$2001,0)),"")))&amp;""="","—",(IFERROR(INDEX(_RefTable!$F$2:$F$501,MATCH($B60,_RefTable!$C$2:$C$501,0)),IFERROR(INDEX(_MainTable!$D$2:$D$2001,MATCH($B60,_MainTable!$F$2:$F$2001,0)),"")))))</f>
        <v/>
      </c>
      <c r="F60" s="19" t="str">
        <f aca="false">IF($B60="","",IFERROR(_xlfn.MINIFS('SC Change Orders'!$E$2:$E$501,'SC Change Orders'!$B$2:$B$501,$B60,'SC Change Orders'!$C$2:$C$501,"&gt;="&amp;Controls!$C$5,'SC Change Orders'!$C$2:$C$501,"&lt;="&amp;Controls!$C$6),0))</f>
        <v/>
      </c>
      <c r="G60" s="19" t="str">
        <f aca="false">IF($B60="","",SUMIFS('SC Change Orders'!$F$2:$F$501,'SC Change Orders'!$B$2:$B$501,$B60,'SC Change Orders'!$C$2:$C$501,"&gt;="&amp;Controls!$C$5,'SC Change Orders'!$C$2:$C$501,"&lt;="&amp;Controls!$C$6))</f>
        <v/>
      </c>
      <c r="H60" s="19" t="str">
        <f aca="false">IF($B60="","",$F60+$G60)</f>
        <v/>
      </c>
      <c r="I60" s="19" t="str">
        <f aca="false">IF($B60="","",SUMIFS(_MainTable!$K$2:$K$2001,_MainTable!$F$2:$F$2001,$B60,_MainTable!$G$2:$G$2001,"&gt;="&amp;Controls!$C$5,_MainTable!$G$2:$G$2001,"&lt;="&amp;Controls!$C$6))</f>
        <v/>
      </c>
      <c r="J60" s="20" t="str">
        <f aca="false">IF($B60="","",IFERROR($I60/$H60,0))</f>
        <v/>
      </c>
      <c r="K60" s="19" t="str">
        <f aca="false">IF($B60="","",$H60-$I60)</f>
        <v/>
      </c>
      <c r="L60" s="19" t="str">
        <f aca="false">IF($B60="","",IFERROR(SUMIFS(_MainTable!$K$2:$K$2001,_MainTable!$F$2:$F$2001,$B60,_MainTable!$G$2:$G$2001,"&gt;="&amp;Controls!$C$12,_MainTable!$G$2:$G$2001,"&lt;="&amp;EOMONTH(Controls!$C$7,0))/MIN(Controls!$C$9,Controls!$C$10),0))</f>
        <v/>
      </c>
      <c r="M60" s="19" t="str">
        <f aca="false">IF($B60="","",$L60*Controls!$C$11)</f>
        <v/>
      </c>
      <c r="N60" s="19" t="str">
        <f aca="false">IF($B60="","",$I60+$M60)</f>
        <v/>
      </c>
      <c r="O60" s="20" t="str">
        <f aca="false">IF($B60="","",IFERROR($N60/$H60,0))</f>
        <v/>
      </c>
      <c r="P60" s="19" t="str">
        <f aca="false">IF($B60="","",$H60-$N60)</f>
        <v/>
      </c>
      <c r="Q60" s="21" t="str">
        <f aca="false">IF($B60="","",IF($L60&lt;=0,"n/a",IFERROR($K60/$L60,"n/a")))</f>
        <v/>
      </c>
      <c r="R60" s="22" t="str">
        <f aca="false">IF($B60="","",IF(AND($H60=0,$I60=0),"⚪ No Activity",IF(AND($H60=0,COUNTIFS('SC Change Orders'!$B$2:$B$501,$B60,'SC Change Orders'!$C$2:$C$501,"&gt;="&amp;Controls!$C$5,'SC Change Orders'!$C$2:$C$501,"&lt;="&amp;Controls!$C$6)=0),"⚪ No Funding on File",IF($H60=0,"🔴 Unfunded Spend",IF($I60&gt;=$H60,"🔴 Over Budget",IF($N60&gt;$H60,"🔴 Projected Shortfall",IF($J60&gt;=Controls!$C$8,"🟡 Watch","🟢 On Track")))))))</f>
        <v/>
      </c>
    </row>
    <row r="61" customFormat="false" ht="15" hidden="false" customHeight="false" outlineLevel="0" collapsed="false">
      <c r="A61" s="17" t="str">
        <f aca="false">IF($B61="","",IF((IFERROR(INDEX(_RefTable!$A$2:$A$501,MATCH($B61,_RefTable!$C$2:$C$501,0)),IFERROR(INDEX(_MainTable!$A$2:$A$2001,MATCH($B61,_MainTable!$F$2:$F$2001,0)),IFERROR(INDEX('SC Change Orders'!$A$2:$A$501,MATCH($B61,'SC Change Orders'!$B$2:$B$501,0)),"(unknown vendor)"))))&amp;""="","—",(IFERROR(INDEX(_RefTable!$A$2:$A$501,MATCH($B61,_RefTable!$C$2:$C$501,0)),IFERROR(INDEX(_MainTable!$A$2:$A$2001,MATCH($B61,_MainTable!$F$2:$F$2001,0)),IFERROR(INDEX('SC Change Orders'!$A$2:$A$501,MATCH($B61,'SC Change Orders'!$B$2:$B$501,0)),"(unknown vendor)"))))))</f>
        <v/>
      </c>
      <c r="B61" s="18" t="str">
        <f aca="false">IFERROR(INDEX('PO Index'!$B$5:$B$84,57),"")</f>
        <v/>
      </c>
      <c r="C61" s="17" t="str">
        <f aca="false">IF($B61="","",IF((IFERROR(INDEX(_RefTable!$B$2:$B$501,MATCH($B61,_RefTable!$C$2:$C$501,0))&amp;IF(COUNTIF(_RefTable!$C$2:$C$501,$B61)&gt;1," (+"&amp;COUNTIF(_RefTable!$C$2:$C$501,$B61)-1&amp;" more)",""),IFERROR(INDEX(_MainTable!$B$2:$B$2001,MATCH($B61,_MainTable!$F$2:$F$2001,0)),"")))&amp;""="","—",(IFERROR(INDEX(_RefTable!$B$2:$B$501,MATCH($B61,_RefTable!$C$2:$C$501,0))&amp;IF(COUNTIF(_RefTable!$C$2:$C$501,$B61)&gt;1," (+"&amp;COUNTIF(_RefTable!$C$2:$C$501,$B61)-1&amp;" more)",""),IFERROR(INDEX(_MainTable!$B$2:$B$2001,MATCH($B61,_MainTable!$F$2:$F$2001,0)),"")))))</f>
        <v/>
      </c>
      <c r="D61" s="17" t="str">
        <f aca="false">IF($B61="","",IF((IFERROR(INDEX(_RefTable!$E$2:$E$501,MATCH($B61,_RefTable!$C$2:$C$501,0)),IFERROR(INDEX(_MainTable!$C$2:$C$2001,MATCH($B61,_MainTable!$F$2:$F$2001,0)),"")))&amp;""="","—",(IFERROR(INDEX(_RefTable!$E$2:$E$501,MATCH($B61,_RefTable!$C$2:$C$501,0)),IFERROR(INDEX(_MainTable!$C$2:$C$2001,MATCH($B61,_MainTable!$F$2:$F$2001,0)),"")))))</f>
        <v/>
      </c>
      <c r="E61" s="17" t="str">
        <f aca="false">IF($B61="","",IF((IFERROR(INDEX(_RefTable!$F$2:$F$501,MATCH($B61,_RefTable!$C$2:$C$501,0)),IFERROR(INDEX(_MainTable!$D$2:$D$2001,MATCH($B61,_MainTable!$F$2:$F$2001,0)),"")))&amp;""="","—",(IFERROR(INDEX(_RefTable!$F$2:$F$501,MATCH($B61,_RefTable!$C$2:$C$501,0)),IFERROR(INDEX(_MainTable!$D$2:$D$2001,MATCH($B61,_MainTable!$F$2:$F$2001,0)),"")))))</f>
        <v/>
      </c>
      <c r="F61" s="19" t="str">
        <f aca="false">IF($B61="","",IFERROR(_xlfn.MINIFS('SC Change Orders'!$E$2:$E$501,'SC Change Orders'!$B$2:$B$501,$B61,'SC Change Orders'!$C$2:$C$501,"&gt;="&amp;Controls!$C$5,'SC Change Orders'!$C$2:$C$501,"&lt;="&amp;Controls!$C$6),0))</f>
        <v/>
      </c>
      <c r="G61" s="19" t="str">
        <f aca="false">IF($B61="","",SUMIFS('SC Change Orders'!$F$2:$F$501,'SC Change Orders'!$B$2:$B$501,$B61,'SC Change Orders'!$C$2:$C$501,"&gt;="&amp;Controls!$C$5,'SC Change Orders'!$C$2:$C$501,"&lt;="&amp;Controls!$C$6))</f>
        <v/>
      </c>
      <c r="H61" s="19" t="str">
        <f aca="false">IF($B61="","",$F61+$G61)</f>
        <v/>
      </c>
      <c r="I61" s="19" t="str">
        <f aca="false">IF($B61="","",SUMIFS(_MainTable!$K$2:$K$2001,_MainTable!$F$2:$F$2001,$B61,_MainTable!$G$2:$G$2001,"&gt;="&amp;Controls!$C$5,_MainTable!$G$2:$G$2001,"&lt;="&amp;Controls!$C$6))</f>
        <v/>
      </c>
      <c r="J61" s="20" t="str">
        <f aca="false">IF($B61="","",IFERROR($I61/$H61,0))</f>
        <v/>
      </c>
      <c r="K61" s="19" t="str">
        <f aca="false">IF($B61="","",$H61-$I61)</f>
        <v/>
      </c>
      <c r="L61" s="19" t="str">
        <f aca="false">IF($B61="","",IFERROR(SUMIFS(_MainTable!$K$2:$K$2001,_MainTable!$F$2:$F$2001,$B61,_MainTable!$G$2:$G$2001,"&gt;="&amp;Controls!$C$12,_MainTable!$G$2:$G$2001,"&lt;="&amp;EOMONTH(Controls!$C$7,0))/MIN(Controls!$C$9,Controls!$C$10),0))</f>
        <v/>
      </c>
      <c r="M61" s="19" t="str">
        <f aca="false">IF($B61="","",$L61*Controls!$C$11)</f>
        <v/>
      </c>
      <c r="N61" s="19" t="str">
        <f aca="false">IF($B61="","",$I61+$M61)</f>
        <v/>
      </c>
      <c r="O61" s="20" t="str">
        <f aca="false">IF($B61="","",IFERROR($N61/$H61,0))</f>
        <v/>
      </c>
      <c r="P61" s="19" t="str">
        <f aca="false">IF($B61="","",$H61-$N61)</f>
        <v/>
      </c>
      <c r="Q61" s="21" t="str">
        <f aca="false">IF($B61="","",IF($L61&lt;=0,"n/a",IFERROR($K61/$L61,"n/a")))</f>
        <v/>
      </c>
      <c r="R61" s="22" t="str">
        <f aca="false">IF($B61="","",IF(AND($H61=0,$I61=0),"⚪ No Activity",IF(AND($H61=0,COUNTIFS('SC Change Orders'!$B$2:$B$501,$B61,'SC Change Orders'!$C$2:$C$501,"&gt;="&amp;Controls!$C$5,'SC Change Orders'!$C$2:$C$501,"&lt;="&amp;Controls!$C$6)=0),"⚪ No Funding on File",IF($H61=0,"🔴 Unfunded Spend",IF($I61&gt;=$H61,"🔴 Over Budget",IF($N61&gt;$H61,"🔴 Projected Shortfall",IF($J61&gt;=Controls!$C$8,"🟡 Watch","🟢 On Track")))))))</f>
        <v/>
      </c>
    </row>
    <row r="62" customFormat="false" ht="15" hidden="false" customHeight="false" outlineLevel="0" collapsed="false">
      <c r="A62" s="17" t="str">
        <f aca="false">IF($B62="","",IF((IFERROR(INDEX(_RefTable!$A$2:$A$501,MATCH($B62,_RefTable!$C$2:$C$501,0)),IFERROR(INDEX(_MainTable!$A$2:$A$2001,MATCH($B62,_MainTable!$F$2:$F$2001,0)),IFERROR(INDEX('SC Change Orders'!$A$2:$A$501,MATCH($B62,'SC Change Orders'!$B$2:$B$501,0)),"(unknown vendor)"))))&amp;""="","—",(IFERROR(INDEX(_RefTable!$A$2:$A$501,MATCH($B62,_RefTable!$C$2:$C$501,0)),IFERROR(INDEX(_MainTable!$A$2:$A$2001,MATCH($B62,_MainTable!$F$2:$F$2001,0)),IFERROR(INDEX('SC Change Orders'!$A$2:$A$501,MATCH($B62,'SC Change Orders'!$B$2:$B$501,0)),"(unknown vendor)"))))))</f>
        <v/>
      </c>
      <c r="B62" s="18" t="str">
        <f aca="false">IFERROR(INDEX('PO Index'!$B$5:$B$84,58),"")</f>
        <v/>
      </c>
      <c r="C62" s="17" t="str">
        <f aca="false">IF($B62="","",IF((IFERROR(INDEX(_RefTable!$B$2:$B$501,MATCH($B62,_RefTable!$C$2:$C$501,0))&amp;IF(COUNTIF(_RefTable!$C$2:$C$501,$B62)&gt;1," (+"&amp;COUNTIF(_RefTable!$C$2:$C$501,$B62)-1&amp;" more)",""),IFERROR(INDEX(_MainTable!$B$2:$B$2001,MATCH($B62,_MainTable!$F$2:$F$2001,0)),"")))&amp;""="","—",(IFERROR(INDEX(_RefTable!$B$2:$B$501,MATCH($B62,_RefTable!$C$2:$C$501,0))&amp;IF(COUNTIF(_RefTable!$C$2:$C$501,$B62)&gt;1," (+"&amp;COUNTIF(_RefTable!$C$2:$C$501,$B62)-1&amp;" more)",""),IFERROR(INDEX(_MainTable!$B$2:$B$2001,MATCH($B62,_MainTable!$F$2:$F$2001,0)),"")))))</f>
        <v/>
      </c>
      <c r="D62" s="17" t="str">
        <f aca="false">IF($B62="","",IF((IFERROR(INDEX(_RefTable!$E$2:$E$501,MATCH($B62,_RefTable!$C$2:$C$501,0)),IFERROR(INDEX(_MainTable!$C$2:$C$2001,MATCH($B62,_MainTable!$F$2:$F$2001,0)),"")))&amp;""="","—",(IFERROR(INDEX(_RefTable!$E$2:$E$501,MATCH($B62,_RefTable!$C$2:$C$501,0)),IFERROR(INDEX(_MainTable!$C$2:$C$2001,MATCH($B62,_MainTable!$F$2:$F$2001,0)),"")))))</f>
        <v/>
      </c>
      <c r="E62" s="17" t="str">
        <f aca="false">IF($B62="","",IF((IFERROR(INDEX(_RefTable!$F$2:$F$501,MATCH($B62,_RefTable!$C$2:$C$501,0)),IFERROR(INDEX(_MainTable!$D$2:$D$2001,MATCH($B62,_MainTable!$F$2:$F$2001,0)),"")))&amp;""="","—",(IFERROR(INDEX(_RefTable!$F$2:$F$501,MATCH($B62,_RefTable!$C$2:$C$501,0)),IFERROR(INDEX(_MainTable!$D$2:$D$2001,MATCH($B62,_MainTable!$F$2:$F$2001,0)),"")))))</f>
        <v/>
      </c>
      <c r="F62" s="19" t="str">
        <f aca="false">IF($B62="","",IFERROR(_xlfn.MINIFS('SC Change Orders'!$E$2:$E$501,'SC Change Orders'!$B$2:$B$501,$B62,'SC Change Orders'!$C$2:$C$501,"&gt;="&amp;Controls!$C$5,'SC Change Orders'!$C$2:$C$501,"&lt;="&amp;Controls!$C$6),0))</f>
        <v/>
      </c>
      <c r="G62" s="19" t="str">
        <f aca="false">IF($B62="","",SUMIFS('SC Change Orders'!$F$2:$F$501,'SC Change Orders'!$B$2:$B$501,$B62,'SC Change Orders'!$C$2:$C$501,"&gt;="&amp;Controls!$C$5,'SC Change Orders'!$C$2:$C$501,"&lt;="&amp;Controls!$C$6))</f>
        <v/>
      </c>
      <c r="H62" s="19" t="str">
        <f aca="false">IF($B62="","",$F62+$G62)</f>
        <v/>
      </c>
      <c r="I62" s="19" t="str">
        <f aca="false">IF($B62="","",SUMIFS(_MainTable!$K$2:$K$2001,_MainTable!$F$2:$F$2001,$B62,_MainTable!$G$2:$G$2001,"&gt;="&amp;Controls!$C$5,_MainTable!$G$2:$G$2001,"&lt;="&amp;Controls!$C$6))</f>
        <v/>
      </c>
      <c r="J62" s="20" t="str">
        <f aca="false">IF($B62="","",IFERROR($I62/$H62,0))</f>
        <v/>
      </c>
      <c r="K62" s="19" t="str">
        <f aca="false">IF($B62="","",$H62-$I62)</f>
        <v/>
      </c>
      <c r="L62" s="19" t="str">
        <f aca="false">IF($B62="","",IFERROR(SUMIFS(_MainTable!$K$2:$K$2001,_MainTable!$F$2:$F$2001,$B62,_MainTable!$G$2:$G$2001,"&gt;="&amp;Controls!$C$12,_MainTable!$G$2:$G$2001,"&lt;="&amp;EOMONTH(Controls!$C$7,0))/MIN(Controls!$C$9,Controls!$C$10),0))</f>
        <v/>
      </c>
      <c r="M62" s="19" t="str">
        <f aca="false">IF($B62="","",$L62*Controls!$C$11)</f>
        <v/>
      </c>
      <c r="N62" s="19" t="str">
        <f aca="false">IF($B62="","",$I62+$M62)</f>
        <v/>
      </c>
      <c r="O62" s="20" t="str">
        <f aca="false">IF($B62="","",IFERROR($N62/$H62,0))</f>
        <v/>
      </c>
      <c r="P62" s="19" t="str">
        <f aca="false">IF($B62="","",$H62-$N62)</f>
        <v/>
      </c>
      <c r="Q62" s="21" t="str">
        <f aca="false">IF($B62="","",IF($L62&lt;=0,"n/a",IFERROR($K62/$L62,"n/a")))</f>
        <v/>
      </c>
      <c r="R62" s="22" t="str">
        <f aca="false">IF($B62="","",IF(AND($H62=0,$I62=0),"⚪ No Activity",IF(AND($H62=0,COUNTIFS('SC Change Orders'!$B$2:$B$501,$B62,'SC Change Orders'!$C$2:$C$501,"&gt;="&amp;Controls!$C$5,'SC Change Orders'!$C$2:$C$501,"&lt;="&amp;Controls!$C$6)=0),"⚪ No Funding on File",IF($H62=0,"🔴 Unfunded Spend",IF($I62&gt;=$H62,"🔴 Over Budget",IF($N62&gt;$H62,"🔴 Projected Shortfall",IF($J62&gt;=Controls!$C$8,"🟡 Watch","🟢 On Track")))))))</f>
        <v/>
      </c>
    </row>
    <row r="63" customFormat="false" ht="15" hidden="false" customHeight="false" outlineLevel="0" collapsed="false">
      <c r="A63" s="17" t="str">
        <f aca="false">IF($B63="","",IF((IFERROR(INDEX(_RefTable!$A$2:$A$501,MATCH($B63,_RefTable!$C$2:$C$501,0)),IFERROR(INDEX(_MainTable!$A$2:$A$2001,MATCH($B63,_MainTable!$F$2:$F$2001,0)),IFERROR(INDEX('SC Change Orders'!$A$2:$A$501,MATCH($B63,'SC Change Orders'!$B$2:$B$501,0)),"(unknown vendor)"))))&amp;""="","—",(IFERROR(INDEX(_RefTable!$A$2:$A$501,MATCH($B63,_RefTable!$C$2:$C$501,0)),IFERROR(INDEX(_MainTable!$A$2:$A$2001,MATCH($B63,_MainTable!$F$2:$F$2001,0)),IFERROR(INDEX('SC Change Orders'!$A$2:$A$501,MATCH($B63,'SC Change Orders'!$B$2:$B$501,0)),"(unknown vendor)"))))))</f>
        <v/>
      </c>
      <c r="B63" s="18" t="str">
        <f aca="false">IFERROR(INDEX('PO Index'!$B$5:$B$84,59),"")</f>
        <v/>
      </c>
      <c r="C63" s="17" t="str">
        <f aca="false">IF($B63="","",IF((IFERROR(INDEX(_RefTable!$B$2:$B$501,MATCH($B63,_RefTable!$C$2:$C$501,0))&amp;IF(COUNTIF(_RefTable!$C$2:$C$501,$B63)&gt;1," (+"&amp;COUNTIF(_RefTable!$C$2:$C$501,$B63)-1&amp;" more)",""),IFERROR(INDEX(_MainTable!$B$2:$B$2001,MATCH($B63,_MainTable!$F$2:$F$2001,0)),"")))&amp;""="","—",(IFERROR(INDEX(_RefTable!$B$2:$B$501,MATCH($B63,_RefTable!$C$2:$C$501,0))&amp;IF(COUNTIF(_RefTable!$C$2:$C$501,$B63)&gt;1," (+"&amp;COUNTIF(_RefTable!$C$2:$C$501,$B63)-1&amp;" more)",""),IFERROR(INDEX(_MainTable!$B$2:$B$2001,MATCH($B63,_MainTable!$F$2:$F$2001,0)),"")))))</f>
        <v/>
      </c>
      <c r="D63" s="17" t="str">
        <f aca="false">IF($B63="","",IF((IFERROR(INDEX(_RefTable!$E$2:$E$501,MATCH($B63,_RefTable!$C$2:$C$501,0)),IFERROR(INDEX(_MainTable!$C$2:$C$2001,MATCH($B63,_MainTable!$F$2:$F$2001,0)),"")))&amp;""="","—",(IFERROR(INDEX(_RefTable!$E$2:$E$501,MATCH($B63,_RefTable!$C$2:$C$501,0)),IFERROR(INDEX(_MainTable!$C$2:$C$2001,MATCH($B63,_MainTable!$F$2:$F$2001,0)),"")))))</f>
        <v/>
      </c>
      <c r="E63" s="17" t="str">
        <f aca="false">IF($B63="","",IF((IFERROR(INDEX(_RefTable!$F$2:$F$501,MATCH($B63,_RefTable!$C$2:$C$501,0)),IFERROR(INDEX(_MainTable!$D$2:$D$2001,MATCH($B63,_MainTable!$F$2:$F$2001,0)),"")))&amp;""="","—",(IFERROR(INDEX(_RefTable!$F$2:$F$501,MATCH($B63,_RefTable!$C$2:$C$501,0)),IFERROR(INDEX(_MainTable!$D$2:$D$2001,MATCH($B63,_MainTable!$F$2:$F$2001,0)),"")))))</f>
        <v/>
      </c>
      <c r="F63" s="19" t="str">
        <f aca="false">IF($B63="","",IFERROR(_xlfn.MINIFS('SC Change Orders'!$E$2:$E$501,'SC Change Orders'!$B$2:$B$501,$B63,'SC Change Orders'!$C$2:$C$501,"&gt;="&amp;Controls!$C$5,'SC Change Orders'!$C$2:$C$501,"&lt;="&amp;Controls!$C$6),0))</f>
        <v/>
      </c>
      <c r="G63" s="19" t="str">
        <f aca="false">IF($B63="","",SUMIFS('SC Change Orders'!$F$2:$F$501,'SC Change Orders'!$B$2:$B$501,$B63,'SC Change Orders'!$C$2:$C$501,"&gt;="&amp;Controls!$C$5,'SC Change Orders'!$C$2:$C$501,"&lt;="&amp;Controls!$C$6))</f>
        <v/>
      </c>
      <c r="H63" s="19" t="str">
        <f aca="false">IF($B63="","",$F63+$G63)</f>
        <v/>
      </c>
      <c r="I63" s="19" t="str">
        <f aca="false">IF($B63="","",SUMIFS(_MainTable!$K$2:$K$2001,_MainTable!$F$2:$F$2001,$B63,_MainTable!$G$2:$G$2001,"&gt;="&amp;Controls!$C$5,_MainTable!$G$2:$G$2001,"&lt;="&amp;Controls!$C$6))</f>
        <v/>
      </c>
      <c r="J63" s="20" t="str">
        <f aca="false">IF($B63="","",IFERROR($I63/$H63,0))</f>
        <v/>
      </c>
      <c r="K63" s="19" t="str">
        <f aca="false">IF($B63="","",$H63-$I63)</f>
        <v/>
      </c>
      <c r="L63" s="19" t="str">
        <f aca="false">IF($B63="","",IFERROR(SUMIFS(_MainTable!$K$2:$K$2001,_MainTable!$F$2:$F$2001,$B63,_MainTable!$G$2:$G$2001,"&gt;="&amp;Controls!$C$12,_MainTable!$G$2:$G$2001,"&lt;="&amp;EOMONTH(Controls!$C$7,0))/MIN(Controls!$C$9,Controls!$C$10),0))</f>
        <v/>
      </c>
      <c r="M63" s="19" t="str">
        <f aca="false">IF($B63="","",$L63*Controls!$C$11)</f>
        <v/>
      </c>
      <c r="N63" s="19" t="str">
        <f aca="false">IF($B63="","",$I63+$M63)</f>
        <v/>
      </c>
      <c r="O63" s="20" t="str">
        <f aca="false">IF($B63="","",IFERROR($N63/$H63,0))</f>
        <v/>
      </c>
      <c r="P63" s="19" t="str">
        <f aca="false">IF($B63="","",$H63-$N63)</f>
        <v/>
      </c>
      <c r="Q63" s="21" t="str">
        <f aca="false">IF($B63="","",IF($L63&lt;=0,"n/a",IFERROR($K63/$L63,"n/a")))</f>
        <v/>
      </c>
      <c r="R63" s="22" t="str">
        <f aca="false">IF($B63="","",IF(AND($H63=0,$I63=0),"⚪ No Activity",IF(AND($H63=0,COUNTIFS('SC Change Orders'!$B$2:$B$501,$B63,'SC Change Orders'!$C$2:$C$501,"&gt;="&amp;Controls!$C$5,'SC Change Orders'!$C$2:$C$501,"&lt;="&amp;Controls!$C$6)=0),"⚪ No Funding on File",IF($H63=0,"🔴 Unfunded Spend",IF($I63&gt;=$H63,"🔴 Over Budget",IF($N63&gt;$H63,"🔴 Projected Shortfall",IF($J63&gt;=Controls!$C$8,"🟡 Watch","🟢 On Track")))))))</f>
        <v/>
      </c>
    </row>
    <row r="64" customFormat="false" ht="15" hidden="false" customHeight="false" outlineLevel="0" collapsed="false">
      <c r="A64" s="17" t="str">
        <f aca="false">IF($B64="","",IF((IFERROR(INDEX(_RefTable!$A$2:$A$501,MATCH($B64,_RefTable!$C$2:$C$501,0)),IFERROR(INDEX(_MainTable!$A$2:$A$2001,MATCH($B64,_MainTable!$F$2:$F$2001,0)),IFERROR(INDEX('SC Change Orders'!$A$2:$A$501,MATCH($B64,'SC Change Orders'!$B$2:$B$501,0)),"(unknown vendor)"))))&amp;""="","—",(IFERROR(INDEX(_RefTable!$A$2:$A$501,MATCH($B64,_RefTable!$C$2:$C$501,0)),IFERROR(INDEX(_MainTable!$A$2:$A$2001,MATCH($B64,_MainTable!$F$2:$F$2001,0)),IFERROR(INDEX('SC Change Orders'!$A$2:$A$501,MATCH($B64,'SC Change Orders'!$B$2:$B$501,0)),"(unknown vendor)"))))))</f>
        <v/>
      </c>
      <c r="B64" s="18" t="str">
        <f aca="false">IFERROR(INDEX('PO Index'!$B$5:$B$84,60),"")</f>
        <v/>
      </c>
      <c r="C64" s="17" t="str">
        <f aca="false">IF($B64="","",IF((IFERROR(INDEX(_RefTable!$B$2:$B$501,MATCH($B64,_RefTable!$C$2:$C$501,0))&amp;IF(COUNTIF(_RefTable!$C$2:$C$501,$B64)&gt;1," (+"&amp;COUNTIF(_RefTable!$C$2:$C$501,$B64)-1&amp;" more)",""),IFERROR(INDEX(_MainTable!$B$2:$B$2001,MATCH($B64,_MainTable!$F$2:$F$2001,0)),"")))&amp;""="","—",(IFERROR(INDEX(_RefTable!$B$2:$B$501,MATCH($B64,_RefTable!$C$2:$C$501,0))&amp;IF(COUNTIF(_RefTable!$C$2:$C$501,$B64)&gt;1," (+"&amp;COUNTIF(_RefTable!$C$2:$C$501,$B64)-1&amp;" more)",""),IFERROR(INDEX(_MainTable!$B$2:$B$2001,MATCH($B64,_MainTable!$F$2:$F$2001,0)),"")))))</f>
        <v/>
      </c>
      <c r="D64" s="17" t="str">
        <f aca="false">IF($B64="","",IF((IFERROR(INDEX(_RefTable!$E$2:$E$501,MATCH($B64,_RefTable!$C$2:$C$501,0)),IFERROR(INDEX(_MainTable!$C$2:$C$2001,MATCH($B64,_MainTable!$F$2:$F$2001,0)),"")))&amp;""="","—",(IFERROR(INDEX(_RefTable!$E$2:$E$501,MATCH($B64,_RefTable!$C$2:$C$501,0)),IFERROR(INDEX(_MainTable!$C$2:$C$2001,MATCH($B64,_MainTable!$F$2:$F$2001,0)),"")))))</f>
        <v/>
      </c>
      <c r="E64" s="17" t="str">
        <f aca="false">IF($B64="","",IF((IFERROR(INDEX(_RefTable!$F$2:$F$501,MATCH($B64,_RefTable!$C$2:$C$501,0)),IFERROR(INDEX(_MainTable!$D$2:$D$2001,MATCH($B64,_MainTable!$F$2:$F$2001,0)),"")))&amp;""="","—",(IFERROR(INDEX(_RefTable!$F$2:$F$501,MATCH($B64,_RefTable!$C$2:$C$501,0)),IFERROR(INDEX(_MainTable!$D$2:$D$2001,MATCH($B64,_MainTable!$F$2:$F$2001,0)),"")))))</f>
        <v/>
      </c>
      <c r="F64" s="19" t="str">
        <f aca="false">IF($B64="","",IFERROR(_xlfn.MINIFS('SC Change Orders'!$E$2:$E$501,'SC Change Orders'!$B$2:$B$501,$B64,'SC Change Orders'!$C$2:$C$501,"&gt;="&amp;Controls!$C$5,'SC Change Orders'!$C$2:$C$501,"&lt;="&amp;Controls!$C$6),0))</f>
        <v/>
      </c>
      <c r="G64" s="19" t="str">
        <f aca="false">IF($B64="","",SUMIFS('SC Change Orders'!$F$2:$F$501,'SC Change Orders'!$B$2:$B$501,$B64,'SC Change Orders'!$C$2:$C$501,"&gt;="&amp;Controls!$C$5,'SC Change Orders'!$C$2:$C$501,"&lt;="&amp;Controls!$C$6))</f>
        <v/>
      </c>
      <c r="H64" s="19" t="str">
        <f aca="false">IF($B64="","",$F64+$G64)</f>
        <v/>
      </c>
      <c r="I64" s="19" t="str">
        <f aca="false">IF($B64="","",SUMIFS(_MainTable!$K$2:$K$2001,_MainTable!$F$2:$F$2001,$B64,_MainTable!$G$2:$G$2001,"&gt;="&amp;Controls!$C$5,_MainTable!$G$2:$G$2001,"&lt;="&amp;Controls!$C$6))</f>
        <v/>
      </c>
      <c r="J64" s="20" t="str">
        <f aca="false">IF($B64="","",IFERROR($I64/$H64,0))</f>
        <v/>
      </c>
      <c r="K64" s="19" t="str">
        <f aca="false">IF($B64="","",$H64-$I64)</f>
        <v/>
      </c>
      <c r="L64" s="19" t="str">
        <f aca="false">IF($B64="","",IFERROR(SUMIFS(_MainTable!$K$2:$K$2001,_MainTable!$F$2:$F$2001,$B64,_MainTable!$G$2:$G$2001,"&gt;="&amp;Controls!$C$12,_MainTable!$G$2:$G$2001,"&lt;="&amp;EOMONTH(Controls!$C$7,0))/MIN(Controls!$C$9,Controls!$C$10),0))</f>
        <v/>
      </c>
      <c r="M64" s="19" t="str">
        <f aca="false">IF($B64="","",$L64*Controls!$C$11)</f>
        <v/>
      </c>
      <c r="N64" s="19" t="str">
        <f aca="false">IF($B64="","",$I64+$M64)</f>
        <v/>
      </c>
      <c r="O64" s="20" t="str">
        <f aca="false">IF($B64="","",IFERROR($N64/$H64,0))</f>
        <v/>
      </c>
      <c r="P64" s="19" t="str">
        <f aca="false">IF($B64="","",$H64-$N64)</f>
        <v/>
      </c>
      <c r="Q64" s="21" t="str">
        <f aca="false">IF($B64="","",IF($L64&lt;=0,"n/a",IFERROR($K64/$L64,"n/a")))</f>
        <v/>
      </c>
      <c r="R64" s="22" t="str">
        <f aca="false">IF($B64="","",IF(AND($H64=0,$I64=0),"⚪ No Activity",IF(AND($H64=0,COUNTIFS('SC Change Orders'!$B$2:$B$501,$B64,'SC Change Orders'!$C$2:$C$501,"&gt;="&amp;Controls!$C$5,'SC Change Orders'!$C$2:$C$501,"&lt;="&amp;Controls!$C$6)=0),"⚪ No Funding on File",IF($H64=0,"🔴 Unfunded Spend",IF($I64&gt;=$H64,"🔴 Over Budget",IF($N64&gt;$H64,"🔴 Projected Shortfall",IF($J64&gt;=Controls!$C$8,"🟡 Watch","🟢 On Track")))))))</f>
        <v/>
      </c>
    </row>
    <row r="65" customFormat="false" ht="15" hidden="false" customHeight="false" outlineLevel="0" collapsed="false">
      <c r="A65" s="17" t="str">
        <f aca="false">IF($B65="","",IF((IFERROR(INDEX(_RefTable!$A$2:$A$501,MATCH($B65,_RefTable!$C$2:$C$501,0)),IFERROR(INDEX(_MainTable!$A$2:$A$2001,MATCH($B65,_MainTable!$F$2:$F$2001,0)),IFERROR(INDEX('SC Change Orders'!$A$2:$A$501,MATCH($B65,'SC Change Orders'!$B$2:$B$501,0)),"(unknown vendor)"))))&amp;""="","—",(IFERROR(INDEX(_RefTable!$A$2:$A$501,MATCH($B65,_RefTable!$C$2:$C$501,0)),IFERROR(INDEX(_MainTable!$A$2:$A$2001,MATCH($B65,_MainTable!$F$2:$F$2001,0)),IFERROR(INDEX('SC Change Orders'!$A$2:$A$501,MATCH($B65,'SC Change Orders'!$B$2:$B$501,0)),"(unknown vendor)"))))))</f>
        <v/>
      </c>
      <c r="B65" s="18" t="str">
        <f aca="false">IFERROR(INDEX('PO Index'!$B$5:$B$84,61),"")</f>
        <v/>
      </c>
      <c r="C65" s="17" t="str">
        <f aca="false">IF($B65="","",IF((IFERROR(INDEX(_RefTable!$B$2:$B$501,MATCH($B65,_RefTable!$C$2:$C$501,0))&amp;IF(COUNTIF(_RefTable!$C$2:$C$501,$B65)&gt;1," (+"&amp;COUNTIF(_RefTable!$C$2:$C$501,$B65)-1&amp;" more)",""),IFERROR(INDEX(_MainTable!$B$2:$B$2001,MATCH($B65,_MainTable!$F$2:$F$2001,0)),"")))&amp;""="","—",(IFERROR(INDEX(_RefTable!$B$2:$B$501,MATCH($B65,_RefTable!$C$2:$C$501,0))&amp;IF(COUNTIF(_RefTable!$C$2:$C$501,$B65)&gt;1," (+"&amp;COUNTIF(_RefTable!$C$2:$C$501,$B65)-1&amp;" more)",""),IFERROR(INDEX(_MainTable!$B$2:$B$2001,MATCH($B65,_MainTable!$F$2:$F$2001,0)),"")))))</f>
        <v/>
      </c>
      <c r="D65" s="17" t="str">
        <f aca="false">IF($B65="","",IF((IFERROR(INDEX(_RefTable!$E$2:$E$501,MATCH($B65,_RefTable!$C$2:$C$501,0)),IFERROR(INDEX(_MainTable!$C$2:$C$2001,MATCH($B65,_MainTable!$F$2:$F$2001,0)),"")))&amp;""="","—",(IFERROR(INDEX(_RefTable!$E$2:$E$501,MATCH($B65,_RefTable!$C$2:$C$501,0)),IFERROR(INDEX(_MainTable!$C$2:$C$2001,MATCH($B65,_MainTable!$F$2:$F$2001,0)),"")))))</f>
        <v/>
      </c>
      <c r="E65" s="17" t="str">
        <f aca="false">IF($B65="","",IF((IFERROR(INDEX(_RefTable!$F$2:$F$501,MATCH($B65,_RefTable!$C$2:$C$501,0)),IFERROR(INDEX(_MainTable!$D$2:$D$2001,MATCH($B65,_MainTable!$F$2:$F$2001,0)),"")))&amp;""="","—",(IFERROR(INDEX(_RefTable!$F$2:$F$501,MATCH($B65,_RefTable!$C$2:$C$501,0)),IFERROR(INDEX(_MainTable!$D$2:$D$2001,MATCH($B65,_MainTable!$F$2:$F$2001,0)),"")))))</f>
        <v/>
      </c>
      <c r="F65" s="19" t="str">
        <f aca="false">IF($B65="","",IFERROR(_xlfn.MINIFS('SC Change Orders'!$E$2:$E$501,'SC Change Orders'!$B$2:$B$501,$B65,'SC Change Orders'!$C$2:$C$501,"&gt;="&amp;Controls!$C$5,'SC Change Orders'!$C$2:$C$501,"&lt;="&amp;Controls!$C$6),0))</f>
        <v/>
      </c>
      <c r="G65" s="19" t="str">
        <f aca="false">IF($B65="","",SUMIFS('SC Change Orders'!$F$2:$F$501,'SC Change Orders'!$B$2:$B$501,$B65,'SC Change Orders'!$C$2:$C$501,"&gt;="&amp;Controls!$C$5,'SC Change Orders'!$C$2:$C$501,"&lt;="&amp;Controls!$C$6))</f>
        <v/>
      </c>
      <c r="H65" s="19" t="str">
        <f aca="false">IF($B65="","",$F65+$G65)</f>
        <v/>
      </c>
      <c r="I65" s="19" t="str">
        <f aca="false">IF($B65="","",SUMIFS(_MainTable!$K$2:$K$2001,_MainTable!$F$2:$F$2001,$B65,_MainTable!$G$2:$G$2001,"&gt;="&amp;Controls!$C$5,_MainTable!$G$2:$G$2001,"&lt;="&amp;Controls!$C$6))</f>
        <v/>
      </c>
      <c r="J65" s="20" t="str">
        <f aca="false">IF($B65="","",IFERROR($I65/$H65,0))</f>
        <v/>
      </c>
      <c r="K65" s="19" t="str">
        <f aca="false">IF($B65="","",$H65-$I65)</f>
        <v/>
      </c>
      <c r="L65" s="19" t="str">
        <f aca="false">IF($B65="","",IFERROR(SUMIFS(_MainTable!$K$2:$K$2001,_MainTable!$F$2:$F$2001,$B65,_MainTable!$G$2:$G$2001,"&gt;="&amp;Controls!$C$12,_MainTable!$G$2:$G$2001,"&lt;="&amp;EOMONTH(Controls!$C$7,0))/MIN(Controls!$C$9,Controls!$C$10),0))</f>
        <v/>
      </c>
      <c r="M65" s="19" t="str">
        <f aca="false">IF($B65="","",$L65*Controls!$C$11)</f>
        <v/>
      </c>
      <c r="N65" s="19" t="str">
        <f aca="false">IF($B65="","",$I65+$M65)</f>
        <v/>
      </c>
      <c r="O65" s="20" t="str">
        <f aca="false">IF($B65="","",IFERROR($N65/$H65,0))</f>
        <v/>
      </c>
      <c r="P65" s="19" t="str">
        <f aca="false">IF($B65="","",$H65-$N65)</f>
        <v/>
      </c>
      <c r="Q65" s="21" t="str">
        <f aca="false">IF($B65="","",IF($L65&lt;=0,"n/a",IFERROR($K65/$L65,"n/a")))</f>
        <v/>
      </c>
      <c r="R65" s="22" t="str">
        <f aca="false">IF($B65="","",IF(AND($H65=0,$I65=0),"⚪ No Activity",IF(AND($H65=0,COUNTIFS('SC Change Orders'!$B$2:$B$501,$B65,'SC Change Orders'!$C$2:$C$501,"&gt;="&amp;Controls!$C$5,'SC Change Orders'!$C$2:$C$501,"&lt;="&amp;Controls!$C$6)=0),"⚪ No Funding on File",IF($H65=0,"🔴 Unfunded Spend",IF($I65&gt;=$H65,"🔴 Over Budget",IF($N65&gt;$H65,"🔴 Projected Shortfall",IF($J65&gt;=Controls!$C$8,"🟡 Watch","🟢 On Track")))))))</f>
        <v/>
      </c>
    </row>
    <row r="66" customFormat="false" ht="15" hidden="false" customHeight="false" outlineLevel="0" collapsed="false">
      <c r="A66" s="17" t="str">
        <f aca="false">IF($B66="","",IF((IFERROR(INDEX(_RefTable!$A$2:$A$501,MATCH($B66,_RefTable!$C$2:$C$501,0)),IFERROR(INDEX(_MainTable!$A$2:$A$2001,MATCH($B66,_MainTable!$F$2:$F$2001,0)),IFERROR(INDEX('SC Change Orders'!$A$2:$A$501,MATCH($B66,'SC Change Orders'!$B$2:$B$501,0)),"(unknown vendor)"))))&amp;""="","—",(IFERROR(INDEX(_RefTable!$A$2:$A$501,MATCH($B66,_RefTable!$C$2:$C$501,0)),IFERROR(INDEX(_MainTable!$A$2:$A$2001,MATCH($B66,_MainTable!$F$2:$F$2001,0)),IFERROR(INDEX('SC Change Orders'!$A$2:$A$501,MATCH($B66,'SC Change Orders'!$B$2:$B$501,0)),"(unknown vendor)"))))))</f>
        <v/>
      </c>
      <c r="B66" s="18" t="str">
        <f aca="false">IFERROR(INDEX('PO Index'!$B$5:$B$84,62),"")</f>
        <v/>
      </c>
      <c r="C66" s="17" t="str">
        <f aca="false">IF($B66="","",IF((IFERROR(INDEX(_RefTable!$B$2:$B$501,MATCH($B66,_RefTable!$C$2:$C$501,0))&amp;IF(COUNTIF(_RefTable!$C$2:$C$501,$B66)&gt;1," (+"&amp;COUNTIF(_RefTable!$C$2:$C$501,$B66)-1&amp;" more)",""),IFERROR(INDEX(_MainTable!$B$2:$B$2001,MATCH($B66,_MainTable!$F$2:$F$2001,0)),"")))&amp;""="","—",(IFERROR(INDEX(_RefTable!$B$2:$B$501,MATCH($B66,_RefTable!$C$2:$C$501,0))&amp;IF(COUNTIF(_RefTable!$C$2:$C$501,$B66)&gt;1," (+"&amp;COUNTIF(_RefTable!$C$2:$C$501,$B66)-1&amp;" more)",""),IFERROR(INDEX(_MainTable!$B$2:$B$2001,MATCH($B66,_MainTable!$F$2:$F$2001,0)),"")))))</f>
        <v/>
      </c>
      <c r="D66" s="17" t="str">
        <f aca="false">IF($B66="","",IF((IFERROR(INDEX(_RefTable!$E$2:$E$501,MATCH($B66,_RefTable!$C$2:$C$501,0)),IFERROR(INDEX(_MainTable!$C$2:$C$2001,MATCH($B66,_MainTable!$F$2:$F$2001,0)),"")))&amp;""="","—",(IFERROR(INDEX(_RefTable!$E$2:$E$501,MATCH($B66,_RefTable!$C$2:$C$501,0)),IFERROR(INDEX(_MainTable!$C$2:$C$2001,MATCH($B66,_MainTable!$F$2:$F$2001,0)),"")))))</f>
        <v/>
      </c>
      <c r="E66" s="17" t="str">
        <f aca="false">IF($B66="","",IF((IFERROR(INDEX(_RefTable!$F$2:$F$501,MATCH($B66,_RefTable!$C$2:$C$501,0)),IFERROR(INDEX(_MainTable!$D$2:$D$2001,MATCH($B66,_MainTable!$F$2:$F$2001,0)),"")))&amp;""="","—",(IFERROR(INDEX(_RefTable!$F$2:$F$501,MATCH($B66,_RefTable!$C$2:$C$501,0)),IFERROR(INDEX(_MainTable!$D$2:$D$2001,MATCH($B66,_MainTable!$F$2:$F$2001,0)),"")))))</f>
        <v/>
      </c>
      <c r="F66" s="19" t="str">
        <f aca="false">IF($B66="","",IFERROR(_xlfn.MINIFS('SC Change Orders'!$E$2:$E$501,'SC Change Orders'!$B$2:$B$501,$B66,'SC Change Orders'!$C$2:$C$501,"&gt;="&amp;Controls!$C$5,'SC Change Orders'!$C$2:$C$501,"&lt;="&amp;Controls!$C$6),0))</f>
        <v/>
      </c>
      <c r="G66" s="19" t="str">
        <f aca="false">IF($B66="","",SUMIFS('SC Change Orders'!$F$2:$F$501,'SC Change Orders'!$B$2:$B$501,$B66,'SC Change Orders'!$C$2:$C$501,"&gt;="&amp;Controls!$C$5,'SC Change Orders'!$C$2:$C$501,"&lt;="&amp;Controls!$C$6))</f>
        <v/>
      </c>
      <c r="H66" s="19" t="str">
        <f aca="false">IF($B66="","",$F66+$G66)</f>
        <v/>
      </c>
      <c r="I66" s="19" t="str">
        <f aca="false">IF($B66="","",SUMIFS(_MainTable!$K$2:$K$2001,_MainTable!$F$2:$F$2001,$B66,_MainTable!$G$2:$G$2001,"&gt;="&amp;Controls!$C$5,_MainTable!$G$2:$G$2001,"&lt;="&amp;Controls!$C$6))</f>
        <v/>
      </c>
      <c r="J66" s="20" t="str">
        <f aca="false">IF($B66="","",IFERROR($I66/$H66,0))</f>
        <v/>
      </c>
      <c r="K66" s="19" t="str">
        <f aca="false">IF($B66="","",$H66-$I66)</f>
        <v/>
      </c>
      <c r="L66" s="19" t="str">
        <f aca="false">IF($B66="","",IFERROR(SUMIFS(_MainTable!$K$2:$K$2001,_MainTable!$F$2:$F$2001,$B66,_MainTable!$G$2:$G$2001,"&gt;="&amp;Controls!$C$12,_MainTable!$G$2:$G$2001,"&lt;="&amp;EOMONTH(Controls!$C$7,0))/MIN(Controls!$C$9,Controls!$C$10),0))</f>
        <v/>
      </c>
      <c r="M66" s="19" t="str">
        <f aca="false">IF($B66="","",$L66*Controls!$C$11)</f>
        <v/>
      </c>
      <c r="N66" s="19" t="str">
        <f aca="false">IF($B66="","",$I66+$M66)</f>
        <v/>
      </c>
      <c r="O66" s="20" t="str">
        <f aca="false">IF($B66="","",IFERROR($N66/$H66,0))</f>
        <v/>
      </c>
      <c r="P66" s="19" t="str">
        <f aca="false">IF($B66="","",$H66-$N66)</f>
        <v/>
      </c>
      <c r="Q66" s="21" t="str">
        <f aca="false">IF($B66="","",IF($L66&lt;=0,"n/a",IFERROR($K66/$L66,"n/a")))</f>
        <v/>
      </c>
      <c r="R66" s="22" t="str">
        <f aca="false">IF($B66="","",IF(AND($H66=0,$I66=0),"⚪ No Activity",IF(AND($H66=0,COUNTIFS('SC Change Orders'!$B$2:$B$501,$B66,'SC Change Orders'!$C$2:$C$501,"&gt;="&amp;Controls!$C$5,'SC Change Orders'!$C$2:$C$501,"&lt;="&amp;Controls!$C$6)=0),"⚪ No Funding on File",IF($H66=0,"🔴 Unfunded Spend",IF($I66&gt;=$H66,"🔴 Over Budget",IF($N66&gt;$H66,"🔴 Projected Shortfall",IF($J66&gt;=Controls!$C$8,"🟡 Watch","🟢 On Track")))))))</f>
        <v/>
      </c>
    </row>
    <row r="67" customFormat="false" ht="15" hidden="false" customHeight="false" outlineLevel="0" collapsed="false">
      <c r="A67" s="17" t="str">
        <f aca="false">IF($B67="","",IF((IFERROR(INDEX(_RefTable!$A$2:$A$501,MATCH($B67,_RefTable!$C$2:$C$501,0)),IFERROR(INDEX(_MainTable!$A$2:$A$2001,MATCH($B67,_MainTable!$F$2:$F$2001,0)),IFERROR(INDEX('SC Change Orders'!$A$2:$A$501,MATCH($B67,'SC Change Orders'!$B$2:$B$501,0)),"(unknown vendor)"))))&amp;""="","—",(IFERROR(INDEX(_RefTable!$A$2:$A$501,MATCH($B67,_RefTable!$C$2:$C$501,0)),IFERROR(INDEX(_MainTable!$A$2:$A$2001,MATCH($B67,_MainTable!$F$2:$F$2001,0)),IFERROR(INDEX('SC Change Orders'!$A$2:$A$501,MATCH($B67,'SC Change Orders'!$B$2:$B$501,0)),"(unknown vendor)"))))))</f>
        <v/>
      </c>
      <c r="B67" s="18" t="str">
        <f aca="false">IFERROR(INDEX('PO Index'!$B$5:$B$84,63),"")</f>
        <v/>
      </c>
      <c r="C67" s="17" t="str">
        <f aca="false">IF($B67="","",IF((IFERROR(INDEX(_RefTable!$B$2:$B$501,MATCH($B67,_RefTable!$C$2:$C$501,0))&amp;IF(COUNTIF(_RefTable!$C$2:$C$501,$B67)&gt;1," (+"&amp;COUNTIF(_RefTable!$C$2:$C$501,$B67)-1&amp;" more)",""),IFERROR(INDEX(_MainTable!$B$2:$B$2001,MATCH($B67,_MainTable!$F$2:$F$2001,0)),"")))&amp;""="","—",(IFERROR(INDEX(_RefTable!$B$2:$B$501,MATCH($B67,_RefTable!$C$2:$C$501,0))&amp;IF(COUNTIF(_RefTable!$C$2:$C$501,$B67)&gt;1," (+"&amp;COUNTIF(_RefTable!$C$2:$C$501,$B67)-1&amp;" more)",""),IFERROR(INDEX(_MainTable!$B$2:$B$2001,MATCH($B67,_MainTable!$F$2:$F$2001,0)),"")))))</f>
        <v/>
      </c>
      <c r="D67" s="17" t="str">
        <f aca="false">IF($B67="","",IF((IFERROR(INDEX(_RefTable!$E$2:$E$501,MATCH($B67,_RefTable!$C$2:$C$501,0)),IFERROR(INDEX(_MainTable!$C$2:$C$2001,MATCH($B67,_MainTable!$F$2:$F$2001,0)),"")))&amp;""="","—",(IFERROR(INDEX(_RefTable!$E$2:$E$501,MATCH($B67,_RefTable!$C$2:$C$501,0)),IFERROR(INDEX(_MainTable!$C$2:$C$2001,MATCH($B67,_MainTable!$F$2:$F$2001,0)),"")))))</f>
        <v/>
      </c>
      <c r="E67" s="17" t="str">
        <f aca="false">IF($B67="","",IF((IFERROR(INDEX(_RefTable!$F$2:$F$501,MATCH($B67,_RefTable!$C$2:$C$501,0)),IFERROR(INDEX(_MainTable!$D$2:$D$2001,MATCH($B67,_MainTable!$F$2:$F$2001,0)),"")))&amp;""="","—",(IFERROR(INDEX(_RefTable!$F$2:$F$501,MATCH($B67,_RefTable!$C$2:$C$501,0)),IFERROR(INDEX(_MainTable!$D$2:$D$2001,MATCH($B67,_MainTable!$F$2:$F$2001,0)),"")))))</f>
        <v/>
      </c>
      <c r="F67" s="19" t="str">
        <f aca="false">IF($B67="","",IFERROR(_xlfn.MINIFS('SC Change Orders'!$E$2:$E$501,'SC Change Orders'!$B$2:$B$501,$B67,'SC Change Orders'!$C$2:$C$501,"&gt;="&amp;Controls!$C$5,'SC Change Orders'!$C$2:$C$501,"&lt;="&amp;Controls!$C$6),0))</f>
        <v/>
      </c>
      <c r="G67" s="19" t="str">
        <f aca="false">IF($B67="","",SUMIFS('SC Change Orders'!$F$2:$F$501,'SC Change Orders'!$B$2:$B$501,$B67,'SC Change Orders'!$C$2:$C$501,"&gt;="&amp;Controls!$C$5,'SC Change Orders'!$C$2:$C$501,"&lt;="&amp;Controls!$C$6))</f>
        <v/>
      </c>
      <c r="H67" s="19" t="str">
        <f aca="false">IF($B67="","",$F67+$G67)</f>
        <v/>
      </c>
      <c r="I67" s="19" t="str">
        <f aca="false">IF($B67="","",SUMIFS(_MainTable!$K$2:$K$2001,_MainTable!$F$2:$F$2001,$B67,_MainTable!$G$2:$G$2001,"&gt;="&amp;Controls!$C$5,_MainTable!$G$2:$G$2001,"&lt;="&amp;Controls!$C$6))</f>
        <v/>
      </c>
      <c r="J67" s="20" t="str">
        <f aca="false">IF($B67="","",IFERROR($I67/$H67,0))</f>
        <v/>
      </c>
      <c r="K67" s="19" t="str">
        <f aca="false">IF($B67="","",$H67-$I67)</f>
        <v/>
      </c>
      <c r="L67" s="19" t="str">
        <f aca="false">IF($B67="","",IFERROR(SUMIFS(_MainTable!$K$2:$K$2001,_MainTable!$F$2:$F$2001,$B67,_MainTable!$G$2:$G$2001,"&gt;="&amp;Controls!$C$12,_MainTable!$G$2:$G$2001,"&lt;="&amp;EOMONTH(Controls!$C$7,0))/MIN(Controls!$C$9,Controls!$C$10),0))</f>
        <v/>
      </c>
      <c r="M67" s="19" t="str">
        <f aca="false">IF($B67="","",$L67*Controls!$C$11)</f>
        <v/>
      </c>
      <c r="N67" s="19" t="str">
        <f aca="false">IF($B67="","",$I67+$M67)</f>
        <v/>
      </c>
      <c r="O67" s="20" t="str">
        <f aca="false">IF($B67="","",IFERROR($N67/$H67,0))</f>
        <v/>
      </c>
      <c r="P67" s="19" t="str">
        <f aca="false">IF($B67="","",$H67-$N67)</f>
        <v/>
      </c>
      <c r="Q67" s="21" t="str">
        <f aca="false">IF($B67="","",IF($L67&lt;=0,"n/a",IFERROR($K67/$L67,"n/a")))</f>
        <v/>
      </c>
      <c r="R67" s="22" t="str">
        <f aca="false">IF($B67="","",IF(AND($H67=0,$I67=0),"⚪ No Activity",IF(AND($H67=0,COUNTIFS('SC Change Orders'!$B$2:$B$501,$B67,'SC Change Orders'!$C$2:$C$501,"&gt;="&amp;Controls!$C$5,'SC Change Orders'!$C$2:$C$501,"&lt;="&amp;Controls!$C$6)=0),"⚪ No Funding on File",IF($H67=0,"🔴 Unfunded Spend",IF($I67&gt;=$H67,"🔴 Over Budget",IF($N67&gt;$H67,"🔴 Projected Shortfall",IF($J67&gt;=Controls!$C$8,"🟡 Watch","🟢 On Track")))))))</f>
        <v/>
      </c>
    </row>
    <row r="68" customFormat="false" ht="15" hidden="false" customHeight="false" outlineLevel="0" collapsed="false">
      <c r="A68" s="17" t="str">
        <f aca="false">IF($B68="","",IF((IFERROR(INDEX(_RefTable!$A$2:$A$501,MATCH($B68,_RefTable!$C$2:$C$501,0)),IFERROR(INDEX(_MainTable!$A$2:$A$2001,MATCH($B68,_MainTable!$F$2:$F$2001,0)),IFERROR(INDEX('SC Change Orders'!$A$2:$A$501,MATCH($B68,'SC Change Orders'!$B$2:$B$501,0)),"(unknown vendor)"))))&amp;""="","—",(IFERROR(INDEX(_RefTable!$A$2:$A$501,MATCH($B68,_RefTable!$C$2:$C$501,0)),IFERROR(INDEX(_MainTable!$A$2:$A$2001,MATCH($B68,_MainTable!$F$2:$F$2001,0)),IFERROR(INDEX('SC Change Orders'!$A$2:$A$501,MATCH($B68,'SC Change Orders'!$B$2:$B$501,0)),"(unknown vendor)"))))))</f>
        <v/>
      </c>
      <c r="B68" s="18" t="str">
        <f aca="false">IFERROR(INDEX('PO Index'!$B$5:$B$84,64),"")</f>
        <v/>
      </c>
      <c r="C68" s="17" t="str">
        <f aca="false">IF($B68="","",IF((IFERROR(INDEX(_RefTable!$B$2:$B$501,MATCH($B68,_RefTable!$C$2:$C$501,0))&amp;IF(COUNTIF(_RefTable!$C$2:$C$501,$B68)&gt;1," (+"&amp;COUNTIF(_RefTable!$C$2:$C$501,$B68)-1&amp;" more)",""),IFERROR(INDEX(_MainTable!$B$2:$B$2001,MATCH($B68,_MainTable!$F$2:$F$2001,0)),"")))&amp;""="","—",(IFERROR(INDEX(_RefTable!$B$2:$B$501,MATCH($B68,_RefTable!$C$2:$C$501,0))&amp;IF(COUNTIF(_RefTable!$C$2:$C$501,$B68)&gt;1," (+"&amp;COUNTIF(_RefTable!$C$2:$C$501,$B68)-1&amp;" more)",""),IFERROR(INDEX(_MainTable!$B$2:$B$2001,MATCH($B68,_MainTable!$F$2:$F$2001,0)),"")))))</f>
        <v/>
      </c>
      <c r="D68" s="17" t="str">
        <f aca="false">IF($B68="","",IF((IFERROR(INDEX(_RefTable!$E$2:$E$501,MATCH($B68,_RefTable!$C$2:$C$501,0)),IFERROR(INDEX(_MainTable!$C$2:$C$2001,MATCH($B68,_MainTable!$F$2:$F$2001,0)),"")))&amp;""="","—",(IFERROR(INDEX(_RefTable!$E$2:$E$501,MATCH($B68,_RefTable!$C$2:$C$501,0)),IFERROR(INDEX(_MainTable!$C$2:$C$2001,MATCH($B68,_MainTable!$F$2:$F$2001,0)),"")))))</f>
        <v/>
      </c>
      <c r="E68" s="17" t="str">
        <f aca="false">IF($B68="","",IF((IFERROR(INDEX(_RefTable!$F$2:$F$501,MATCH($B68,_RefTable!$C$2:$C$501,0)),IFERROR(INDEX(_MainTable!$D$2:$D$2001,MATCH($B68,_MainTable!$F$2:$F$2001,0)),"")))&amp;""="","—",(IFERROR(INDEX(_RefTable!$F$2:$F$501,MATCH($B68,_RefTable!$C$2:$C$501,0)),IFERROR(INDEX(_MainTable!$D$2:$D$2001,MATCH($B68,_MainTable!$F$2:$F$2001,0)),"")))))</f>
        <v/>
      </c>
      <c r="F68" s="19" t="str">
        <f aca="false">IF($B68="","",IFERROR(_xlfn.MINIFS('SC Change Orders'!$E$2:$E$501,'SC Change Orders'!$B$2:$B$501,$B68,'SC Change Orders'!$C$2:$C$501,"&gt;="&amp;Controls!$C$5,'SC Change Orders'!$C$2:$C$501,"&lt;="&amp;Controls!$C$6),0))</f>
        <v/>
      </c>
      <c r="G68" s="19" t="str">
        <f aca="false">IF($B68="","",SUMIFS('SC Change Orders'!$F$2:$F$501,'SC Change Orders'!$B$2:$B$501,$B68,'SC Change Orders'!$C$2:$C$501,"&gt;="&amp;Controls!$C$5,'SC Change Orders'!$C$2:$C$501,"&lt;="&amp;Controls!$C$6))</f>
        <v/>
      </c>
      <c r="H68" s="19" t="str">
        <f aca="false">IF($B68="","",$F68+$G68)</f>
        <v/>
      </c>
      <c r="I68" s="19" t="str">
        <f aca="false">IF($B68="","",SUMIFS(_MainTable!$K$2:$K$2001,_MainTable!$F$2:$F$2001,$B68,_MainTable!$G$2:$G$2001,"&gt;="&amp;Controls!$C$5,_MainTable!$G$2:$G$2001,"&lt;="&amp;Controls!$C$6))</f>
        <v/>
      </c>
      <c r="J68" s="20" t="str">
        <f aca="false">IF($B68="","",IFERROR($I68/$H68,0))</f>
        <v/>
      </c>
      <c r="K68" s="19" t="str">
        <f aca="false">IF($B68="","",$H68-$I68)</f>
        <v/>
      </c>
      <c r="L68" s="19" t="str">
        <f aca="false">IF($B68="","",IFERROR(SUMIFS(_MainTable!$K$2:$K$2001,_MainTable!$F$2:$F$2001,$B68,_MainTable!$G$2:$G$2001,"&gt;="&amp;Controls!$C$12,_MainTable!$G$2:$G$2001,"&lt;="&amp;EOMONTH(Controls!$C$7,0))/MIN(Controls!$C$9,Controls!$C$10),0))</f>
        <v/>
      </c>
      <c r="M68" s="19" t="str">
        <f aca="false">IF($B68="","",$L68*Controls!$C$11)</f>
        <v/>
      </c>
      <c r="N68" s="19" t="str">
        <f aca="false">IF($B68="","",$I68+$M68)</f>
        <v/>
      </c>
      <c r="O68" s="20" t="str">
        <f aca="false">IF($B68="","",IFERROR($N68/$H68,0))</f>
        <v/>
      </c>
      <c r="P68" s="19" t="str">
        <f aca="false">IF($B68="","",$H68-$N68)</f>
        <v/>
      </c>
      <c r="Q68" s="21" t="str">
        <f aca="false">IF($B68="","",IF($L68&lt;=0,"n/a",IFERROR($K68/$L68,"n/a")))</f>
        <v/>
      </c>
      <c r="R68" s="22" t="str">
        <f aca="false">IF($B68="","",IF(AND($H68=0,$I68=0),"⚪ No Activity",IF(AND($H68=0,COUNTIFS('SC Change Orders'!$B$2:$B$501,$B68,'SC Change Orders'!$C$2:$C$501,"&gt;="&amp;Controls!$C$5,'SC Change Orders'!$C$2:$C$501,"&lt;="&amp;Controls!$C$6)=0),"⚪ No Funding on File",IF($H68=0,"🔴 Unfunded Spend",IF($I68&gt;=$H68,"🔴 Over Budget",IF($N68&gt;$H68,"🔴 Projected Shortfall",IF($J68&gt;=Controls!$C$8,"🟡 Watch","🟢 On Track")))))))</f>
        <v/>
      </c>
    </row>
    <row r="69" customFormat="false" ht="15" hidden="false" customHeight="false" outlineLevel="0" collapsed="false">
      <c r="A69" s="17" t="str">
        <f aca="false">IF($B69="","",IF((IFERROR(INDEX(_RefTable!$A$2:$A$501,MATCH($B69,_RefTable!$C$2:$C$501,0)),IFERROR(INDEX(_MainTable!$A$2:$A$2001,MATCH($B69,_MainTable!$F$2:$F$2001,0)),IFERROR(INDEX('SC Change Orders'!$A$2:$A$501,MATCH($B69,'SC Change Orders'!$B$2:$B$501,0)),"(unknown vendor)"))))&amp;""="","—",(IFERROR(INDEX(_RefTable!$A$2:$A$501,MATCH($B69,_RefTable!$C$2:$C$501,0)),IFERROR(INDEX(_MainTable!$A$2:$A$2001,MATCH($B69,_MainTable!$F$2:$F$2001,0)),IFERROR(INDEX('SC Change Orders'!$A$2:$A$501,MATCH($B69,'SC Change Orders'!$B$2:$B$501,0)),"(unknown vendor)"))))))</f>
        <v/>
      </c>
      <c r="B69" s="18" t="str">
        <f aca="false">IFERROR(INDEX('PO Index'!$B$5:$B$84,65),"")</f>
        <v/>
      </c>
      <c r="C69" s="17" t="str">
        <f aca="false">IF($B69="","",IF((IFERROR(INDEX(_RefTable!$B$2:$B$501,MATCH($B69,_RefTable!$C$2:$C$501,0))&amp;IF(COUNTIF(_RefTable!$C$2:$C$501,$B69)&gt;1," (+"&amp;COUNTIF(_RefTable!$C$2:$C$501,$B69)-1&amp;" more)",""),IFERROR(INDEX(_MainTable!$B$2:$B$2001,MATCH($B69,_MainTable!$F$2:$F$2001,0)),"")))&amp;""="","—",(IFERROR(INDEX(_RefTable!$B$2:$B$501,MATCH($B69,_RefTable!$C$2:$C$501,0))&amp;IF(COUNTIF(_RefTable!$C$2:$C$501,$B69)&gt;1," (+"&amp;COUNTIF(_RefTable!$C$2:$C$501,$B69)-1&amp;" more)",""),IFERROR(INDEX(_MainTable!$B$2:$B$2001,MATCH($B69,_MainTable!$F$2:$F$2001,0)),"")))))</f>
        <v/>
      </c>
      <c r="D69" s="17" t="str">
        <f aca="false">IF($B69="","",IF((IFERROR(INDEX(_RefTable!$E$2:$E$501,MATCH($B69,_RefTable!$C$2:$C$501,0)),IFERROR(INDEX(_MainTable!$C$2:$C$2001,MATCH($B69,_MainTable!$F$2:$F$2001,0)),"")))&amp;""="","—",(IFERROR(INDEX(_RefTable!$E$2:$E$501,MATCH($B69,_RefTable!$C$2:$C$501,0)),IFERROR(INDEX(_MainTable!$C$2:$C$2001,MATCH($B69,_MainTable!$F$2:$F$2001,0)),"")))))</f>
        <v/>
      </c>
      <c r="E69" s="17" t="str">
        <f aca="false">IF($B69="","",IF((IFERROR(INDEX(_RefTable!$F$2:$F$501,MATCH($B69,_RefTable!$C$2:$C$501,0)),IFERROR(INDEX(_MainTable!$D$2:$D$2001,MATCH($B69,_MainTable!$F$2:$F$2001,0)),"")))&amp;""="","—",(IFERROR(INDEX(_RefTable!$F$2:$F$501,MATCH($B69,_RefTable!$C$2:$C$501,0)),IFERROR(INDEX(_MainTable!$D$2:$D$2001,MATCH($B69,_MainTable!$F$2:$F$2001,0)),"")))))</f>
        <v/>
      </c>
      <c r="F69" s="19" t="str">
        <f aca="false">IF($B69="","",IFERROR(_xlfn.MINIFS('SC Change Orders'!$E$2:$E$501,'SC Change Orders'!$B$2:$B$501,$B69,'SC Change Orders'!$C$2:$C$501,"&gt;="&amp;Controls!$C$5,'SC Change Orders'!$C$2:$C$501,"&lt;="&amp;Controls!$C$6),0))</f>
        <v/>
      </c>
      <c r="G69" s="19" t="str">
        <f aca="false">IF($B69="","",SUMIFS('SC Change Orders'!$F$2:$F$501,'SC Change Orders'!$B$2:$B$501,$B69,'SC Change Orders'!$C$2:$C$501,"&gt;="&amp;Controls!$C$5,'SC Change Orders'!$C$2:$C$501,"&lt;="&amp;Controls!$C$6))</f>
        <v/>
      </c>
      <c r="H69" s="19" t="str">
        <f aca="false">IF($B69="","",$F69+$G69)</f>
        <v/>
      </c>
      <c r="I69" s="19" t="str">
        <f aca="false">IF($B69="","",SUMIFS(_MainTable!$K$2:$K$2001,_MainTable!$F$2:$F$2001,$B69,_MainTable!$G$2:$G$2001,"&gt;="&amp;Controls!$C$5,_MainTable!$G$2:$G$2001,"&lt;="&amp;Controls!$C$6))</f>
        <v/>
      </c>
      <c r="J69" s="20" t="str">
        <f aca="false">IF($B69="","",IFERROR($I69/$H69,0))</f>
        <v/>
      </c>
      <c r="K69" s="19" t="str">
        <f aca="false">IF($B69="","",$H69-$I69)</f>
        <v/>
      </c>
      <c r="L69" s="19" t="str">
        <f aca="false">IF($B69="","",IFERROR(SUMIFS(_MainTable!$K$2:$K$2001,_MainTable!$F$2:$F$2001,$B69,_MainTable!$G$2:$G$2001,"&gt;="&amp;Controls!$C$12,_MainTable!$G$2:$G$2001,"&lt;="&amp;EOMONTH(Controls!$C$7,0))/MIN(Controls!$C$9,Controls!$C$10),0))</f>
        <v/>
      </c>
      <c r="M69" s="19" t="str">
        <f aca="false">IF($B69="","",$L69*Controls!$C$11)</f>
        <v/>
      </c>
      <c r="N69" s="19" t="str">
        <f aca="false">IF($B69="","",$I69+$M69)</f>
        <v/>
      </c>
      <c r="O69" s="20" t="str">
        <f aca="false">IF($B69="","",IFERROR($N69/$H69,0))</f>
        <v/>
      </c>
      <c r="P69" s="19" t="str">
        <f aca="false">IF($B69="","",$H69-$N69)</f>
        <v/>
      </c>
      <c r="Q69" s="21" t="str">
        <f aca="false">IF($B69="","",IF($L69&lt;=0,"n/a",IFERROR($K69/$L69,"n/a")))</f>
        <v/>
      </c>
      <c r="R69" s="22" t="str">
        <f aca="false">IF($B69="","",IF(AND($H69=0,$I69=0),"⚪ No Activity",IF(AND($H69=0,COUNTIFS('SC Change Orders'!$B$2:$B$501,$B69,'SC Change Orders'!$C$2:$C$501,"&gt;="&amp;Controls!$C$5,'SC Change Orders'!$C$2:$C$501,"&lt;="&amp;Controls!$C$6)=0),"⚪ No Funding on File",IF($H69=0,"🔴 Unfunded Spend",IF($I69&gt;=$H69,"🔴 Over Budget",IF($N69&gt;$H69,"🔴 Projected Shortfall",IF($J69&gt;=Controls!$C$8,"🟡 Watch","🟢 On Track")))))))</f>
        <v/>
      </c>
    </row>
    <row r="70" customFormat="false" ht="15" hidden="false" customHeight="false" outlineLevel="0" collapsed="false">
      <c r="A70" s="17" t="str">
        <f aca="false">IF($B70="","",IF((IFERROR(INDEX(_RefTable!$A$2:$A$501,MATCH($B70,_RefTable!$C$2:$C$501,0)),IFERROR(INDEX(_MainTable!$A$2:$A$2001,MATCH($B70,_MainTable!$F$2:$F$2001,0)),IFERROR(INDEX('SC Change Orders'!$A$2:$A$501,MATCH($B70,'SC Change Orders'!$B$2:$B$501,0)),"(unknown vendor)"))))&amp;""="","—",(IFERROR(INDEX(_RefTable!$A$2:$A$501,MATCH($B70,_RefTable!$C$2:$C$501,0)),IFERROR(INDEX(_MainTable!$A$2:$A$2001,MATCH($B70,_MainTable!$F$2:$F$2001,0)),IFERROR(INDEX('SC Change Orders'!$A$2:$A$501,MATCH($B70,'SC Change Orders'!$B$2:$B$501,0)),"(unknown vendor)"))))))</f>
        <v/>
      </c>
      <c r="B70" s="18" t="str">
        <f aca="false">IFERROR(INDEX('PO Index'!$B$5:$B$84,66),"")</f>
        <v/>
      </c>
      <c r="C70" s="17" t="str">
        <f aca="false">IF($B70="","",IF((IFERROR(INDEX(_RefTable!$B$2:$B$501,MATCH($B70,_RefTable!$C$2:$C$501,0))&amp;IF(COUNTIF(_RefTable!$C$2:$C$501,$B70)&gt;1," (+"&amp;COUNTIF(_RefTable!$C$2:$C$501,$B70)-1&amp;" more)",""),IFERROR(INDEX(_MainTable!$B$2:$B$2001,MATCH($B70,_MainTable!$F$2:$F$2001,0)),"")))&amp;""="","—",(IFERROR(INDEX(_RefTable!$B$2:$B$501,MATCH($B70,_RefTable!$C$2:$C$501,0))&amp;IF(COUNTIF(_RefTable!$C$2:$C$501,$B70)&gt;1," (+"&amp;COUNTIF(_RefTable!$C$2:$C$501,$B70)-1&amp;" more)",""),IFERROR(INDEX(_MainTable!$B$2:$B$2001,MATCH($B70,_MainTable!$F$2:$F$2001,0)),"")))))</f>
        <v/>
      </c>
      <c r="D70" s="17" t="str">
        <f aca="false">IF($B70="","",IF((IFERROR(INDEX(_RefTable!$E$2:$E$501,MATCH($B70,_RefTable!$C$2:$C$501,0)),IFERROR(INDEX(_MainTable!$C$2:$C$2001,MATCH($B70,_MainTable!$F$2:$F$2001,0)),"")))&amp;""="","—",(IFERROR(INDEX(_RefTable!$E$2:$E$501,MATCH($B70,_RefTable!$C$2:$C$501,0)),IFERROR(INDEX(_MainTable!$C$2:$C$2001,MATCH($B70,_MainTable!$F$2:$F$2001,0)),"")))))</f>
        <v/>
      </c>
      <c r="E70" s="17" t="str">
        <f aca="false">IF($B70="","",IF((IFERROR(INDEX(_RefTable!$F$2:$F$501,MATCH($B70,_RefTable!$C$2:$C$501,0)),IFERROR(INDEX(_MainTable!$D$2:$D$2001,MATCH($B70,_MainTable!$F$2:$F$2001,0)),"")))&amp;""="","—",(IFERROR(INDEX(_RefTable!$F$2:$F$501,MATCH($B70,_RefTable!$C$2:$C$501,0)),IFERROR(INDEX(_MainTable!$D$2:$D$2001,MATCH($B70,_MainTable!$F$2:$F$2001,0)),"")))))</f>
        <v/>
      </c>
      <c r="F70" s="19" t="str">
        <f aca="false">IF($B70="","",IFERROR(_xlfn.MINIFS('SC Change Orders'!$E$2:$E$501,'SC Change Orders'!$B$2:$B$501,$B70,'SC Change Orders'!$C$2:$C$501,"&gt;="&amp;Controls!$C$5,'SC Change Orders'!$C$2:$C$501,"&lt;="&amp;Controls!$C$6),0))</f>
        <v/>
      </c>
      <c r="G70" s="19" t="str">
        <f aca="false">IF($B70="","",SUMIFS('SC Change Orders'!$F$2:$F$501,'SC Change Orders'!$B$2:$B$501,$B70,'SC Change Orders'!$C$2:$C$501,"&gt;="&amp;Controls!$C$5,'SC Change Orders'!$C$2:$C$501,"&lt;="&amp;Controls!$C$6))</f>
        <v/>
      </c>
      <c r="H70" s="19" t="str">
        <f aca="false">IF($B70="","",$F70+$G70)</f>
        <v/>
      </c>
      <c r="I70" s="19" t="str">
        <f aca="false">IF($B70="","",SUMIFS(_MainTable!$K$2:$K$2001,_MainTable!$F$2:$F$2001,$B70,_MainTable!$G$2:$G$2001,"&gt;="&amp;Controls!$C$5,_MainTable!$G$2:$G$2001,"&lt;="&amp;Controls!$C$6))</f>
        <v/>
      </c>
      <c r="J70" s="20" t="str">
        <f aca="false">IF($B70="","",IFERROR($I70/$H70,0))</f>
        <v/>
      </c>
      <c r="K70" s="19" t="str">
        <f aca="false">IF($B70="","",$H70-$I70)</f>
        <v/>
      </c>
      <c r="L70" s="19" t="str">
        <f aca="false">IF($B70="","",IFERROR(SUMIFS(_MainTable!$K$2:$K$2001,_MainTable!$F$2:$F$2001,$B70,_MainTable!$G$2:$G$2001,"&gt;="&amp;Controls!$C$12,_MainTable!$G$2:$G$2001,"&lt;="&amp;EOMONTH(Controls!$C$7,0))/MIN(Controls!$C$9,Controls!$C$10),0))</f>
        <v/>
      </c>
      <c r="M70" s="19" t="str">
        <f aca="false">IF($B70="","",$L70*Controls!$C$11)</f>
        <v/>
      </c>
      <c r="N70" s="19" t="str">
        <f aca="false">IF($B70="","",$I70+$M70)</f>
        <v/>
      </c>
      <c r="O70" s="20" t="str">
        <f aca="false">IF($B70="","",IFERROR($N70/$H70,0))</f>
        <v/>
      </c>
      <c r="P70" s="19" t="str">
        <f aca="false">IF($B70="","",$H70-$N70)</f>
        <v/>
      </c>
      <c r="Q70" s="21" t="str">
        <f aca="false">IF($B70="","",IF($L70&lt;=0,"n/a",IFERROR($K70/$L70,"n/a")))</f>
        <v/>
      </c>
      <c r="R70" s="22" t="str">
        <f aca="false">IF($B70="","",IF(AND($H70=0,$I70=0),"⚪ No Activity",IF(AND($H70=0,COUNTIFS('SC Change Orders'!$B$2:$B$501,$B70,'SC Change Orders'!$C$2:$C$501,"&gt;="&amp;Controls!$C$5,'SC Change Orders'!$C$2:$C$501,"&lt;="&amp;Controls!$C$6)=0),"⚪ No Funding on File",IF($H70=0,"🔴 Unfunded Spend",IF($I70&gt;=$H70,"🔴 Over Budget",IF($N70&gt;$H70,"🔴 Projected Shortfall",IF($J70&gt;=Controls!$C$8,"🟡 Watch","🟢 On Track")))))))</f>
        <v/>
      </c>
    </row>
    <row r="71" customFormat="false" ht="15" hidden="false" customHeight="false" outlineLevel="0" collapsed="false">
      <c r="A71" s="17" t="str">
        <f aca="false">IF($B71="","",IF((IFERROR(INDEX(_RefTable!$A$2:$A$501,MATCH($B71,_RefTable!$C$2:$C$501,0)),IFERROR(INDEX(_MainTable!$A$2:$A$2001,MATCH($B71,_MainTable!$F$2:$F$2001,0)),IFERROR(INDEX('SC Change Orders'!$A$2:$A$501,MATCH($B71,'SC Change Orders'!$B$2:$B$501,0)),"(unknown vendor)"))))&amp;""="","—",(IFERROR(INDEX(_RefTable!$A$2:$A$501,MATCH($B71,_RefTable!$C$2:$C$501,0)),IFERROR(INDEX(_MainTable!$A$2:$A$2001,MATCH($B71,_MainTable!$F$2:$F$2001,0)),IFERROR(INDEX('SC Change Orders'!$A$2:$A$501,MATCH($B71,'SC Change Orders'!$B$2:$B$501,0)),"(unknown vendor)"))))))</f>
        <v/>
      </c>
      <c r="B71" s="18" t="str">
        <f aca="false">IFERROR(INDEX('PO Index'!$B$5:$B$84,67),"")</f>
        <v/>
      </c>
      <c r="C71" s="17" t="str">
        <f aca="false">IF($B71="","",IF((IFERROR(INDEX(_RefTable!$B$2:$B$501,MATCH($B71,_RefTable!$C$2:$C$501,0))&amp;IF(COUNTIF(_RefTable!$C$2:$C$501,$B71)&gt;1," (+"&amp;COUNTIF(_RefTable!$C$2:$C$501,$B71)-1&amp;" more)",""),IFERROR(INDEX(_MainTable!$B$2:$B$2001,MATCH($B71,_MainTable!$F$2:$F$2001,0)),"")))&amp;""="","—",(IFERROR(INDEX(_RefTable!$B$2:$B$501,MATCH($B71,_RefTable!$C$2:$C$501,0))&amp;IF(COUNTIF(_RefTable!$C$2:$C$501,$B71)&gt;1," (+"&amp;COUNTIF(_RefTable!$C$2:$C$501,$B71)-1&amp;" more)",""),IFERROR(INDEX(_MainTable!$B$2:$B$2001,MATCH($B71,_MainTable!$F$2:$F$2001,0)),"")))))</f>
        <v/>
      </c>
      <c r="D71" s="17" t="str">
        <f aca="false">IF($B71="","",IF((IFERROR(INDEX(_RefTable!$E$2:$E$501,MATCH($B71,_RefTable!$C$2:$C$501,0)),IFERROR(INDEX(_MainTable!$C$2:$C$2001,MATCH($B71,_MainTable!$F$2:$F$2001,0)),"")))&amp;""="","—",(IFERROR(INDEX(_RefTable!$E$2:$E$501,MATCH($B71,_RefTable!$C$2:$C$501,0)),IFERROR(INDEX(_MainTable!$C$2:$C$2001,MATCH($B71,_MainTable!$F$2:$F$2001,0)),"")))))</f>
        <v/>
      </c>
      <c r="E71" s="17" t="str">
        <f aca="false">IF($B71="","",IF((IFERROR(INDEX(_RefTable!$F$2:$F$501,MATCH($B71,_RefTable!$C$2:$C$501,0)),IFERROR(INDEX(_MainTable!$D$2:$D$2001,MATCH($B71,_MainTable!$F$2:$F$2001,0)),"")))&amp;""="","—",(IFERROR(INDEX(_RefTable!$F$2:$F$501,MATCH($B71,_RefTable!$C$2:$C$501,0)),IFERROR(INDEX(_MainTable!$D$2:$D$2001,MATCH($B71,_MainTable!$F$2:$F$2001,0)),"")))))</f>
        <v/>
      </c>
      <c r="F71" s="19" t="str">
        <f aca="false">IF($B71="","",IFERROR(_xlfn.MINIFS('SC Change Orders'!$E$2:$E$501,'SC Change Orders'!$B$2:$B$501,$B71,'SC Change Orders'!$C$2:$C$501,"&gt;="&amp;Controls!$C$5,'SC Change Orders'!$C$2:$C$501,"&lt;="&amp;Controls!$C$6),0))</f>
        <v/>
      </c>
      <c r="G71" s="19" t="str">
        <f aca="false">IF($B71="","",SUMIFS('SC Change Orders'!$F$2:$F$501,'SC Change Orders'!$B$2:$B$501,$B71,'SC Change Orders'!$C$2:$C$501,"&gt;="&amp;Controls!$C$5,'SC Change Orders'!$C$2:$C$501,"&lt;="&amp;Controls!$C$6))</f>
        <v/>
      </c>
      <c r="H71" s="19" t="str">
        <f aca="false">IF($B71="","",$F71+$G71)</f>
        <v/>
      </c>
      <c r="I71" s="19" t="str">
        <f aca="false">IF($B71="","",SUMIFS(_MainTable!$K$2:$K$2001,_MainTable!$F$2:$F$2001,$B71,_MainTable!$G$2:$G$2001,"&gt;="&amp;Controls!$C$5,_MainTable!$G$2:$G$2001,"&lt;="&amp;Controls!$C$6))</f>
        <v/>
      </c>
      <c r="J71" s="20" t="str">
        <f aca="false">IF($B71="","",IFERROR($I71/$H71,0))</f>
        <v/>
      </c>
      <c r="K71" s="19" t="str">
        <f aca="false">IF($B71="","",$H71-$I71)</f>
        <v/>
      </c>
      <c r="L71" s="19" t="str">
        <f aca="false">IF($B71="","",IFERROR(SUMIFS(_MainTable!$K$2:$K$2001,_MainTable!$F$2:$F$2001,$B71,_MainTable!$G$2:$G$2001,"&gt;="&amp;Controls!$C$12,_MainTable!$G$2:$G$2001,"&lt;="&amp;EOMONTH(Controls!$C$7,0))/MIN(Controls!$C$9,Controls!$C$10),0))</f>
        <v/>
      </c>
      <c r="M71" s="19" t="str">
        <f aca="false">IF($B71="","",$L71*Controls!$C$11)</f>
        <v/>
      </c>
      <c r="N71" s="19" t="str">
        <f aca="false">IF($B71="","",$I71+$M71)</f>
        <v/>
      </c>
      <c r="O71" s="20" t="str">
        <f aca="false">IF($B71="","",IFERROR($N71/$H71,0))</f>
        <v/>
      </c>
      <c r="P71" s="19" t="str">
        <f aca="false">IF($B71="","",$H71-$N71)</f>
        <v/>
      </c>
      <c r="Q71" s="21" t="str">
        <f aca="false">IF($B71="","",IF($L71&lt;=0,"n/a",IFERROR($K71/$L71,"n/a")))</f>
        <v/>
      </c>
      <c r="R71" s="22" t="str">
        <f aca="false">IF($B71="","",IF(AND($H71=0,$I71=0),"⚪ No Activity",IF(AND($H71=0,COUNTIFS('SC Change Orders'!$B$2:$B$501,$B71,'SC Change Orders'!$C$2:$C$501,"&gt;="&amp;Controls!$C$5,'SC Change Orders'!$C$2:$C$501,"&lt;="&amp;Controls!$C$6)=0),"⚪ No Funding on File",IF($H71=0,"🔴 Unfunded Spend",IF($I71&gt;=$H71,"🔴 Over Budget",IF($N71&gt;$H71,"🔴 Projected Shortfall",IF($J71&gt;=Controls!$C$8,"🟡 Watch","🟢 On Track")))))))</f>
        <v/>
      </c>
    </row>
    <row r="72" customFormat="false" ht="15" hidden="false" customHeight="false" outlineLevel="0" collapsed="false">
      <c r="A72" s="17" t="str">
        <f aca="false">IF($B72="","",IF((IFERROR(INDEX(_RefTable!$A$2:$A$501,MATCH($B72,_RefTable!$C$2:$C$501,0)),IFERROR(INDEX(_MainTable!$A$2:$A$2001,MATCH($B72,_MainTable!$F$2:$F$2001,0)),IFERROR(INDEX('SC Change Orders'!$A$2:$A$501,MATCH($B72,'SC Change Orders'!$B$2:$B$501,0)),"(unknown vendor)"))))&amp;""="","—",(IFERROR(INDEX(_RefTable!$A$2:$A$501,MATCH($B72,_RefTable!$C$2:$C$501,0)),IFERROR(INDEX(_MainTable!$A$2:$A$2001,MATCH($B72,_MainTable!$F$2:$F$2001,0)),IFERROR(INDEX('SC Change Orders'!$A$2:$A$501,MATCH($B72,'SC Change Orders'!$B$2:$B$501,0)),"(unknown vendor)"))))))</f>
        <v/>
      </c>
      <c r="B72" s="18" t="str">
        <f aca="false">IFERROR(INDEX('PO Index'!$B$5:$B$84,68),"")</f>
        <v/>
      </c>
      <c r="C72" s="17" t="str">
        <f aca="false">IF($B72="","",IF((IFERROR(INDEX(_RefTable!$B$2:$B$501,MATCH($B72,_RefTable!$C$2:$C$501,0))&amp;IF(COUNTIF(_RefTable!$C$2:$C$501,$B72)&gt;1," (+"&amp;COUNTIF(_RefTable!$C$2:$C$501,$B72)-1&amp;" more)",""),IFERROR(INDEX(_MainTable!$B$2:$B$2001,MATCH($B72,_MainTable!$F$2:$F$2001,0)),"")))&amp;""="","—",(IFERROR(INDEX(_RefTable!$B$2:$B$501,MATCH($B72,_RefTable!$C$2:$C$501,0))&amp;IF(COUNTIF(_RefTable!$C$2:$C$501,$B72)&gt;1," (+"&amp;COUNTIF(_RefTable!$C$2:$C$501,$B72)-1&amp;" more)",""),IFERROR(INDEX(_MainTable!$B$2:$B$2001,MATCH($B72,_MainTable!$F$2:$F$2001,0)),"")))))</f>
        <v/>
      </c>
      <c r="D72" s="17" t="str">
        <f aca="false">IF($B72="","",IF((IFERROR(INDEX(_RefTable!$E$2:$E$501,MATCH($B72,_RefTable!$C$2:$C$501,0)),IFERROR(INDEX(_MainTable!$C$2:$C$2001,MATCH($B72,_MainTable!$F$2:$F$2001,0)),"")))&amp;""="","—",(IFERROR(INDEX(_RefTable!$E$2:$E$501,MATCH($B72,_RefTable!$C$2:$C$501,0)),IFERROR(INDEX(_MainTable!$C$2:$C$2001,MATCH($B72,_MainTable!$F$2:$F$2001,0)),"")))))</f>
        <v/>
      </c>
      <c r="E72" s="17" t="str">
        <f aca="false">IF($B72="","",IF((IFERROR(INDEX(_RefTable!$F$2:$F$501,MATCH($B72,_RefTable!$C$2:$C$501,0)),IFERROR(INDEX(_MainTable!$D$2:$D$2001,MATCH($B72,_MainTable!$F$2:$F$2001,0)),"")))&amp;""="","—",(IFERROR(INDEX(_RefTable!$F$2:$F$501,MATCH($B72,_RefTable!$C$2:$C$501,0)),IFERROR(INDEX(_MainTable!$D$2:$D$2001,MATCH($B72,_MainTable!$F$2:$F$2001,0)),"")))))</f>
        <v/>
      </c>
      <c r="F72" s="19" t="str">
        <f aca="false">IF($B72="","",IFERROR(_xlfn.MINIFS('SC Change Orders'!$E$2:$E$501,'SC Change Orders'!$B$2:$B$501,$B72,'SC Change Orders'!$C$2:$C$501,"&gt;="&amp;Controls!$C$5,'SC Change Orders'!$C$2:$C$501,"&lt;="&amp;Controls!$C$6),0))</f>
        <v/>
      </c>
      <c r="G72" s="19" t="str">
        <f aca="false">IF($B72="","",SUMIFS('SC Change Orders'!$F$2:$F$501,'SC Change Orders'!$B$2:$B$501,$B72,'SC Change Orders'!$C$2:$C$501,"&gt;="&amp;Controls!$C$5,'SC Change Orders'!$C$2:$C$501,"&lt;="&amp;Controls!$C$6))</f>
        <v/>
      </c>
      <c r="H72" s="19" t="str">
        <f aca="false">IF($B72="","",$F72+$G72)</f>
        <v/>
      </c>
      <c r="I72" s="19" t="str">
        <f aca="false">IF($B72="","",SUMIFS(_MainTable!$K$2:$K$2001,_MainTable!$F$2:$F$2001,$B72,_MainTable!$G$2:$G$2001,"&gt;="&amp;Controls!$C$5,_MainTable!$G$2:$G$2001,"&lt;="&amp;Controls!$C$6))</f>
        <v/>
      </c>
      <c r="J72" s="20" t="str">
        <f aca="false">IF($B72="","",IFERROR($I72/$H72,0))</f>
        <v/>
      </c>
      <c r="K72" s="19" t="str">
        <f aca="false">IF($B72="","",$H72-$I72)</f>
        <v/>
      </c>
      <c r="L72" s="19" t="str">
        <f aca="false">IF($B72="","",IFERROR(SUMIFS(_MainTable!$K$2:$K$2001,_MainTable!$F$2:$F$2001,$B72,_MainTable!$G$2:$G$2001,"&gt;="&amp;Controls!$C$12,_MainTable!$G$2:$G$2001,"&lt;="&amp;EOMONTH(Controls!$C$7,0))/MIN(Controls!$C$9,Controls!$C$10),0))</f>
        <v/>
      </c>
      <c r="M72" s="19" t="str">
        <f aca="false">IF($B72="","",$L72*Controls!$C$11)</f>
        <v/>
      </c>
      <c r="N72" s="19" t="str">
        <f aca="false">IF($B72="","",$I72+$M72)</f>
        <v/>
      </c>
      <c r="O72" s="20" t="str">
        <f aca="false">IF($B72="","",IFERROR($N72/$H72,0))</f>
        <v/>
      </c>
      <c r="P72" s="19" t="str">
        <f aca="false">IF($B72="","",$H72-$N72)</f>
        <v/>
      </c>
      <c r="Q72" s="21" t="str">
        <f aca="false">IF($B72="","",IF($L72&lt;=0,"n/a",IFERROR($K72/$L72,"n/a")))</f>
        <v/>
      </c>
      <c r="R72" s="22" t="str">
        <f aca="false">IF($B72="","",IF(AND($H72=0,$I72=0),"⚪ No Activity",IF(AND($H72=0,COUNTIFS('SC Change Orders'!$B$2:$B$501,$B72,'SC Change Orders'!$C$2:$C$501,"&gt;="&amp;Controls!$C$5,'SC Change Orders'!$C$2:$C$501,"&lt;="&amp;Controls!$C$6)=0),"⚪ No Funding on File",IF($H72=0,"🔴 Unfunded Spend",IF($I72&gt;=$H72,"🔴 Over Budget",IF($N72&gt;$H72,"🔴 Projected Shortfall",IF($J72&gt;=Controls!$C$8,"🟡 Watch","🟢 On Track")))))))</f>
        <v/>
      </c>
    </row>
    <row r="73" customFormat="false" ht="15" hidden="false" customHeight="false" outlineLevel="0" collapsed="false">
      <c r="A73" s="17" t="str">
        <f aca="false">IF($B73="","",IF((IFERROR(INDEX(_RefTable!$A$2:$A$501,MATCH($B73,_RefTable!$C$2:$C$501,0)),IFERROR(INDEX(_MainTable!$A$2:$A$2001,MATCH($B73,_MainTable!$F$2:$F$2001,0)),IFERROR(INDEX('SC Change Orders'!$A$2:$A$501,MATCH($B73,'SC Change Orders'!$B$2:$B$501,0)),"(unknown vendor)"))))&amp;""="","—",(IFERROR(INDEX(_RefTable!$A$2:$A$501,MATCH($B73,_RefTable!$C$2:$C$501,0)),IFERROR(INDEX(_MainTable!$A$2:$A$2001,MATCH($B73,_MainTable!$F$2:$F$2001,0)),IFERROR(INDEX('SC Change Orders'!$A$2:$A$501,MATCH($B73,'SC Change Orders'!$B$2:$B$501,0)),"(unknown vendor)"))))))</f>
        <v/>
      </c>
      <c r="B73" s="18" t="str">
        <f aca="false">IFERROR(INDEX('PO Index'!$B$5:$B$84,69),"")</f>
        <v/>
      </c>
      <c r="C73" s="17" t="str">
        <f aca="false">IF($B73="","",IF((IFERROR(INDEX(_RefTable!$B$2:$B$501,MATCH($B73,_RefTable!$C$2:$C$501,0))&amp;IF(COUNTIF(_RefTable!$C$2:$C$501,$B73)&gt;1," (+"&amp;COUNTIF(_RefTable!$C$2:$C$501,$B73)-1&amp;" more)",""),IFERROR(INDEX(_MainTable!$B$2:$B$2001,MATCH($B73,_MainTable!$F$2:$F$2001,0)),"")))&amp;""="","—",(IFERROR(INDEX(_RefTable!$B$2:$B$501,MATCH($B73,_RefTable!$C$2:$C$501,0))&amp;IF(COUNTIF(_RefTable!$C$2:$C$501,$B73)&gt;1," (+"&amp;COUNTIF(_RefTable!$C$2:$C$501,$B73)-1&amp;" more)",""),IFERROR(INDEX(_MainTable!$B$2:$B$2001,MATCH($B73,_MainTable!$F$2:$F$2001,0)),"")))))</f>
        <v/>
      </c>
      <c r="D73" s="17" t="str">
        <f aca="false">IF($B73="","",IF((IFERROR(INDEX(_RefTable!$E$2:$E$501,MATCH($B73,_RefTable!$C$2:$C$501,0)),IFERROR(INDEX(_MainTable!$C$2:$C$2001,MATCH($B73,_MainTable!$F$2:$F$2001,0)),"")))&amp;""="","—",(IFERROR(INDEX(_RefTable!$E$2:$E$501,MATCH($B73,_RefTable!$C$2:$C$501,0)),IFERROR(INDEX(_MainTable!$C$2:$C$2001,MATCH($B73,_MainTable!$F$2:$F$2001,0)),"")))))</f>
        <v/>
      </c>
      <c r="E73" s="17" t="str">
        <f aca="false">IF($B73="","",IF((IFERROR(INDEX(_RefTable!$F$2:$F$501,MATCH($B73,_RefTable!$C$2:$C$501,0)),IFERROR(INDEX(_MainTable!$D$2:$D$2001,MATCH($B73,_MainTable!$F$2:$F$2001,0)),"")))&amp;""="","—",(IFERROR(INDEX(_RefTable!$F$2:$F$501,MATCH($B73,_RefTable!$C$2:$C$501,0)),IFERROR(INDEX(_MainTable!$D$2:$D$2001,MATCH($B73,_MainTable!$F$2:$F$2001,0)),"")))))</f>
        <v/>
      </c>
      <c r="F73" s="19" t="str">
        <f aca="false">IF($B73="","",IFERROR(_xlfn.MINIFS('SC Change Orders'!$E$2:$E$501,'SC Change Orders'!$B$2:$B$501,$B73,'SC Change Orders'!$C$2:$C$501,"&gt;="&amp;Controls!$C$5,'SC Change Orders'!$C$2:$C$501,"&lt;="&amp;Controls!$C$6),0))</f>
        <v/>
      </c>
      <c r="G73" s="19" t="str">
        <f aca="false">IF($B73="","",SUMIFS('SC Change Orders'!$F$2:$F$501,'SC Change Orders'!$B$2:$B$501,$B73,'SC Change Orders'!$C$2:$C$501,"&gt;="&amp;Controls!$C$5,'SC Change Orders'!$C$2:$C$501,"&lt;="&amp;Controls!$C$6))</f>
        <v/>
      </c>
      <c r="H73" s="19" t="str">
        <f aca="false">IF($B73="","",$F73+$G73)</f>
        <v/>
      </c>
      <c r="I73" s="19" t="str">
        <f aca="false">IF($B73="","",SUMIFS(_MainTable!$K$2:$K$2001,_MainTable!$F$2:$F$2001,$B73,_MainTable!$G$2:$G$2001,"&gt;="&amp;Controls!$C$5,_MainTable!$G$2:$G$2001,"&lt;="&amp;Controls!$C$6))</f>
        <v/>
      </c>
      <c r="J73" s="20" t="str">
        <f aca="false">IF($B73="","",IFERROR($I73/$H73,0))</f>
        <v/>
      </c>
      <c r="K73" s="19" t="str">
        <f aca="false">IF($B73="","",$H73-$I73)</f>
        <v/>
      </c>
      <c r="L73" s="19" t="str">
        <f aca="false">IF($B73="","",IFERROR(SUMIFS(_MainTable!$K$2:$K$2001,_MainTable!$F$2:$F$2001,$B73,_MainTable!$G$2:$G$2001,"&gt;="&amp;Controls!$C$12,_MainTable!$G$2:$G$2001,"&lt;="&amp;EOMONTH(Controls!$C$7,0))/MIN(Controls!$C$9,Controls!$C$10),0))</f>
        <v/>
      </c>
      <c r="M73" s="19" t="str">
        <f aca="false">IF($B73="","",$L73*Controls!$C$11)</f>
        <v/>
      </c>
      <c r="N73" s="19" t="str">
        <f aca="false">IF($B73="","",$I73+$M73)</f>
        <v/>
      </c>
      <c r="O73" s="20" t="str">
        <f aca="false">IF($B73="","",IFERROR($N73/$H73,0))</f>
        <v/>
      </c>
      <c r="P73" s="19" t="str">
        <f aca="false">IF($B73="","",$H73-$N73)</f>
        <v/>
      </c>
      <c r="Q73" s="21" t="str">
        <f aca="false">IF($B73="","",IF($L73&lt;=0,"n/a",IFERROR($K73/$L73,"n/a")))</f>
        <v/>
      </c>
      <c r="R73" s="22" t="str">
        <f aca="false">IF($B73="","",IF(AND($H73=0,$I73=0),"⚪ No Activity",IF(AND($H73=0,COUNTIFS('SC Change Orders'!$B$2:$B$501,$B73,'SC Change Orders'!$C$2:$C$501,"&gt;="&amp;Controls!$C$5,'SC Change Orders'!$C$2:$C$501,"&lt;="&amp;Controls!$C$6)=0),"⚪ No Funding on File",IF($H73=0,"🔴 Unfunded Spend",IF($I73&gt;=$H73,"🔴 Over Budget",IF($N73&gt;$H73,"🔴 Projected Shortfall",IF($J73&gt;=Controls!$C$8,"🟡 Watch","🟢 On Track")))))))</f>
        <v/>
      </c>
    </row>
    <row r="74" customFormat="false" ht="15" hidden="false" customHeight="false" outlineLevel="0" collapsed="false">
      <c r="A74" s="17" t="str">
        <f aca="false">IF($B74="","",IF((IFERROR(INDEX(_RefTable!$A$2:$A$501,MATCH($B74,_RefTable!$C$2:$C$501,0)),IFERROR(INDEX(_MainTable!$A$2:$A$2001,MATCH($B74,_MainTable!$F$2:$F$2001,0)),IFERROR(INDEX('SC Change Orders'!$A$2:$A$501,MATCH($B74,'SC Change Orders'!$B$2:$B$501,0)),"(unknown vendor)"))))&amp;""="","—",(IFERROR(INDEX(_RefTable!$A$2:$A$501,MATCH($B74,_RefTable!$C$2:$C$501,0)),IFERROR(INDEX(_MainTable!$A$2:$A$2001,MATCH($B74,_MainTable!$F$2:$F$2001,0)),IFERROR(INDEX('SC Change Orders'!$A$2:$A$501,MATCH($B74,'SC Change Orders'!$B$2:$B$501,0)),"(unknown vendor)"))))))</f>
        <v/>
      </c>
      <c r="B74" s="18" t="str">
        <f aca="false">IFERROR(INDEX('PO Index'!$B$5:$B$84,70),"")</f>
        <v/>
      </c>
      <c r="C74" s="17" t="str">
        <f aca="false">IF($B74="","",IF((IFERROR(INDEX(_RefTable!$B$2:$B$501,MATCH($B74,_RefTable!$C$2:$C$501,0))&amp;IF(COUNTIF(_RefTable!$C$2:$C$501,$B74)&gt;1," (+"&amp;COUNTIF(_RefTable!$C$2:$C$501,$B74)-1&amp;" more)",""),IFERROR(INDEX(_MainTable!$B$2:$B$2001,MATCH($B74,_MainTable!$F$2:$F$2001,0)),"")))&amp;""="","—",(IFERROR(INDEX(_RefTable!$B$2:$B$501,MATCH($B74,_RefTable!$C$2:$C$501,0))&amp;IF(COUNTIF(_RefTable!$C$2:$C$501,$B74)&gt;1," (+"&amp;COUNTIF(_RefTable!$C$2:$C$501,$B74)-1&amp;" more)",""),IFERROR(INDEX(_MainTable!$B$2:$B$2001,MATCH($B74,_MainTable!$F$2:$F$2001,0)),"")))))</f>
        <v/>
      </c>
      <c r="D74" s="17" t="str">
        <f aca="false">IF($B74="","",IF((IFERROR(INDEX(_RefTable!$E$2:$E$501,MATCH($B74,_RefTable!$C$2:$C$501,0)),IFERROR(INDEX(_MainTable!$C$2:$C$2001,MATCH($B74,_MainTable!$F$2:$F$2001,0)),"")))&amp;""="","—",(IFERROR(INDEX(_RefTable!$E$2:$E$501,MATCH($B74,_RefTable!$C$2:$C$501,0)),IFERROR(INDEX(_MainTable!$C$2:$C$2001,MATCH($B74,_MainTable!$F$2:$F$2001,0)),"")))))</f>
        <v/>
      </c>
      <c r="E74" s="17" t="str">
        <f aca="false">IF($B74="","",IF((IFERROR(INDEX(_RefTable!$F$2:$F$501,MATCH($B74,_RefTable!$C$2:$C$501,0)),IFERROR(INDEX(_MainTable!$D$2:$D$2001,MATCH($B74,_MainTable!$F$2:$F$2001,0)),"")))&amp;""="","—",(IFERROR(INDEX(_RefTable!$F$2:$F$501,MATCH($B74,_RefTable!$C$2:$C$501,0)),IFERROR(INDEX(_MainTable!$D$2:$D$2001,MATCH($B74,_MainTable!$F$2:$F$2001,0)),"")))))</f>
        <v/>
      </c>
      <c r="F74" s="19" t="str">
        <f aca="false">IF($B74="","",IFERROR(_xlfn.MINIFS('SC Change Orders'!$E$2:$E$501,'SC Change Orders'!$B$2:$B$501,$B74,'SC Change Orders'!$C$2:$C$501,"&gt;="&amp;Controls!$C$5,'SC Change Orders'!$C$2:$C$501,"&lt;="&amp;Controls!$C$6),0))</f>
        <v/>
      </c>
      <c r="G74" s="19" t="str">
        <f aca="false">IF($B74="","",SUMIFS('SC Change Orders'!$F$2:$F$501,'SC Change Orders'!$B$2:$B$501,$B74,'SC Change Orders'!$C$2:$C$501,"&gt;="&amp;Controls!$C$5,'SC Change Orders'!$C$2:$C$501,"&lt;="&amp;Controls!$C$6))</f>
        <v/>
      </c>
      <c r="H74" s="19" t="str">
        <f aca="false">IF($B74="","",$F74+$G74)</f>
        <v/>
      </c>
      <c r="I74" s="19" t="str">
        <f aca="false">IF($B74="","",SUMIFS(_MainTable!$K$2:$K$2001,_MainTable!$F$2:$F$2001,$B74,_MainTable!$G$2:$G$2001,"&gt;="&amp;Controls!$C$5,_MainTable!$G$2:$G$2001,"&lt;="&amp;Controls!$C$6))</f>
        <v/>
      </c>
      <c r="J74" s="20" t="str">
        <f aca="false">IF($B74="","",IFERROR($I74/$H74,0))</f>
        <v/>
      </c>
      <c r="K74" s="19" t="str">
        <f aca="false">IF($B74="","",$H74-$I74)</f>
        <v/>
      </c>
      <c r="L74" s="19" t="str">
        <f aca="false">IF($B74="","",IFERROR(SUMIFS(_MainTable!$K$2:$K$2001,_MainTable!$F$2:$F$2001,$B74,_MainTable!$G$2:$G$2001,"&gt;="&amp;Controls!$C$12,_MainTable!$G$2:$G$2001,"&lt;="&amp;EOMONTH(Controls!$C$7,0))/MIN(Controls!$C$9,Controls!$C$10),0))</f>
        <v/>
      </c>
      <c r="M74" s="19" t="str">
        <f aca="false">IF($B74="","",$L74*Controls!$C$11)</f>
        <v/>
      </c>
      <c r="N74" s="19" t="str">
        <f aca="false">IF($B74="","",$I74+$M74)</f>
        <v/>
      </c>
      <c r="O74" s="20" t="str">
        <f aca="false">IF($B74="","",IFERROR($N74/$H74,0))</f>
        <v/>
      </c>
      <c r="P74" s="19" t="str">
        <f aca="false">IF($B74="","",$H74-$N74)</f>
        <v/>
      </c>
      <c r="Q74" s="21" t="str">
        <f aca="false">IF($B74="","",IF($L74&lt;=0,"n/a",IFERROR($K74/$L74,"n/a")))</f>
        <v/>
      </c>
      <c r="R74" s="22" t="str">
        <f aca="false">IF($B74="","",IF(AND($H74=0,$I74=0),"⚪ No Activity",IF(AND($H74=0,COUNTIFS('SC Change Orders'!$B$2:$B$501,$B74,'SC Change Orders'!$C$2:$C$501,"&gt;="&amp;Controls!$C$5,'SC Change Orders'!$C$2:$C$501,"&lt;="&amp;Controls!$C$6)=0),"⚪ No Funding on File",IF($H74=0,"🔴 Unfunded Spend",IF($I74&gt;=$H74,"🔴 Over Budget",IF($N74&gt;$H74,"🔴 Projected Shortfall",IF($J74&gt;=Controls!$C$8,"🟡 Watch","🟢 On Track")))))))</f>
        <v/>
      </c>
    </row>
    <row r="75" customFormat="false" ht="15" hidden="false" customHeight="false" outlineLevel="0" collapsed="false">
      <c r="A75" s="17" t="str">
        <f aca="false">IF($B75="","",IF((IFERROR(INDEX(_RefTable!$A$2:$A$501,MATCH($B75,_RefTable!$C$2:$C$501,0)),IFERROR(INDEX(_MainTable!$A$2:$A$2001,MATCH($B75,_MainTable!$F$2:$F$2001,0)),IFERROR(INDEX('SC Change Orders'!$A$2:$A$501,MATCH($B75,'SC Change Orders'!$B$2:$B$501,0)),"(unknown vendor)"))))&amp;""="","—",(IFERROR(INDEX(_RefTable!$A$2:$A$501,MATCH($B75,_RefTable!$C$2:$C$501,0)),IFERROR(INDEX(_MainTable!$A$2:$A$2001,MATCH($B75,_MainTable!$F$2:$F$2001,0)),IFERROR(INDEX('SC Change Orders'!$A$2:$A$501,MATCH($B75,'SC Change Orders'!$B$2:$B$501,0)),"(unknown vendor)"))))))</f>
        <v/>
      </c>
      <c r="B75" s="18" t="str">
        <f aca="false">IFERROR(INDEX('PO Index'!$B$5:$B$84,71),"")</f>
        <v/>
      </c>
      <c r="C75" s="17" t="str">
        <f aca="false">IF($B75="","",IF((IFERROR(INDEX(_RefTable!$B$2:$B$501,MATCH($B75,_RefTable!$C$2:$C$501,0))&amp;IF(COUNTIF(_RefTable!$C$2:$C$501,$B75)&gt;1," (+"&amp;COUNTIF(_RefTable!$C$2:$C$501,$B75)-1&amp;" more)",""),IFERROR(INDEX(_MainTable!$B$2:$B$2001,MATCH($B75,_MainTable!$F$2:$F$2001,0)),"")))&amp;""="","—",(IFERROR(INDEX(_RefTable!$B$2:$B$501,MATCH($B75,_RefTable!$C$2:$C$501,0))&amp;IF(COUNTIF(_RefTable!$C$2:$C$501,$B75)&gt;1," (+"&amp;COUNTIF(_RefTable!$C$2:$C$501,$B75)-1&amp;" more)",""),IFERROR(INDEX(_MainTable!$B$2:$B$2001,MATCH($B75,_MainTable!$F$2:$F$2001,0)),"")))))</f>
        <v/>
      </c>
      <c r="D75" s="17" t="str">
        <f aca="false">IF($B75="","",IF((IFERROR(INDEX(_RefTable!$E$2:$E$501,MATCH($B75,_RefTable!$C$2:$C$501,0)),IFERROR(INDEX(_MainTable!$C$2:$C$2001,MATCH($B75,_MainTable!$F$2:$F$2001,0)),"")))&amp;""="","—",(IFERROR(INDEX(_RefTable!$E$2:$E$501,MATCH($B75,_RefTable!$C$2:$C$501,0)),IFERROR(INDEX(_MainTable!$C$2:$C$2001,MATCH($B75,_MainTable!$F$2:$F$2001,0)),"")))))</f>
        <v/>
      </c>
      <c r="E75" s="17" t="str">
        <f aca="false">IF($B75="","",IF((IFERROR(INDEX(_RefTable!$F$2:$F$501,MATCH($B75,_RefTable!$C$2:$C$501,0)),IFERROR(INDEX(_MainTable!$D$2:$D$2001,MATCH($B75,_MainTable!$F$2:$F$2001,0)),"")))&amp;""="","—",(IFERROR(INDEX(_RefTable!$F$2:$F$501,MATCH($B75,_RefTable!$C$2:$C$501,0)),IFERROR(INDEX(_MainTable!$D$2:$D$2001,MATCH($B75,_MainTable!$F$2:$F$2001,0)),"")))))</f>
        <v/>
      </c>
      <c r="F75" s="19" t="str">
        <f aca="false">IF($B75="","",IFERROR(_xlfn.MINIFS('SC Change Orders'!$E$2:$E$501,'SC Change Orders'!$B$2:$B$501,$B75,'SC Change Orders'!$C$2:$C$501,"&gt;="&amp;Controls!$C$5,'SC Change Orders'!$C$2:$C$501,"&lt;="&amp;Controls!$C$6),0))</f>
        <v/>
      </c>
      <c r="G75" s="19" t="str">
        <f aca="false">IF($B75="","",SUMIFS('SC Change Orders'!$F$2:$F$501,'SC Change Orders'!$B$2:$B$501,$B75,'SC Change Orders'!$C$2:$C$501,"&gt;="&amp;Controls!$C$5,'SC Change Orders'!$C$2:$C$501,"&lt;="&amp;Controls!$C$6))</f>
        <v/>
      </c>
      <c r="H75" s="19" t="str">
        <f aca="false">IF($B75="","",$F75+$G75)</f>
        <v/>
      </c>
      <c r="I75" s="19" t="str">
        <f aca="false">IF($B75="","",SUMIFS(_MainTable!$K$2:$K$2001,_MainTable!$F$2:$F$2001,$B75,_MainTable!$G$2:$G$2001,"&gt;="&amp;Controls!$C$5,_MainTable!$G$2:$G$2001,"&lt;="&amp;Controls!$C$6))</f>
        <v/>
      </c>
      <c r="J75" s="20" t="str">
        <f aca="false">IF($B75="","",IFERROR($I75/$H75,0))</f>
        <v/>
      </c>
      <c r="K75" s="19" t="str">
        <f aca="false">IF($B75="","",$H75-$I75)</f>
        <v/>
      </c>
      <c r="L75" s="19" t="str">
        <f aca="false">IF($B75="","",IFERROR(SUMIFS(_MainTable!$K$2:$K$2001,_MainTable!$F$2:$F$2001,$B75,_MainTable!$G$2:$G$2001,"&gt;="&amp;Controls!$C$12,_MainTable!$G$2:$G$2001,"&lt;="&amp;EOMONTH(Controls!$C$7,0))/MIN(Controls!$C$9,Controls!$C$10),0))</f>
        <v/>
      </c>
      <c r="M75" s="19" t="str">
        <f aca="false">IF($B75="","",$L75*Controls!$C$11)</f>
        <v/>
      </c>
      <c r="N75" s="19" t="str">
        <f aca="false">IF($B75="","",$I75+$M75)</f>
        <v/>
      </c>
      <c r="O75" s="20" t="str">
        <f aca="false">IF($B75="","",IFERROR($N75/$H75,0))</f>
        <v/>
      </c>
      <c r="P75" s="19" t="str">
        <f aca="false">IF($B75="","",$H75-$N75)</f>
        <v/>
      </c>
      <c r="Q75" s="21" t="str">
        <f aca="false">IF($B75="","",IF($L75&lt;=0,"n/a",IFERROR($K75/$L75,"n/a")))</f>
        <v/>
      </c>
      <c r="R75" s="22" t="str">
        <f aca="false">IF($B75="","",IF(AND($H75=0,$I75=0),"⚪ No Activity",IF(AND($H75=0,COUNTIFS('SC Change Orders'!$B$2:$B$501,$B75,'SC Change Orders'!$C$2:$C$501,"&gt;="&amp;Controls!$C$5,'SC Change Orders'!$C$2:$C$501,"&lt;="&amp;Controls!$C$6)=0),"⚪ No Funding on File",IF($H75=0,"🔴 Unfunded Spend",IF($I75&gt;=$H75,"🔴 Over Budget",IF($N75&gt;$H75,"🔴 Projected Shortfall",IF($J75&gt;=Controls!$C$8,"🟡 Watch","🟢 On Track")))))))</f>
        <v/>
      </c>
    </row>
    <row r="76" customFormat="false" ht="15" hidden="false" customHeight="false" outlineLevel="0" collapsed="false">
      <c r="A76" s="17" t="str">
        <f aca="false">IF($B76="","",IF((IFERROR(INDEX(_RefTable!$A$2:$A$501,MATCH($B76,_RefTable!$C$2:$C$501,0)),IFERROR(INDEX(_MainTable!$A$2:$A$2001,MATCH($B76,_MainTable!$F$2:$F$2001,0)),IFERROR(INDEX('SC Change Orders'!$A$2:$A$501,MATCH($B76,'SC Change Orders'!$B$2:$B$501,0)),"(unknown vendor)"))))&amp;""="","—",(IFERROR(INDEX(_RefTable!$A$2:$A$501,MATCH($B76,_RefTable!$C$2:$C$501,0)),IFERROR(INDEX(_MainTable!$A$2:$A$2001,MATCH($B76,_MainTable!$F$2:$F$2001,0)),IFERROR(INDEX('SC Change Orders'!$A$2:$A$501,MATCH($B76,'SC Change Orders'!$B$2:$B$501,0)),"(unknown vendor)"))))))</f>
        <v/>
      </c>
      <c r="B76" s="18" t="str">
        <f aca="false">IFERROR(INDEX('PO Index'!$B$5:$B$84,72),"")</f>
        <v/>
      </c>
      <c r="C76" s="17" t="str">
        <f aca="false">IF($B76="","",IF((IFERROR(INDEX(_RefTable!$B$2:$B$501,MATCH($B76,_RefTable!$C$2:$C$501,0))&amp;IF(COUNTIF(_RefTable!$C$2:$C$501,$B76)&gt;1," (+"&amp;COUNTIF(_RefTable!$C$2:$C$501,$B76)-1&amp;" more)",""),IFERROR(INDEX(_MainTable!$B$2:$B$2001,MATCH($B76,_MainTable!$F$2:$F$2001,0)),"")))&amp;""="","—",(IFERROR(INDEX(_RefTable!$B$2:$B$501,MATCH($B76,_RefTable!$C$2:$C$501,0))&amp;IF(COUNTIF(_RefTable!$C$2:$C$501,$B76)&gt;1," (+"&amp;COUNTIF(_RefTable!$C$2:$C$501,$B76)-1&amp;" more)",""),IFERROR(INDEX(_MainTable!$B$2:$B$2001,MATCH($B76,_MainTable!$F$2:$F$2001,0)),"")))))</f>
        <v/>
      </c>
      <c r="D76" s="17" t="str">
        <f aca="false">IF($B76="","",IF((IFERROR(INDEX(_RefTable!$E$2:$E$501,MATCH($B76,_RefTable!$C$2:$C$501,0)),IFERROR(INDEX(_MainTable!$C$2:$C$2001,MATCH($B76,_MainTable!$F$2:$F$2001,0)),"")))&amp;""="","—",(IFERROR(INDEX(_RefTable!$E$2:$E$501,MATCH($B76,_RefTable!$C$2:$C$501,0)),IFERROR(INDEX(_MainTable!$C$2:$C$2001,MATCH($B76,_MainTable!$F$2:$F$2001,0)),"")))))</f>
        <v/>
      </c>
      <c r="E76" s="17" t="str">
        <f aca="false">IF($B76="","",IF((IFERROR(INDEX(_RefTable!$F$2:$F$501,MATCH($B76,_RefTable!$C$2:$C$501,0)),IFERROR(INDEX(_MainTable!$D$2:$D$2001,MATCH($B76,_MainTable!$F$2:$F$2001,0)),"")))&amp;""="","—",(IFERROR(INDEX(_RefTable!$F$2:$F$501,MATCH($B76,_RefTable!$C$2:$C$501,0)),IFERROR(INDEX(_MainTable!$D$2:$D$2001,MATCH($B76,_MainTable!$F$2:$F$2001,0)),"")))))</f>
        <v/>
      </c>
      <c r="F76" s="19" t="str">
        <f aca="false">IF($B76="","",IFERROR(_xlfn.MINIFS('SC Change Orders'!$E$2:$E$501,'SC Change Orders'!$B$2:$B$501,$B76,'SC Change Orders'!$C$2:$C$501,"&gt;="&amp;Controls!$C$5,'SC Change Orders'!$C$2:$C$501,"&lt;="&amp;Controls!$C$6),0))</f>
        <v/>
      </c>
      <c r="G76" s="19" t="str">
        <f aca="false">IF($B76="","",SUMIFS('SC Change Orders'!$F$2:$F$501,'SC Change Orders'!$B$2:$B$501,$B76,'SC Change Orders'!$C$2:$C$501,"&gt;="&amp;Controls!$C$5,'SC Change Orders'!$C$2:$C$501,"&lt;="&amp;Controls!$C$6))</f>
        <v/>
      </c>
      <c r="H76" s="19" t="str">
        <f aca="false">IF($B76="","",$F76+$G76)</f>
        <v/>
      </c>
      <c r="I76" s="19" t="str">
        <f aca="false">IF($B76="","",SUMIFS(_MainTable!$K$2:$K$2001,_MainTable!$F$2:$F$2001,$B76,_MainTable!$G$2:$G$2001,"&gt;="&amp;Controls!$C$5,_MainTable!$G$2:$G$2001,"&lt;="&amp;Controls!$C$6))</f>
        <v/>
      </c>
      <c r="J76" s="20" t="str">
        <f aca="false">IF($B76="","",IFERROR($I76/$H76,0))</f>
        <v/>
      </c>
      <c r="K76" s="19" t="str">
        <f aca="false">IF($B76="","",$H76-$I76)</f>
        <v/>
      </c>
      <c r="L76" s="19" t="str">
        <f aca="false">IF($B76="","",IFERROR(SUMIFS(_MainTable!$K$2:$K$2001,_MainTable!$F$2:$F$2001,$B76,_MainTable!$G$2:$G$2001,"&gt;="&amp;Controls!$C$12,_MainTable!$G$2:$G$2001,"&lt;="&amp;EOMONTH(Controls!$C$7,0))/MIN(Controls!$C$9,Controls!$C$10),0))</f>
        <v/>
      </c>
      <c r="M76" s="19" t="str">
        <f aca="false">IF($B76="","",$L76*Controls!$C$11)</f>
        <v/>
      </c>
      <c r="N76" s="19" t="str">
        <f aca="false">IF($B76="","",$I76+$M76)</f>
        <v/>
      </c>
      <c r="O76" s="20" t="str">
        <f aca="false">IF($B76="","",IFERROR($N76/$H76,0))</f>
        <v/>
      </c>
      <c r="P76" s="19" t="str">
        <f aca="false">IF($B76="","",$H76-$N76)</f>
        <v/>
      </c>
      <c r="Q76" s="21" t="str">
        <f aca="false">IF($B76="","",IF($L76&lt;=0,"n/a",IFERROR($K76/$L76,"n/a")))</f>
        <v/>
      </c>
      <c r="R76" s="22" t="str">
        <f aca="false">IF($B76="","",IF(AND($H76=0,$I76=0),"⚪ No Activity",IF(AND($H76=0,COUNTIFS('SC Change Orders'!$B$2:$B$501,$B76,'SC Change Orders'!$C$2:$C$501,"&gt;="&amp;Controls!$C$5,'SC Change Orders'!$C$2:$C$501,"&lt;="&amp;Controls!$C$6)=0),"⚪ No Funding on File",IF($H76=0,"🔴 Unfunded Spend",IF($I76&gt;=$H76,"🔴 Over Budget",IF($N76&gt;$H76,"🔴 Projected Shortfall",IF($J76&gt;=Controls!$C$8,"🟡 Watch","🟢 On Track")))))))</f>
        <v/>
      </c>
    </row>
    <row r="77" customFormat="false" ht="15" hidden="false" customHeight="false" outlineLevel="0" collapsed="false">
      <c r="A77" s="17" t="str">
        <f aca="false">IF($B77="","",IF((IFERROR(INDEX(_RefTable!$A$2:$A$501,MATCH($B77,_RefTable!$C$2:$C$501,0)),IFERROR(INDEX(_MainTable!$A$2:$A$2001,MATCH($B77,_MainTable!$F$2:$F$2001,0)),IFERROR(INDEX('SC Change Orders'!$A$2:$A$501,MATCH($B77,'SC Change Orders'!$B$2:$B$501,0)),"(unknown vendor)"))))&amp;""="","—",(IFERROR(INDEX(_RefTable!$A$2:$A$501,MATCH($B77,_RefTable!$C$2:$C$501,0)),IFERROR(INDEX(_MainTable!$A$2:$A$2001,MATCH($B77,_MainTable!$F$2:$F$2001,0)),IFERROR(INDEX('SC Change Orders'!$A$2:$A$501,MATCH($B77,'SC Change Orders'!$B$2:$B$501,0)),"(unknown vendor)"))))))</f>
        <v/>
      </c>
      <c r="B77" s="18" t="str">
        <f aca="false">IFERROR(INDEX('PO Index'!$B$5:$B$84,73),"")</f>
        <v/>
      </c>
      <c r="C77" s="17" t="str">
        <f aca="false">IF($B77="","",IF((IFERROR(INDEX(_RefTable!$B$2:$B$501,MATCH($B77,_RefTable!$C$2:$C$501,0))&amp;IF(COUNTIF(_RefTable!$C$2:$C$501,$B77)&gt;1," (+"&amp;COUNTIF(_RefTable!$C$2:$C$501,$B77)-1&amp;" more)",""),IFERROR(INDEX(_MainTable!$B$2:$B$2001,MATCH($B77,_MainTable!$F$2:$F$2001,0)),"")))&amp;""="","—",(IFERROR(INDEX(_RefTable!$B$2:$B$501,MATCH($B77,_RefTable!$C$2:$C$501,0))&amp;IF(COUNTIF(_RefTable!$C$2:$C$501,$B77)&gt;1," (+"&amp;COUNTIF(_RefTable!$C$2:$C$501,$B77)-1&amp;" more)",""),IFERROR(INDEX(_MainTable!$B$2:$B$2001,MATCH($B77,_MainTable!$F$2:$F$2001,0)),"")))))</f>
        <v/>
      </c>
      <c r="D77" s="17" t="str">
        <f aca="false">IF($B77="","",IF((IFERROR(INDEX(_RefTable!$E$2:$E$501,MATCH($B77,_RefTable!$C$2:$C$501,0)),IFERROR(INDEX(_MainTable!$C$2:$C$2001,MATCH($B77,_MainTable!$F$2:$F$2001,0)),"")))&amp;""="","—",(IFERROR(INDEX(_RefTable!$E$2:$E$501,MATCH($B77,_RefTable!$C$2:$C$501,0)),IFERROR(INDEX(_MainTable!$C$2:$C$2001,MATCH($B77,_MainTable!$F$2:$F$2001,0)),"")))))</f>
        <v/>
      </c>
      <c r="E77" s="17" t="str">
        <f aca="false">IF($B77="","",IF((IFERROR(INDEX(_RefTable!$F$2:$F$501,MATCH($B77,_RefTable!$C$2:$C$501,0)),IFERROR(INDEX(_MainTable!$D$2:$D$2001,MATCH($B77,_MainTable!$F$2:$F$2001,0)),"")))&amp;""="","—",(IFERROR(INDEX(_RefTable!$F$2:$F$501,MATCH($B77,_RefTable!$C$2:$C$501,0)),IFERROR(INDEX(_MainTable!$D$2:$D$2001,MATCH($B77,_MainTable!$F$2:$F$2001,0)),"")))))</f>
        <v/>
      </c>
      <c r="F77" s="19" t="str">
        <f aca="false">IF($B77="","",IFERROR(_xlfn.MINIFS('SC Change Orders'!$E$2:$E$501,'SC Change Orders'!$B$2:$B$501,$B77,'SC Change Orders'!$C$2:$C$501,"&gt;="&amp;Controls!$C$5,'SC Change Orders'!$C$2:$C$501,"&lt;="&amp;Controls!$C$6),0))</f>
        <v/>
      </c>
      <c r="G77" s="19" t="str">
        <f aca="false">IF($B77="","",SUMIFS('SC Change Orders'!$F$2:$F$501,'SC Change Orders'!$B$2:$B$501,$B77,'SC Change Orders'!$C$2:$C$501,"&gt;="&amp;Controls!$C$5,'SC Change Orders'!$C$2:$C$501,"&lt;="&amp;Controls!$C$6))</f>
        <v/>
      </c>
      <c r="H77" s="19" t="str">
        <f aca="false">IF($B77="","",$F77+$G77)</f>
        <v/>
      </c>
      <c r="I77" s="19" t="str">
        <f aca="false">IF($B77="","",SUMIFS(_MainTable!$K$2:$K$2001,_MainTable!$F$2:$F$2001,$B77,_MainTable!$G$2:$G$2001,"&gt;="&amp;Controls!$C$5,_MainTable!$G$2:$G$2001,"&lt;="&amp;Controls!$C$6))</f>
        <v/>
      </c>
      <c r="J77" s="20" t="str">
        <f aca="false">IF($B77="","",IFERROR($I77/$H77,0))</f>
        <v/>
      </c>
      <c r="K77" s="19" t="str">
        <f aca="false">IF($B77="","",$H77-$I77)</f>
        <v/>
      </c>
      <c r="L77" s="19" t="str">
        <f aca="false">IF($B77="","",IFERROR(SUMIFS(_MainTable!$K$2:$K$2001,_MainTable!$F$2:$F$2001,$B77,_MainTable!$G$2:$G$2001,"&gt;="&amp;Controls!$C$12,_MainTable!$G$2:$G$2001,"&lt;="&amp;EOMONTH(Controls!$C$7,0))/MIN(Controls!$C$9,Controls!$C$10),0))</f>
        <v/>
      </c>
      <c r="M77" s="19" t="str">
        <f aca="false">IF($B77="","",$L77*Controls!$C$11)</f>
        <v/>
      </c>
      <c r="N77" s="19" t="str">
        <f aca="false">IF($B77="","",$I77+$M77)</f>
        <v/>
      </c>
      <c r="O77" s="20" t="str">
        <f aca="false">IF($B77="","",IFERROR($N77/$H77,0))</f>
        <v/>
      </c>
      <c r="P77" s="19" t="str">
        <f aca="false">IF($B77="","",$H77-$N77)</f>
        <v/>
      </c>
      <c r="Q77" s="21" t="str">
        <f aca="false">IF($B77="","",IF($L77&lt;=0,"n/a",IFERROR($K77/$L77,"n/a")))</f>
        <v/>
      </c>
      <c r="R77" s="22" t="str">
        <f aca="false">IF($B77="","",IF(AND($H77=0,$I77=0),"⚪ No Activity",IF(AND($H77=0,COUNTIFS('SC Change Orders'!$B$2:$B$501,$B77,'SC Change Orders'!$C$2:$C$501,"&gt;="&amp;Controls!$C$5,'SC Change Orders'!$C$2:$C$501,"&lt;="&amp;Controls!$C$6)=0),"⚪ No Funding on File",IF($H77=0,"🔴 Unfunded Spend",IF($I77&gt;=$H77,"🔴 Over Budget",IF($N77&gt;$H77,"🔴 Projected Shortfall",IF($J77&gt;=Controls!$C$8,"🟡 Watch","🟢 On Track")))))))</f>
        <v/>
      </c>
    </row>
    <row r="78" customFormat="false" ht="15" hidden="false" customHeight="false" outlineLevel="0" collapsed="false">
      <c r="A78" s="17" t="str">
        <f aca="false">IF($B78="","",IF((IFERROR(INDEX(_RefTable!$A$2:$A$501,MATCH($B78,_RefTable!$C$2:$C$501,0)),IFERROR(INDEX(_MainTable!$A$2:$A$2001,MATCH($B78,_MainTable!$F$2:$F$2001,0)),IFERROR(INDEX('SC Change Orders'!$A$2:$A$501,MATCH($B78,'SC Change Orders'!$B$2:$B$501,0)),"(unknown vendor)"))))&amp;""="","—",(IFERROR(INDEX(_RefTable!$A$2:$A$501,MATCH($B78,_RefTable!$C$2:$C$501,0)),IFERROR(INDEX(_MainTable!$A$2:$A$2001,MATCH($B78,_MainTable!$F$2:$F$2001,0)),IFERROR(INDEX('SC Change Orders'!$A$2:$A$501,MATCH($B78,'SC Change Orders'!$B$2:$B$501,0)),"(unknown vendor)"))))))</f>
        <v/>
      </c>
      <c r="B78" s="18" t="str">
        <f aca="false">IFERROR(INDEX('PO Index'!$B$5:$B$84,74),"")</f>
        <v/>
      </c>
      <c r="C78" s="17" t="str">
        <f aca="false">IF($B78="","",IF((IFERROR(INDEX(_RefTable!$B$2:$B$501,MATCH($B78,_RefTable!$C$2:$C$501,0))&amp;IF(COUNTIF(_RefTable!$C$2:$C$501,$B78)&gt;1," (+"&amp;COUNTIF(_RefTable!$C$2:$C$501,$B78)-1&amp;" more)",""),IFERROR(INDEX(_MainTable!$B$2:$B$2001,MATCH($B78,_MainTable!$F$2:$F$2001,0)),"")))&amp;""="","—",(IFERROR(INDEX(_RefTable!$B$2:$B$501,MATCH($B78,_RefTable!$C$2:$C$501,0))&amp;IF(COUNTIF(_RefTable!$C$2:$C$501,$B78)&gt;1," (+"&amp;COUNTIF(_RefTable!$C$2:$C$501,$B78)-1&amp;" more)",""),IFERROR(INDEX(_MainTable!$B$2:$B$2001,MATCH($B78,_MainTable!$F$2:$F$2001,0)),"")))))</f>
        <v/>
      </c>
      <c r="D78" s="17" t="str">
        <f aca="false">IF($B78="","",IF((IFERROR(INDEX(_RefTable!$E$2:$E$501,MATCH($B78,_RefTable!$C$2:$C$501,0)),IFERROR(INDEX(_MainTable!$C$2:$C$2001,MATCH($B78,_MainTable!$F$2:$F$2001,0)),"")))&amp;""="","—",(IFERROR(INDEX(_RefTable!$E$2:$E$501,MATCH($B78,_RefTable!$C$2:$C$501,0)),IFERROR(INDEX(_MainTable!$C$2:$C$2001,MATCH($B78,_MainTable!$F$2:$F$2001,0)),"")))))</f>
        <v/>
      </c>
      <c r="E78" s="17" t="str">
        <f aca="false">IF($B78="","",IF((IFERROR(INDEX(_RefTable!$F$2:$F$501,MATCH($B78,_RefTable!$C$2:$C$501,0)),IFERROR(INDEX(_MainTable!$D$2:$D$2001,MATCH($B78,_MainTable!$F$2:$F$2001,0)),"")))&amp;""="","—",(IFERROR(INDEX(_RefTable!$F$2:$F$501,MATCH($B78,_RefTable!$C$2:$C$501,0)),IFERROR(INDEX(_MainTable!$D$2:$D$2001,MATCH($B78,_MainTable!$F$2:$F$2001,0)),"")))))</f>
        <v/>
      </c>
      <c r="F78" s="19" t="str">
        <f aca="false">IF($B78="","",IFERROR(_xlfn.MINIFS('SC Change Orders'!$E$2:$E$501,'SC Change Orders'!$B$2:$B$501,$B78,'SC Change Orders'!$C$2:$C$501,"&gt;="&amp;Controls!$C$5,'SC Change Orders'!$C$2:$C$501,"&lt;="&amp;Controls!$C$6),0))</f>
        <v/>
      </c>
      <c r="G78" s="19" t="str">
        <f aca="false">IF($B78="","",SUMIFS('SC Change Orders'!$F$2:$F$501,'SC Change Orders'!$B$2:$B$501,$B78,'SC Change Orders'!$C$2:$C$501,"&gt;="&amp;Controls!$C$5,'SC Change Orders'!$C$2:$C$501,"&lt;="&amp;Controls!$C$6))</f>
        <v/>
      </c>
      <c r="H78" s="19" t="str">
        <f aca="false">IF($B78="","",$F78+$G78)</f>
        <v/>
      </c>
      <c r="I78" s="19" t="str">
        <f aca="false">IF($B78="","",SUMIFS(_MainTable!$K$2:$K$2001,_MainTable!$F$2:$F$2001,$B78,_MainTable!$G$2:$G$2001,"&gt;="&amp;Controls!$C$5,_MainTable!$G$2:$G$2001,"&lt;="&amp;Controls!$C$6))</f>
        <v/>
      </c>
      <c r="J78" s="20" t="str">
        <f aca="false">IF($B78="","",IFERROR($I78/$H78,0))</f>
        <v/>
      </c>
      <c r="K78" s="19" t="str">
        <f aca="false">IF($B78="","",$H78-$I78)</f>
        <v/>
      </c>
      <c r="L78" s="19" t="str">
        <f aca="false">IF($B78="","",IFERROR(SUMIFS(_MainTable!$K$2:$K$2001,_MainTable!$F$2:$F$2001,$B78,_MainTable!$G$2:$G$2001,"&gt;="&amp;Controls!$C$12,_MainTable!$G$2:$G$2001,"&lt;="&amp;EOMONTH(Controls!$C$7,0))/MIN(Controls!$C$9,Controls!$C$10),0))</f>
        <v/>
      </c>
      <c r="M78" s="19" t="str">
        <f aca="false">IF($B78="","",$L78*Controls!$C$11)</f>
        <v/>
      </c>
      <c r="N78" s="19" t="str">
        <f aca="false">IF($B78="","",$I78+$M78)</f>
        <v/>
      </c>
      <c r="O78" s="20" t="str">
        <f aca="false">IF($B78="","",IFERROR($N78/$H78,0))</f>
        <v/>
      </c>
      <c r="P78" s="19" t="str">
        <f aca="false">IF($B78="","",$H78-$N78)</f>
        <v/>
      </c>
      <c r="Q78" s="21" t="str">
        <f aca="false">IF($B78="","",IF($L78&lt;=0,"n/a",IFERROR($K78/$L78,"n/a")))</f>
        <v/>
      </c>
      <c r="R78" s="22" t="str">
        <f aca="false">IF($B78="","",IF(AND($H78=0,$I78=0),"⚪ No Activity",IF(AND($H78=0,COUNTIFS('SC Change Orders'!$B$2:$B$501,$B78,'SC Change Orders'!$C$2:$C$501,"&gt;="&amp;Controls!$C$5,'SC Change Orders'!$C$2:$C$501,"&lt;="&amp;Controls!$C$6)=0),"⚪ No Funding on File",IF($H78=0,"🔴 Unfunded Spend",IF($I78&gt;=$H78,"🔴 Over Budget",IF($N78&gt;$H78,"🔴 Projected Shortfall",IF($J78&gt;=Controls!$C$8,"🟡 Watch","🟢 On Track")))))))</f>
        <v/>
      </c>
    </row>
    <row r="79" customFormat="false" ht="15" hidden="false" customHeight="false" outlineLevel="0" collapsed="false">
      <c r="A79" s="17" t="str">
        <f aca="false">IF($B79="","",IF((IFERROR(INDEX(_RefTable!$A$2:$A$501,MATCH($B79,_RefTable!$C$2:$C$501,0)),IFERROR(INDEX(_MainTable!$A$2:$A$2001,MATCH($B79,_MainTable!$F$2:$F$2001,0)),IFERROR(INDEX('SC Change Orders'!$A$2:$A$501,MATCH($B79,'SC Change Orders'!$B$2:$B$501,0)),"(unknown vendor)"))))&amp;""="","—",(IFERROR(INDEX(_RefTable!$A$2:$A$501,MATCH($B79,_RefTable!$C$2:$C$501,0)),IFERROR(INDEX(_MainTable!$A$2:$A$2001,MATCH($B79,_MainTable!$F$2:$F$2001,0)),IFERROR(INDEX('SC Change Orders'!$A$2:$A$501,MATCH($B79,'SC Change Orders'!$B$2:$B$501,0)),"(unknown vendor)"))))))</f>
        <v/>
      </c>
      <c r="B79" s="18" t="str">
        <f aca="false">IFERROR(INDEX('PO Index'!$B$5:$B$84,75),"")</f>
        <v/>
      </c>
      <c r="C79" s="17" t="str">
        <f aca="false">IF($B79="","",IF((IFERROR(INDEX(_RefTable!$B$2:$B$501,MATCH($B79,_RefTable!$C$2:$C$501,0))&amp;IF(COUNTIF(_RefTable!$C$2:$C$501,$B79)&gt;1," (+"&amp;COUNTIF(_RefTable!$C$2:$C$501,$B79)-1&amp;" more)",""),IFERROR(INDEX(_MainTable!$B$2:$B$2001,MATCH($B79,_MainTable!$F$2:$F$2001,0)),"")))&amp;""="","—",(IFERROR(INDEX(_RefTable!$B$2:$B$501,MATCH($B79,_RefTable!$C$2:$C$501,0))&amp;IF(COUNTIF(_RefTable!$C$2:$C$501,$B79)&gt;1," (+"&amp;COUNTIF(_RefTable!$C$2:$C$501,$B79)-1&amp;" more)",""),IFERROR(INDEX(_MainTable!$B$2:$B$2001,MATCH($B79,_MainTable!$F$2:$F$2001,0)),"")))))</f>
        <v/>
      </c>
      <c r="D79" s="17" t="str">
        <f aca="false">IF($B79="","",IF((IFERROR(INDEX(_RefTable!$E$2:$E$501,MATCH($B79,_RefTable!$C$2:$C$501,0)),IFERROR(INDEX(_MainTable!$C$2:$C$2001,MATCH($B79,_MainTable!$F$2:$F$2001,0)),"")))&amp;""="","—",(IFERROR(INDEX(_RefTable!$E$2:$E$501,MATCH($B79,_RefTable!$C$2:$C$501,0)),IFERROR(INDEX(_MainTable!$C$2:$C$2001,MATCH($B79,_MainTable!$F$2:$F$2001,0)),"")))))</f>
        <v/>
      </c>
      <c r="E79" s="17" t="str">
        <f aca="false">IF($B79="","",IF((IFERROR(INDEX(_RefTable!$F$2:$F$501,MATCH($B79,_RefTable!$C$2:$C$501,0)),IFERROR(INDEX(_MainTable!$D$2:$D$2001,MATCH($B79,_MainTable!$F$2:$F$2001,0)),"")))&amp;""="","—",(IFERROR(INDEX(_RefTable!$F$2:$F$501,MATCH($B79,_RefTable!$C$2:$C$501,0)),IFERROR(INDEX(_MainTable!$D$2:$D$2001,MATCH($B79,_MainTable!$F$2:$F$2001,0)),"")))))</f>
        <v/>
      </c>
      <c r="F79" s="19" t="str">
        <f aca="false">IF($B79="","",IFERROR(_xlfn.MINIFS('SC Change Orders'!$E$2:$E$501,'SC Change Orders'!$B$2:$B$501,$B79,'SC Change Orders'!$C$2:$C$501,"&gt;="&amp;Controls!$C$5,'SC Change Orders'!$C$2:$C$501,"&lt;="&amp;Controls!$C$6),0))</f>
        <v/>
      </c>
      <c r="G79" s="19" t="str">
        <f aca="false">IF($B79="","",SUMIFS('SC Change Orders'!$F$2:$F$501,'SC Change Orders'!$B$2:$B$501,$B79,'SC Change Orders'!$C$2:$C$501,"&gt;="&amp;Controls!$C$5,'SC Change Orders'!$C$2:$C$501,"&lt;="&amp;Controls!$C$6))</f>
        <v/>
      </c>
      <c r="H79" s="19" t="str">
        <f aca="false">IF($B79="","",$F79+$G79)</f>
        <v/>
      </c>
      <c r="I79" s="19" t="str">
        <f aca="false">IF($B79="","",SUMIFS(_MainTable!$K$2:$K$2001,_MainTable!$F$2:$F$2001,$B79,_MainTable!$G$2:$G$2001,"&gt;="&amp;Controls!$C$5,_MainTable!$G$2:$G$2001,"&lt;="&amp;Controls!$C$6))</f>
        <v/>
      </c>
      <c r="J79" s="20" t="str">
        <f aca="false">IF($B79="","",IFERROR($I79/$H79,0))</f>
        <v/>
      </c>
      <c r="K79" s="19" t="str">
        <f aca="false">IF($B79="","",$H79-$I79)</f>
        <v/>
      </c>
      <c r="L79" s="19" t="str">
        <f aca="false">IF($B79="","",IFERROR(SUMIFS(_MainTable!$K$2:$K$2001,_MainTable!$F$2:$F$2001,$B79,_MainTable!$G$2:$G$2001,"&gt;="&amp;Controls!$C$12,_MainTable!$G$2:$G$2001,"&lt;="&amp;EOMONTH(Controls!$C$7,0))/MIN(Controls!$C$9,Controls!$C$10),0))</f>
        <v/>
      </c>
      <c r="M79" s="19" t="str">
        <f aca="false">IF($B79="","",$L79*Controls!$C$11)</f>
        <v/>
      </c>
      <c r="N79" s="19" t="str">
        <f aca="false">IF($B79="","",$I79+$M79)</f>
        <v/>
      </c>
      <c r="O79" s="20" t="str">
        <f aca="false">IF($B79="","",IFERROR($N79/$H79,0))</f>
        <v/>
      </c>
      <c r="P79" s="19" t="str">
        <f aca="false">IF($B79="","",$H79-$N79)</f>
        <v/>
      </c>
      <c r="Q79" s="21" t="str">
        <f aca="false">IF($B79="","",IF($L79&lt;=0,"n/a",IFERROR($K79/$L79,"n/a")))</f>
        <v/>
      </c>
      <c r="R79" s="22" t="str">
        <f aca="false">IF($B79="","",IF(AND($H79=0,$I79=0),"⚪ No Activity",IF(AND($H79=0,COUNTIFS('SC Change Orders'!$B$2:$B$501,$B79,'SC Change Orders'!$C$2:$C$501,"&gt;="&amp;Controls!$C$5,'SC Change Orders'!$C$2:$C$501,"&lt;="&amp;Controls!$C$6)=0),"⚪ No Funding on File",IF($H79=0,"🔴 Unfunded Spend",IF($I79&gt;=$H79,"🔴 Over Budget",IF($N79&gt;$H79,"🔴 Projected Shortfall",IF($J79&gt;=Controls!$C$8,"🟡 Watch","🟢 On Track")))))))</f>
        <v/>
      </c>
    </row>
    <row r="80" customFormat="false" ht="15" hidden="false" customHeight="false" outlineLevel="0" collapsed="false">
      <c r="A80" s="17" t="str">
        <f aca="false">IF($B80="","",IF((IFERROR(INDEX(_RefTable!$A$2:$A$501,MATCH($B80,_RefTable!$C$2:$C$501,0)),IFERROR(INDEX(_MainTable!$A$2:$A$2001,MATCH($B80,_MainTable!$F$2:$F$2001,0)),IFERROR(INDEX('SC Change Orders'!$A$2:$A$501,MATCH($B80,'SC Change Orders'!$B$2:$B$501,0)),"(unknown vendor)"))))&amp;""="","—",(IFERROR(INDEX(_RefTable!$A$2:$A$501,MATCH($B80,_RefTable!$C$2:$C$501,0)),IFERROR(INDEX(_MainTable!$A$2:$A$2001,MATCH($B80,_MainTable!$F$2:$F$2001,0)),IFERROR(INDEX('SC Change Orders'!$A$2:$A$501,MATCH($B80,'SC Change Orders'!$B$2:$B$501,0)),"(unknown vendor)"))))))</f>
        <v/>
      </c>
      <c r="B80" s="18" t="str">
        <f aca="false">IFERROR(INDEX('PO Index'!$B$5:$B$84,76),"")</f>
        <v/>
      </c>
      <c r="C80" s="17" t="str">
        <f aca="false">IF($B80="","",IF((IFERROR(INDEX(_RefTable!$B$2:$B$501,MATCH($B80,_RefTable!$C$2:$C$501,0))&amp;IF(COUNTIF(_RefTable!$C$2:$C$501,$B80)&gt;1," (+"&amp;COUNTIF(_RefTable!$C$2:$C$501,$B80)-1&amp;" more)",""),IFERROR(INDEX(_MainTable!$B$2:$B$2001,MATCH($B80,_MainTable!$F$2:$F$2001,0)),"")))&amp;""="","—",(IFERROR(INDEX(_RefTable!$B$2:$B$501,MATCH($B80,_RefTable!$C$2:$C$501,0))&amp;IF(COUNTIF(_RefTable!$C$2:$C$501,$B80)&gt;1," (+"&amp;COUNTIF(_RefTable!$C$2:$C$501,$B80)-1&amp;" more)",""),IFERROR(INDEX(_MainTable!$B$2:$B$2001,MATCH($B80,_MainTable!$F$2:$F$2001,0)),"")))))</f>
        <v/>
      </c>
      <c r="D80" s="17" t="str">
        <f aca="false">IF($B80="","",IF((IFERROR(INDEX(_RefTable!$E$2:$E$501,MATCH($B80,_RefTable!$C$2:$C$501,0)),IFERROR(INDEX(_MainTable!$C$2:$C$2001,MATCH($B80,_MainTable!$F$2:$F$2001,0)),"")))&amp;""="","—",(IFERROR(INDEX(_RefTable!$E$2:$E$501,MATCH($B80,_RefTable!$C$2:$C$501,0)),IFERROR(INDEX(_MainTable!$C$2:$C$2001,MATCH($B80,_MainTable!$F$2:$F$2001,0)),"")))))</f>
        <v/>
      </c>
      <c r="E80" s="17" t="str">
        <f aca="false">IF($B80="","",IF((IFERROR(INDEX(_RefTable!$F$2:$F$501,MATCH($B80,_RefTable!$C$2:$C$501,0)),IFERROR(INDEX(_MainTable!$D$2:$D$2001,MATCH($B80,_MainTable!$F$2:$F$2001,0)),"")))&amp;""="","—",(IFERROR(INDEX(_RefTable!$F$2:$F$501,MATCH($B80,_RefTable!$C$2:$C$501,0)),IFERROR(INDEX(_MainTable!$D$2:$D$2001,MATCH($B80,_MainTable!$F$2:$F$2001,0)),"")))))</f>
        <v/>
      </c>
      <c r="F80" s="19" t="str">
        <f aca="false">IF($B80="","",IFERROR(_xlfn.MINIFS('SC Change Orders'!$E$2:$E$501,'SC Change Orders'!$B$2:$B$501,$B80,'SC Change Orders'!$C$2:$C$501,"&gt;="&amp;Controls!$C$5,'SC Change Orders'!$C$2:$C$501,"&lt;="&amp;Controls!$C$6),0))</f>
        <v/>
      </c>
      <c r="G80" s="19" t="str">
        <f aca="false">IF($B80="","",SUMIFS('SC Change Orders'!$F$2:$F$501,'SC Change Orders'!$B$2:$B$501,$B80,'SC Change Orders'!$C$2:$C$501,"&gt;="&amp;Controls!$C$5,'SC Change Orders'!$C$2:$C$501,"&lt;="&amp;Controls!$C$6))</f>
        <v/>
      </c>
      <c r="H80" s="19" t="str">
        <f aca="false">IF($B80="","",$F80+$G80)</f>
        <v/>
      </c>
      <c r="I80" s="19" t="str">
        <f aca="false">IF($B80="","",SUMIFS(_MainTable!$K$2:$K$2001,_MainTable!$F$2:$F$2001,$B80,_MainTable!$G$2:$G$2001,"&gt;="&amp;Controls!$C$5,_MainTable!$G$2:$G$2001,"&lt;="&amp;Controls!$C$6))</f>
        <v/>
      </c>
      <c r="J80" s="20" t="str">
        <f aca="false">IF($B80="","",IFERROR($I80/$H80,0))</f>
        <v/>
      </c>
      <c r="K80" s="19" t="str">
        <f aca="false">IF($B80="","",$H80-$I80)</f>
        <v/>
      </c>
      <c r="L80" s="19" t="str">
        <f aca="false">IF($B80="","",IFERROR(SUMIFS(_MainTable!$K$2:$K$2001,_MainTable!$F$2:$F$2001,$B80,_MainTable!$G$2:$G$2001,"&gt;="&amp;Controls!$C$12,_MainTable!$G$2:$G$2001,"&lt;="&amp;EOMONTH(Controls!$C$7,0))/MIN(Controls!$C$9,Controls!$C$10),0))</f>
        <v/>
      </c>
      <c r="M80" s="19" t="str">
        <f aca="false">IF($B80="","",$L80*Controls!$C$11)</f>
        <v/>
      </c>
      <c r="N80" s="19" t="str">
        <f aca="false">IF($B80="","",$I80+$M80)</f>
        <v/>
      </c>
      <c r="O80" s="20" t="str">
        <f aca="false">IF($B80="","",IFERROR($N80/$H80,0))</f>
        <v/>
      </c>
      <c r="P80" s="19" t="str">
        <f aca="false">IF($B80="","",$H80-$N80)</f>
        <v/>
      </c>
      <c r="Q80" s="21" t="str">
        <f aca="false">IF($B80="","",IF($L80&lt;=0,"n/a",IFERROR($K80/$L80,"n/a")))</f>
        <v/>
      </c>
      <c r="R80" s="22" t="str">
        <f aca="false">IF($B80="","",IF(AND($H80=0,$I80=0),"⚪ No Activity",IF(AND($H80=0,COUNTIFS('SC Change Orders'!$B$2:$B$501,$B80,'SC Change Orders'!$C$2:$C$501,"&gt;="&amp;Controls!$C$5,'SC Change Orders'!$C$2:$C$501,"&lt;="&amp;Controls!$C$6)=0),"⚪ No Funding on File",IF($H80=0,"🔴 Unfunded Spend",IF($I80&gt;=$H80,"🔴 Over Budget",IF($N80&gt;$H80,"🔴 Projected Shortfall",IF($J80&gt;=Controls!$C$8,"🟡 Watch","🟢 On Track")))))))</f>
        <v/>
      </c>
    </row>
    <row r="81" customFormat="false" ht="15" hidden="false" customHeight="false" outlineLevel="0" collapsed="false">
      <c r="A81" s="17" t="str">
        <f aca="false">IF($B81="","",IF((IFERROR(INDEX(_RefTable!$A$2:$A$501,MATCH($B81,_RefTable!$C$2:$C$501,0)),IFERROR(INDEX(_MainTable!$A$2:$A$2001,MATCH($B81,_MainTable!$F$2:$F$2001,0)),IFERROR(INDEX('SC Change Orders'!$A$2:$A$501,MATCH($B81,'SC Change Orders'!$B$2:$B$501,0)),"(unknown vendor)"))))&amp;""="","—",(IFERROR(INDEX(_RefTable!$A$2:$A$501,MATCH($B81,_RefTable!$C$2:$C$501,0)),IFERROR(INDEX(_MainTable!$A$2:$A$2001,MATCH($B81,_MainTable!$F$2:$F$2001,0)),IFERROR(INDEX('SC Change Orders'!$A$2:$A$501,MATCH($B81,'SC Change Orders'!$B$2:$B$501,0)),"(unknown vendor)"))))))</f>
        <v/>
      </c>
      <c r="B81" s="18" t="str">
        <f aca="false">IFERROR(INDEX('PO Index'!$B$5:$B$84,77),"")</f>
        <v/>
      </c>
      <c r="C81" s="17" t="str">
        <f aca="false">IF($B81="","",IF((IFERROR(INDEX(_RefTable!$B$2:$B$501,MATCH($B81,_RefTable!$C$2:$C$501,0))&amp;IF(COUNTIF(_RefTable!$C$2:$C$501,$B81)&gt;1," (+"&amp;COUNTIF(_RefTable!$C$2:$C$501,$B81)-1&amp;" more)",""),IFERROR(INDEX(_MainTable!$B$2:$B$2001,MATCH($B81,_MainTable!$F$2:$F$2001,0)),"")))&amp;""="","—",(IFERROR(INDEX(_RefTable!$B$2:$B$501,MATCH($B81,_RefTable!$C$2:$C$501,0))&amp;IF(COUNTIF(_RefTable!$C$2:$C$501,$B81)&gt;1," (+"&amp;COUNTIF(_RefTable!$C$2:$C$501,$B81)-1&amp;" more)",""),IFERROR(INDEX(_MainTable!$B$2:$B$2001,MATCH($B81,_MainTable!$F$2:$F$2001,0)),"")))))</f>
        <v/>
      </c>
      <c r="D81" s="17" t="str">
        <f aca="false">IF($B81="","",IF((IFERROR(INDEX(_RefTable!$E$2:$E$501,MATCH($B81,_RefTable!$C$2:$C$501,0)),IFERROR(INDEX(_MainTable!$C$2:$C$2001,MATCH($B81,_MainTable!$F$2:$F$2001,0)),"")))&amp;""="","—",(IFERROR(INDEX(_RefTable!$E$2:$E$501,MATCH($B81,_RefTable!$C$2:$C$501,0)),IFERROR(INDEX(_MainTable!$C$2:$C$2001,MATCH($B81,_MainTable!$F$2:$F$2001,0)),"")))))</f>
        <v/>
      </c>
      <c r="E81" s="17" t="str">
        <f aca="false">IF($B81="","",IF((IFERROR(INDEX(_RefTable!$F$2:$F$501,MATCH($B81,_RefTable!$C$2:$C$501,0)),IFERROR(INDEX(_MainTable!$D$2:$D$2001,MATCH($B81,_MainTable!$F$2:$F$2001,0)),"")))&amp;""="","—",(IFERROR(INDEX(_RefTable!$F$2:$F$501,MATCH($B81,_RefTable!$C$2:$C$501,0)),IFERROR(INDEX(_MainTable!$D$2:$D$2001,MATCH($B81,_MainTable!$F$2:$F$2001,0)),"")))))</f>
        <v/>
      </c>
      <c r="F81" s="19" t="str">
        <f aca="false">IF($B81="","",IFERROR(_xlfn.MINIFS('SC Change Orders'!$E$2:$E$501,'SC Change Orders'!$B$2:$B$501,$B81,'SC Change Orders'!$C$2:$C$501,"&gt;="&amp;Controls!$C$5,'SC Change Orders'!$C$2:$C$501,"&lt;="&amp;Controls!$C$6),0))</f>
        <v/>
      </c>
      <c r="G81" s="19" t="str">
        <f aca="false">IF($B81="","",SUMIFS('SC Change Orders'!$F$2:$F$501,'SC Change Orders'!$B$2:$B$501,$B81,'SC Change Orders'!$C$2:$C$501,"&gt;="&amp;Controls!$C$5,'SC Change Orders'!$C$2:$C$501,"&lt;="&amp;Controls!$C$6))</f>
        <v/>
      </c>
      <c r="H81" s="19" t="str">
        <f aca="false">IF($B81="","",$F81+$G81)</f>
        <v/>
      </c>
      <c r="I81" s="19" t="str">
        <f aca="false">IF($B81="","",SUMIFS(_MainTable!$K$2:$K$2001,_MainTable!$F$2:$F$2001,$B81,_MainTable!$G$2:$G$2001,"&gt;="&amp;Controls!$C$5,_MainTable!$G$2:$G$2001,"&lt;="&amp;Controls!$C$6))</f>
        <v/>
      </c>
      <c r="J81" s="20" t="str">
        <f aca="false">IF($B81="","",IFERROR($I81/$H81,0))</f>
        <v/>
      </c>
      <c r="K81" s="19" t="str">
        <f aca="false">IF($B81="","",$H81-$I81)</f>
        <v/>
      </c>
      <c r="L81" s="19" t="str">
        <f aca="false">IF($B81="","",IFERROR(SUMIFS(_MainTable!$K$2:$K$2001,_MainTable!$F$2:$F$2001,$B81,_MainTable!$G$2:$G$2001,"&gt;="&amp;Controls!$C$12,_MainTable!$G$2:$G$2001,"&lt;="&amp;EOMONTH(Controls!$C$7,0))/MIN(Controls!$C$9,Controls!$C$10),0))</f>
        <v/>
      </c>
      <c r="M81" s="19" t="str">
        <f aca="false">IF($B81="","",$L81*Controls!$C$11)</f>
        <v/>
      </c>
      <c r="N81" s="19" t="str">
        <f aca="false">IF($B81="","",$I81+$M81)</f>
        <v/>
      </c>
      <c r="O81" s="20" t="str">
        <f aca="false">IF($B81="","",IFERROR($N81/$H81,0))</f>
        <v/>
      </c>
      <c r="P81" s="19" t="str">
        <f aca="false">IF($B81="","",$H81-$N81)</f>
        <v/>
      </c>
      <c r="Q81" s="21" t="str">
        <f aca="false">IF($B81="","",IF($L81&lt;=0,"n/a",IFERROR($K81/$L81,"n/a")))</f>
        <v/>
      </c>
      <c r="R81" s="22" t="str">
        <f aca="false">IF($B81="","",IF(AND($H81=0,$I81=0),"⚪ No Activity",IF(AND($H81=0,COUNTIFS('SC Change Orders'!$B$2:$B$501,$B81,'SC Change Orders'!$C$2:$C$501,"&gt;="&amp;Controls!$C$5,'SC Change Orders'!$C$2:$C$501,"&lt;="&amp;Controls!$C$6)=0),"⚪ No Funding on File",IF($H81=0,"🔴 Unfunded Spend",IF($I81&gt;=$H81,"🔴 Over Budget",IF($N81&gt;$H81,"🔴 Projected Shortfall",IF($J81&gt;=Controls!$C$8,"🟡 Watch","🟢 On Track")))))))</f>
        <v/>
      </c>
    </row>
    <row r="82" customFormat="false" ht="15" hidden="false" customHeight="false" outlineLevel="0" collapsed="false">
      <c r="A82" s="17" t="str">
        <f aca="false">IF($B82="","",IF((IFERROR(INDEX(_RefTable!$A$2:$A$501,MATCH($B82,_RefTable!$C$2:$C$501,0)),IFERROR(INDEX(_MainTable!$A$2:$A$2001,MATCH($B82,_MainTable!$F$2:$F$2001,0)),IFERROR(INDEX('SC Change Orders'!$A$2:$A$501,MATCH($B82,'SC Change Orders'!$B$2:$B$501,0)),"(unknown vendor)"))))&amp;""="","—",(IFERROR(INDEX(_RefTable!$A$2:$A$501,MATCH($B82,_RefTable!$C$2:$C$501,0)),IFERROR(INDEX(_MainTable!$A$2:$A$2001,MATCH($B82,_MainTable!$F$2:$F$2001,0)),IFERROR(INDEX('SC Change Orders'!$A$2:$A$501,MATCH($B82,'SC Change Orders'!$B$2:$B$501,0)),"(unknown vendor)"))))))</f>
        <v/>
      </c>
      <c r="B82" s="18" t="str">
        <f aca="false">IFERROR(INDEX('PO Index'!$B$5:$B$84,78),"")</f>
        <v/>
      </c>
      <c r="C82" s="17" t="str">
        <f aca="false">IF($B82="","",IF((IFERROR(INDEX(_RefTable!$B$2:$B$501,MATCH($B82,_RefTable!$C$2:$C$501,0))&amp;IF(COUNTIF(_RefTable!$C$2:$C$501,$B82)&gt;1," (+"&amp;COUNTIF(_RefTable!$C$2:$C$501,$B82)-1&amp;" more)",""),IFERROR(INDEX(_MainTable!$B$2:$B$2001,MATCH($B82,_MainTable!$F$2:$F$2001,0)),"")))&amp;""="","—",(IFERROR(INDEX(_RefTable!$B$2:$B$501,MATCH($B82,_RefTable!$C$2:$C$501,0))&amp;IF(COUNTIF(_RefTable!$C$2:$C$501,$B82)&gt;1," (+"&amp;COUNTIF(_RefTable!$C$2:$C$501,$B82)-1&amp;" more)",""),IFERROR(INDEX(_MainTable!$B$2:$B$2001,MATCH($B82,_MainTable!$F$2:$F$2001,0)),"")))))</f>
        <v/>
      </c>
      <c r="D82" s="17" t="str">
        <f aca="false">IF($B82="","",IF((IFERROR(INDEX(_RefTable!$E$2:$E$501,MATCH($B82,_RefTable!$C$2:$C$501,0)),IFERROR(INDEX(_MainTable!$C$2:$C$2001,MATCH($B82,_MainTable!$F$2:$F$2001,0)),"")))&amp;""="","—",(IFERROR(INDEX(_RefTable!$E$2:$E$501,MATCH($B82,_RefTable!$C$2:$C$501,0)),IFERROR(INDEX(_MainTable!$C$2:$C$2001,MATCH($B82,_MainTable!$F$2:$F$2001,0)),"")))))</f>
        <v/>
      </c>
      <c r="E82" s="17" t="str">
        <f aca="false">IF($B82="","",IF((IFERROR(INDEX(_RefTable!$F$2:$F$501,MATCH($B82,_RefTable!$C$2:$C$501,0)),IFERROR(INDEX(_MainTable!$D$2:$D$2001,MATCH($B82,_MainTable!$F$2:$F$2001,0)),"")))&amp;""="","—",(IFERROR(INDEX(_RefTable!$F$2:$F$501,MATCH($B82,_RefTable!$C$2:$C$501,0)),IFERROR(INDEX(_MainTable!$D$2:$D$2001,MATCH($B82,_MainTable!$F$2:$F$2001,0)),"")))))</f>
        <v/>
      </c>
      <c r="F82" s="19" t="str">
        <f aca="false">IF($B82="","",IFERROR(_xlfn.MINIFS('SC Change Orders'!$E$2:$E$501,'SC Change Orders'!$B$2:$B$501,$B82,'SC Change Orders'!$C$2:$C$501,"&gt;="&amp;Controls!$C$5,'SC Change Orders'!$C$2:$C$501,"&lt;="&amp;Controls!$C$6),0))</f>
        <v/>
      </c>
      <c r="G82" s="19" t="str">
        <f aca="false">IF($B82="","",SUMIFS('SC Change Orders'!$F$2:$F$501,'SC Change Orders'!$B$2:$B$501,$B82,'SC Change Orders'!$C$2:$C$501,"&gt;="&amp;Controls!$C$5,'SC Change Orders'!$C$2:$C$501,"&lt;="&amp;Controls!$C$6))</f>
        <v/>
      </c>
      <c r="H82" s="19" t="str">
        <f aca="false">IF($B82="","",$F82+$G82)</f>
        <v/>
      </c>
      <c r="I82" s="19" t="str">
        <f aca="false">IF($B82="","",SUMIFS(_MainTable!$K$2:$K$2001,_MainTable!$F$2:$F$2001,$B82,_MainTable!$G$2:$G$2001,"&gt;="&amp;Controls!$C$5,_MainTable!$G$2:$G$2001,"&lt;="&amp;Controls!$C$6))</f>
        <v/>
      </c>
      <c r="J82" s="20" t="str">
        <f aca="false">IF($B82="","",IFERROR($I82/$H82,0))</f>
        <v/>
      </c>
      <c r="K82" s="19" t="str">
        <f aca="false">IF($B82="","",$H82-$I82)</f>
        <v/>
      </c>
      <c r="L82" s="19" t="str">
        <f aca="false">IF($B82="","",IFERROR(SUMIFS(_MainTable!$K$2:$K$2001,_MainTable!$F$2:$F$2001,$B82,_MainTable!$G$2:$G$2001,"&gt;="&amp;Controls!$C$12,_MainTable!$G$2:$G$2001,"&lt;="&amp;EOMONTH(Controls!$C$7,0))/MIN(Controls!$C$9,Controls!$C$10),0))</f>
        <v/>
      </c>
      <c r="M82" s="19" t="str">
        <f aca="false">IF($B82="","",$L82*Controls!$C$11)</f>
        <v/>
      </c>
      <c r="N82" s="19" t="str">
        <f aca="false">IF($B82="","",$I82+$M82)</f>
        <v/>
      </c>
      <c r="O82" s="20" t="str">
        <f aca="false">IF($B82="","",IFERROR($N82/$H82,0))</f>
        <v/>
      </c>
      <c r="P82" s="19" t="str">
        <f aca="false">IF($B82="","",$H82-$N82)</f>
        <v/>
      </c>
      <c r="Q82" s="21" t="str">
        <f aca="false">IF($B82="","",IF($L82&lt;=0,"n/a",IFERROR($K82/$L82,"n/a")))</f>
        <v/>
      </c>
      <c r="R82" s="22" t="str">
        <f aca="false">IF($B82="","",IF(AND($H82=0,$I82=0),"⚪ No Activity",IF(AND($H82=0,COUNTIFS('SC Change Orders'!$B$2:$B$501,$B82,'SC Change Orders'!$C$2:$C$501,"&gt;="&amp;Controls!$C$5,'SC Change Orders'!$C$2:$C$501,"&lt;="&amp;Controls!$C$6)=0),"⚪ No Funding on File",IF($H82=0,"🔴 Unfunded Spend",IF($I82&gt;=$H82,"🔴 Over Budget",IF($N82&gt;$H82,"🔴 Projected Shortfall",IF($J82&gt;=Controls!$C$8,"🟡 Watch","🟢 On Track")))))))</f>
        <v/>
      </c>
    </row>
    <row r="83" customFormat="false" ht="15" hidden="false" customHeight="false" outlineLevel="0" collapsed="false">
      <c r="A83" s="17" t="str">
        <f aca="false">IF($B83="","",IF((IFERROR(INDEX(_RefTable!$A$2:$A$501,MATCH($B83,_RefTable!$C$2:$C$501,0)),IFERROR(INDEX(_MainTable!$A$2:$A$2001,MATCH($B83,_MainTable!$F$2:$F$2001,0)),IFERROR(INDEX('SC Change Orders'!$A$2:$A$501,MATCH($B83,'SC Change Orders'!$B$2:$B$501,0)),"(unknown vendor)"))))&amp;""="","—",(IFERROR(INDEX(_RefTable!$A$2:$A$501,MATCH($B83,_RefTable!$C$2:$C$501,0)),IFERROR(INDEX(_MainTable!$A$2:$A$2001,MATCH($B83,_MainTable!$F$2:$F$2001,0)),IFERROR(INDEX('SC Change Orders'!$A$2:$A$501,MATCH($B83,'SC Change Orders'!$B$2:$B$501,0)),"(unknown vendor)"))))))</f>
        <v/>
      </c>
      <c r="B83" s="18" t="str">
        <f aca="false">IFERROR(INDEX('PO Index'!$B$5:$B$84,79),"")</f>
        <v/>
      </c>
      <c r="C83" s="17" t="str">
        <f aca="false">IF($B83="","",IF((IFERROR(INDEX(_RefTable!$B$2:$B$501,MATCH($B83,_RefTable!$C$2:$C$501,0))&amp;IF(COUNTIF(_RefTable!$C$2:$C$501,$B83)&gt;1," (+"&amp;COUNTIF(_RefTable!$C$2:$C$501,$B83)-1&amp;" more)",""),IFERROR(INDEX(_MainTable!$B$2:$B$2001,MATCH($B83,_MainTable!$F$2:$F$2001,0)),"")))&amp;""="","—",(IFERROR(INDEX(_RefTable!$B$2:$B$501,MATCH($B83,_RefTable!$C$2:$C$501,0))&amp;IF(COUNTIF(_RefTable!$C$2:$C$501,$B83)&gt;1," (+"&amp;COUNTIF(_RefTable!$C$2:$C$501,$B83)-1&amp;" more)",""),IFERROR(INDEX(_MainTable!$B$2:$B$2001,MATCH($B83,_MainTable!$F$2:$F$2001,0)),"")))))</f>
        <v/>
      </c>
      <c r="D83" s="17" t="str">
        <f aca="false">IF($B83="","",IF((IFERROR(INDEX(_RefTable!$E$2:$E$501,MATCH($B83,_RefTable!$C$2:$C$501,0)),IFERROR(INDEX(_MainTable!$C$2:$C$2001,MATCH($B83,_MainTable!$F$2:$F$2001,0)),"")))&amp;""="","—",(IFERROR(INDEX(_RefTable!$E$2:$E$501,MATCH($B83,_RefTable!$C$2:$C$501,0)),IFERROR(INDEX(_MainTable!$C$2:$C$2001,MATCH($B83,_MainTable!$F$2:$F$2001,0)),"")))))</f>
        <v/>
      </c>
      <c r="E83" s="17" t="str">
        <f aca="false">IF($B83="","",IF((IFERROR(INDEX(_RefTable!$F$2:$F$501,MATCH($B83,_RefTable!$C$2:$C$501,0)),IFERROR(INDEX(_MainTable!$D$2:$D$2001,MATCH($B83,_MainTable!$F$2:$F$2001,0)),"")))&amp;""="","—",(IFERROR(INDEX(_RefTable!$F$2:$F$501,MATCH($B83,_RefTable!$C$2:$C$501,0)),IFERROR(INDEX(_MainTable!$D$2:$D$2001,MATCH($B83,_MainTable!$F$2:$F$2001,0)),"")))))</f>
        <v/>
      </c>
      <c r="F83" s="19" t="str">
        <f aca="false">IF($B83="","",IFERROR(_xlfn.MINIFS('SC Change Orders'!$E$2:$E$501,'SC Change Orders'!$B$2:$B$501,$B83,'SC Change Orders'!$C$2:$C$501,"&gt;="&amp;Controls!$C$5,'SC Change Orders'!$C$2:$C$501,"&lt;="&amp;Controls!$C$6),0))</f>
        <v/>
      </c>
      <c r="G83" s="19" t="str">
        <f aca="false">IF($B83="","",SUMIFS('SC Change Orders'!$F$2:$F$501,'SC Change Orders'!$B$2:$B$501,$B83,'SC Change Orders'!$C$2:$C$501,"&gt;="&amp;Controls!$C$5,'SC Change Orders'!$C$2:$C$501,"&lt;="&amp;Controls!$C$6))</f>
        <v/>
      </c>
      <c r="H83" s="19" t="str">
        <f aca="false">IF($B83="","",$F83+$G83)</f>
        <v/>
      </c>
      <c r="I83" s="19" t="str">
        <f aca="false">IF($B83="","",SUMIFS(_MainTable!$K$2:$K$2001,_MainTable!$F$2:$F$2001,$B83,_MainTable!$G$2:$G$2001,"&gt;="&amp;Controls!$C$5,_MainTable!$G$2:$G$2001,"&lt;="&amp;Controls!$C$6))</f>
        <v/>
      </c>
      <c r="J83" s="20" t="str">
        <f aca="false">IF($B83="","",IFERROR($I83/$H83,0))</f>
        <v/>
      </c>
      <c r="K83" s="19" t="str">
        <f aca="false">IF($B83="","",$H83-$I83)</f>
        <v/>
      </c>
      <c r="L83" s="19" t="str">
        <f aca="false">IF($B83="","",IFERROR(SUMIFS(_MainTable!$K$2:$K$2001,_MainTable!$F$2:$F$2001,$B83,_MainTable!$G$2:$G$2001,"&gt;="&amp;Controls!$C$12,_MainTable!$G$2:$G$2001,"&lt;="&amp;EOMONTH(Controls!$C$7,0))/MIN(Controls!$C$9,Controls!$C$10),0))</f>
        <v/>
      </c>
      <c r="M83" s="19" t="str">
        <f aca="false">IF($B83="","",$L83*Controls!$C$11)</f>
        <v/>
      </c>
      <c r="N83" s="19" t="str">
        <f aca="false">IF($B83="","",$I83+$M83)</f>
        <v/>
      </c>
      <c r="O83" s="20" t="str">
        <f aca="false">IF($B83="","",IFERROR($N83/$H83,0))</f>
        <v/>
      </c>
      <c r="P83" s="19" t="str">
        <f aca="false">IF($B83="","",$H83-$N83)</f>
        <v/>
      </c>
      <c r="Q83" s="21" t="str">
        <f aca="false">IF($B83="","",IF($L83&lt;=0,"n/a",IFERROR($K83/$L83,"n/a")))</f>
        <v/>
      </c>
      <c r="R83" s="22" t="str">
        <f aca="false">IF($B83="","",IF(AND($H83=0,$I83=0),"⚪ No Activity",IF(AND($H83=0,COUNTIFS('SC Change Orders'!$B$2:$B$501,$B83,'SC Change Orders'!$C$2:$C$501,"&gt;="&amp;Controls!$C$5,'SC Change Orders'!$C$2:$C$501,"&lt;="&amp;Controls!$C$6)=0),"⚪ No Funding on File",IF($H83=0,"🔴 Unfunded Spend",IF($I83&gt;=$H83,"🔴 Over Budget",IF($N83&gt;$H83,"🔴 Projected Shortfall",IF($J83&gt;=Controls!$C$8,"🟡 Watch","🟢 On Track")))))))</f>
        <v/>
      </c>
    </row>
    <row r="84" customFormat="false" ht="15" hidden="false" customHeight="false" outlineLevel="0" collapsed="false">
      <c r="A84" s="17" t="str">
        <f aca="false">IF($B84="","",IF((IFERROR(INDEX(_RefTable!$A$2:$A$501,MATCH($B84,_RefTable!$C$2:$C$501,0)),IFERROR(INDEX(_MainTable!$A$2:$A$2001,MATCH($B84,_MainTable!$F$2:$F$2001,0)),IFERROR(INDEX('SC Change Orders'!$A$2:$A$501,MATCH($B84,'SC Change Orders'!$B$2:$B$501,0)),"(unknown vendor)"))))&amp;""="","—",(IFERROR(INDEX(_RefTable!$A$2:$A$501,MATCH($B84,_RefTable!$C$2:$C$501,0)),IFERROR(INDEX(_MainTable!$A$2:$A$2001,MATCH($B84,_MainTable!$F$2:$F$2001,0)),IFERROR(INDEX('SC Change Orders'!$A$2:$A$501,MATCH($B84,'SC Change Orders'!$B$2:$B$501,0)),"(unknown vendor)"))))))</f>
        <v/>
      </c>
      <c r="B84" s="18" t="str">
        <f aca="false">IFERROR(INDEX('PO Index'!$B$5:$B$84,80),"")</f>
        <v/>
      </c>
      <c r="C84" s="17" t="str">
        <f aca="false">IF($B84="","",IF((IFERROR(INDEX(_RefTable!$B$2:$B$501,MATCH($B84,_RefTable!$C$2:$C$501,0))&amp;IF(COUNTIF(_RefTable!$C$2:$C$501,$B84)&gt;1," (+"&amp;COUNTIF(_RefTable!$C$2:$C$501,$B84)-1&amp;" more)",""),IFERROR(INDEX(_MainTable!$B$2:$B$2001,MATCH($B84,_MainTable!$F$2:$F$2001,0)),"")))&amp;""="","—",(IFERROR(INDEX(_RefTable!$B$2:$B$501,MATCH($B84,_RefTable!$C$2:$C$501,0))&amp;IF(COUNTIF(_RefTable!$C$2:$C$501,$B84)&gt;1," (+"&amp;COUNTIF(_RefTable!$C$2:$C$501,$B84)-1&amp;" more)",""),IFERROR(INDEX(_MainTable!$B$2:$B$2001,MATCH($B84,_MainTable!$F$2:$F$2001,0)),"")))))</f>
        <v/>
      </c>
      <c r="D84" s="17" t="str">
        <f aca="false">IF($B84="","",IF((IFERROR(INDEX(_RefTable!$E$2:$E$501,MATCH($B84,_RefTable!$C$2:$C$501,0)),IFERROR(INDEX(_MainTable!$C$2:$C$2001,MATCH($B84,_MainTable!$F$2:$F$2001,0)),"")))&amp;""="","—",(IFERROR(INDEX(_RefTable!$E$2:$E$501,MATCH($B84,_RefTable!$C$2:$C$501,0)),IFERROR(INDEX(_MainTable!$C$2:$C$2001,MATCH($B84,_MainTable!$F$2:$F$2001,0)),"")))))</f>
        <v/>
      </c>
      <c r="E84" s="17" t="str">
        <f aca="false">IF($B84="","",IF((IFERROR(INDEX(_RefTable!$F$2:$F$501,MATCH($B84,_RefTable!$C$2:$C$501,0)),IFERROR(INDEX(_MainTable!$D$2:$D$2001,MATCH($B84,_MainTable!$F$2:$F$2001,0)),"")))&amp;""="","—",(IFERROR(INDEX(_RefTable!$F$2:$F$501,MATCH($B84,_RefTable!$C$2:$C$501,0)),IFERROR(INDEX(_MainTable!$D$2:$D$2001,MATCH($B84,_MainTable!$F$2:$F$2001,0)),"")))))</f>
        <v/>
      </c>
      <c r="F84" s="19" t="str">
        <f aca="false">IF($B84="","",IFERROR(_xlfn.MINIFS('SC Change Orders'!$E$2:$E$501,'SC Change Orders'!$B$2:$B$501,$B84,'SC Change Orders'!$C$2:$C$501,"&gt;="&amp;Controls!$C$5,'SC Change Orders'!$C$2:$C$501,"&lt;="&amp;Controls!$C$6),0))</f>
        <v/>
      </c>
      <c r="G84" s="19" t="str">
        <f aca="false">IF($B84="","",SUMIFS('SC Change Orders'!$F$2:$F$501,'SC Change Orders'!$B$2:$B$501,$B84,'SC Change Orders'!$C$2:$C$501,"&gt;="&amp;Controls!$C$5,'SC Change Orders'!$C$2:$C$501,"&lt;="&amp;Controls!$C$6))</f>
        <v/>
      </c>
      <c r="H84" s="19" t="str">
        <f aca="false">IF($B84="","",$F84+$G84)</f>
        <v/>
      </c>
      <c r="I84" s="19" t="str">
        <f aca="false">IF($B84="","",SUMIFS(_MainTable!$K$2:$K$2001,_MainTable!$F$2:$F$2001,$B84,_MainTable!$G$2:$G$2001,"&gt;="&amp;Controls!$C$5,_MainTable!$G$2:$G$2001,"&lt;="&amp;Controls!$C$6))</f>
        <v/>
      </c>
      <c r="J84" s="20" t="str">
        <f aca="false">IF($B84="","",IFERROR($I84/$H84,0))</f>
        <v/>
      </c>
      <c r="K84" s="19" t="str">
        <f aca="false">IF($B84="","",$H84-$I84)</f>
        <v/>
      </c>
      <c r="L84" s="19" t="str">
        <f aca="false">IF($B84="","",IFERROR(SUMIFS(_MainTable!$K$2:$K$2001,_MainTable!$F$2:$F$2001,$B84,_MainTable!$G$2:$G$2001,"&gt;="&amp;Controls!$C$12,_MainTable!$G$2:$G$2001,"&lt;="&amp;EOMONTH(Controls!$C$7,0))/MIN(Controls!$C$9,Controls!$C$10),0))</f>
        <v/>
      </c>
      <c r="M84" s="19" t="str">
        <f aca="false">IF($B84="","",$L84*Controls!$C$11)</f>
        <v/>
      </c>
      <c r="N84" s="19" t="str">
        <f aca="false">IF($B84="","",$I84+$M84)</f>
        <v/>
      </c>
      <c r="O84" s="20" t="str">
        <f aca="false">IF($B84="","",IFERROR($N84/$H84,0))</f>
        <v/>
      </c>
      <c r="P84" s="19" t="str">
        <f aca="false">IF($B84="","",$H84-$N84)</f>
        <v/>
      </c>
      <c r="Q84" s="21" t="str">
        <f aca="false">IF($B84="","",IF($L84&lt;=0,"n/a",IFERROR($K84/$L84,"n/a")))</f>
        <v/>
      </c>
      <c r="R84" s="22" t="str">
        <f aca="false">IF($B84="","",IF(AND($H84=0,$I84=0),"⚪ No Activity",IF(AND($H84=0,COUNTIFS('SC Change Orders'!$B$2:$B$501,$B84,'SC Change Orders'!$C$2:$C$501,"&gt;="&amp;Controls!$C$5,'SC Change Orders'!$C$2:$C$501,"&lt;="&amp;Controls!$C$6)=0),"⚪ No Funding on File",IF($H84=0,"🔴 Unfunded Spend",IF($I84&gt;=$H84,"🔴 Over Budget",IF($N84&gt;$H84,"🔴 Projected Shortfall",IF($J84&gt;=Controls!$C$8,"🟡 Watch","🟢 On Track")))))))</f>
        <v/>
      </c>
    </row>
    <row r="85" customFormat="false" ht="15" hidden="false" customHeight="false" outlineLevel="0" collapsed="false">
      <c r="A85" s="23" t="s">
        <v>73</v>
      </c>
      <c r="B85" s="23"/>
      <c r="C85" s="23"/>
      <c r="D85" s="23"/>
      <c r="E85" s="23"/>
      <c r="F85" s="24" t="n">
        <f aca="false">SUM(F5:F84)</f>
        <v>4998532</v>
      </c>
      <c r="G85" s="24" t="n">
        <f aca="false">SUM(G5:G84)</f>
        <v>12627779.96</v>
      </c>
      <c r="H85" s="24" t="n">
        <f aca="false">SUM(H5:H84)</f>
        <v>17626311.96</v>
      </c>
      <c r="I85" s="24" t="n">
        <f aca="false">SUM(I5:I84)</f>
        <v>13623202.02</v>
      </c>
      <c r="J85" s="25" t="n">
        <f aca="false">IFERROR($I85/$H85,0)</f>
        <v>0.77289010037469</v>
      </c>
      <c r="K85" s="24" t="n">
        <f aca="false">SUM(K5:K84)</f>
        <v>4003109.94</v>
      </c>
      <c r="L85" s="24" t="n">
        <f aca="false">SUM(L5:L84)</f>
        <v>2545815.76333333</v>
      </c>
      <c r="M85" s="24" t="n">
        <f aca="false">SUM(M5:M84)</f>
        <v>5091631.52666667</v>
      </c>
      <c r="N85" s="24" t="n">
        <f aca="false">SUM(N5:N84)</f>
        <v>18714833.5466667</v>
      </c>
      <c r="O85" s="25" t="n">
        <f aca="false">IFERROR($N85/$H85,0)</f>
        <v>1.06175549310241</v>
      </c>
      <c r="P85" s="24" t="n">
        <f aca="false">SUM(P5:P84)</f>
        <v>-1088521.58666667</v>
      </c>
      <c r="Q85" s="23"/>
      <c r="R85" s="23"/>
    </row>
  </sheetData>
  <autoFilter ref="A4:R84"/>
  <conditionalFormatting sqref="J5:J84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{5FB245FD-C0C7-4C5B-BFE4-962E49852A86}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B245FD-C0C7-4C5B-BFE4-962E49852A8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J5:J84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0" hidden="false" customHeight="true" outlineLevel="0" collapsed="false">
      <c r="A4" s="16" t="s">
        <v>55</v>
      </c>
      <c r="B4" s="16" t="s">
        <v>76</v>
      </c>
      <c r="C4" s="16" t="s">
        <v>60</v>
      </c>
      <c r="D4" s="16" t="s">
        <v>61</v>
      </c>
      <c r="E4" s="16" t="s">
        <v>62</v>
      </c>
      <c r="F4" s="16" t="s">
        <v>63</v>
      </c>
      <c r="G4" s="16" t="s">
        <v>64</v>
      </c>
      <c r="H4" s="16" t="s">
        <v>65</v>
      </c>
      <c r="I4" s="16" t="s">
        <v>66</v>
      </c>
      <c r="J4" s="16" t="s">
        <v>68</v>
      </c>
      <c r="K4" s="16" t="s">
        <v>69</v>
      </c>
      <c r="L4" s="16" t="s">
        <v>70</v>
      </c>
      <c r="M4" s="16" t="s">
        <v>72</v>
      </c>
    </row>
    <row r="5" customFormat="false" ht="15" hidden="false" customHeight="false" outlineLevel="0" collapsed="false">
      <c r="A5" s="17" t="str">
        <f aca="false">IFERROR(INDEX('PO Index'!$J$5:$J$84,1),"")</f>
        <v>ACCESSONE</v>
      </c>
      <c r="B5" s="26" t="n">
        <f aca="false">IF($A5="","",COUNTIF('PO Tracker'!$A$5:$A$84,$A5))</f>
        <v>1</v>
      </c>
      <c r="C5" s="19" t="n">
        <f aca="false">IF($A5="","",SUMIF('PO Tracker'!$A$5:$A$84,$A5,'PO Tracker'!$F$5:$F$84))</f>
        <v>0</v>
      </c>
      <c r="D5" s="19" t="n">
        <f aca="false">IF($A5="","",SUMIF('PO Tracker'!$A$5:$A$84,$A5,'PO Tracker'!$G$5:$G$84))</f>
        <v>0</v>
      </c>
      <c r="E5" s="19" t="n">
        <f aca="false">IF($A5="","",$C5+$D5)</f>
        <v>0</v>
      </c>
      <c r="F5" s="19" t="n">
        <f aca="false">IF($A5="","",SUMIF('PO Tracker'!$A$5:$A$84,$A5,'PO Tracker'!$I$5:$I$84))</f>
        <v>3696</v>
      </c>
      <c r="G5" s="20" t="n">
        <f aca="false">IF($A5="","",IFERROR($F5/$E5,0))</f>
        <v>0</v>
      </c>
      <c r="H5" s="19" t="n">
        <f aca="false">IF($A5="","",$E5-$F5)</f>
        <v>-3696</v>
      </c>
      <c r="I5" s="19" t="n">
        <f aca="false">IF($A5="","",SUMIF('PO Tracker'!$A$5:$A$84,$A5,'PO Tracker'!$L$5:$L$84))</f>
        <v>597.073333333333</v>
      </c>
      <c r="J5" s="19" t="n">
        <f aca="false">IF($A5="","",SUMIF('PO Tracker'!$A$5:$A$84,$A5,'PO Tracker'!$N$5:$N$84))</f>
        <v>4890.14666666667</v>
      </c>
      <c r="K5" s="20" t="n">
        <f aca="false">IF($A5="","",IFERROR($J5/$E5,0))</f>
        <v>0</v>
      </c>
      <c r="L5" s="19" t="n">
        <f aca="false">IF($A5="","",$E5-$J5)</f>
        <v>-4890.14666666667</v>
      </c>
      <c r="M5" s="22" t="str">
        <f aca="false">IF($A5="","",IF(AND($E5=0,$F5=0),"⚪ No Activity",IF($E5=0,"🔴 No Funding on File",IF($F5&gt;=$E5,"🔴 Over Budget",IF($J5&gt;$E5,"🔴 Projected Shortfall",IF($G5&gt;=Controls!$C$8,"🟡 Watch","🟢 On Track"))))))</f>
        <v>🔴 No Funding on File</v>
      </c>
    </row>
    <row r="6" customFormat="false" ht="15" hidden="false" customHeight="false" outlineLevel="0" collapsed="false">
      <c r="A6" s="17" t="str">
        <f aca="false">IFERROR(INDEX('PO Index'!$J$5:$J$84,2),"")</f>
        <v>ASPIRION HEALTH RESOURCES</v>
      </c>
      <c r="B6" s="26" t="n">
        <f aca="false">IF($A6="","",COUNTIF('PO Tracker'!$A$5:$A$84,$A6))</f>
        <v>1</v>
      </c>
      <c r="C6" s="19" t="n">
        <f aca="false">IF($A6="","",SUMIF('PO Tracker'!$A$5:$A$84,$A6,'PO Tracker'!$F$5:$F$84))</f>
        <v>92500</v>
      </c>
      <c r="D6" s="19" t="n">
        <f aca="false">IF($A6="","",SUMIF('PO Tracker'!$A$5:$A$84,$A6,'PO Tracker'!$G$5:$G$84))</f>
        <v>6353265.83</v>
      </c>
      <c r="E6" s="19" t="n">
        <f aca="false">IF($A6="","",$C6+$D6)</f>
        <v>6445765.83</v>
      </c>
      <c r="F6" s="19" t="n">
        <f aca="false">IF($A6="","",SUMIF('PO Tracker'!$A$5:$A$84,$A6,'PO Tracker'!$I$5:$I$84))</f>
        <v>4119364.06</v>
      </c>
      <c r="G6" s="20" t="n">
        <f aca="false">IF($A6="","",IFERROR($F6/$E6,0))</f>
        <v>0.639080625738463</v>
      </c>
      <c r="H6" s="19" t="n">
        <f aca="false">IF($A6="","",$E6-$F6)</f>
        <v>2326401.77</v>
      </c>
      <c r="I6" s="19" t="n">
        <f aca="false">IF($A6="","",SUMIF('PO Tracker'!$A$5:$A$84,$A6,'PO Tracker'!$L$5:$L$84))</f>
        <v>565165.086666667</v>
      </c>
      <c r="J6" s="19" t="n">
        <f aca="false">IF($A6="","",SUMIF('PO Tracker'!$A$5:$A$84,$A6,'PO Tracker'!$N$5:$N$84))</f>
        <v>5249694.23333333</v>
      </c>
      <c r="K6" s="20" t="n">
        <f aca="false">IF($A6="","",IFERROR($J6/$E6,0))</f>
        <v>0.814440730828308</v>
      </c>
      <c r="L6" s="19" t="n">
        <f aca="false">IF($A6="","",$E6-$J6)</f>
        <v>1196071.59666667</v>
      </c>
      <c r="M6" s="22" t="str">
        <f aca="false">IF($A6="","",IF(AND($E6=0,$F6=0),"⚪ No Activity",IF($E6=0,"🔴 No Funding on File",IF($F6&gt;=$E6,"🔴 Over Budget",IF($J6&gt;$E6,"🔴 Projected Shortfall",IF($G6&gt;=Controls!$C$8,"🟡 Watch","🟢 On Track"))))))</f>
        <v>🟢 On Track</v>
      </c>
    </row>
    <row r="7" customFormat="false" ht="15" hidden="false" customHeight="false" outlineLevel="0" collapsed="false">
      <c r="A7" s="17" t="str">
        <f aca="false">IFERROR(INDEX('PO Index'!$J$5:$J$84,3),"")</f>
        <v>CIOX HEALTH LLC</v>
      </c>
      <c r="B7" s="26" t="n">
        <f aca="false">IF($A7="","",COUNTIF('PO Tracker'!$A$5:$A$84,$A7))</f>
        <v>1</v>
      </c>
      <c r="C7" s="19" t="n">
        <f aca="false">IF($A7="","",SUMIF('PO Tracker'!$A$5:$A$84,$A7,'PO Tracker'!$F$5:$F$84))</f>
        <v>0</v>
      </c>
      <c r="D7" s="19" t="n">
        <f aca="false">IF($A7="","",SUMIF('PO Tracker'!$A$5:$A$84,$A7,'PO Tracker'!$G$5:$G$84))</f>
        <v>0</v>
      </c>
      <c r="E7" s="19" t="n">
        <f aca="false">IF($A7="","",$C7+$D7)</f>
        <v>0</v>
      </c>
      <c r="F7" s="19" t="n">
        <f aca="false">IF($A7="","",SUMIF('PO Tracker'!$A$5:$A$84,$A7,'PO Tracker'!$I$5:$I$84))</f>
        <v>41938.75</v>
      </c>
      <c r="G7" s="20" t="n">
        <f aca="false">IF($A7="","",IFERROR($F7/$E7,0))</f>
        <v>0</v>
      </c>
      <c r="H7" s="19" t="n">
        <f aca="false">IF($A7="","",$E7-$F7)</f>
        <v>-41938.75</v>
      </c>
      <c r="I7" s="19" t="n">
        <f aca="false">IF($A7="","",SUMIF('PO Tracker'!$A$5:$A$84,$A7,'PO Tracker'!$L$5:$L$84))</f>
        <v>9210.83333333333</v>
      </c>
      <c r="J7" s="19" t="n">
        <f aca="false">IF($A7="","",SUMIF('PO Tracker'!$A$5:$A$84,$A7,'PO Tracker'!$N$5:$N$84))</f>
        <v>60360.4166666667</v>
      </c>
      <c r="K7" s="20" t="n">
        <f aca="false">IF($A7="","",IFERROR($J7/$E7,0))</f>
        <v>0</v>
      </c>
      <c r="L7" s="19" t="n">
        <f aca="false">IF($A7="","",$E7-$J7)</f>
        <v>-60360.4166666667</v>
      </c>
      <c r="M7" s="22" t="str">
        <f aca="false">IF($A7="","",IF(AND($E7=0,$F7=0),"⚪ No Activity",IF($E7=0,"🔴 No Funding on File",IF($F7&gt;=$E7,"🔴 Over Budget",IF($J7&gt;$E7,"🔴 Projected Shortfall",IF($G7&gt;=Controls!$C$8,"🟡 Watch","🟢 On Track"))))))</f>
        <v>🔴 No Funding on File</v>
      </c>
    </row>
    <row r="8" customFormat="false" ht="15" hidden="false" customHeight="false" outlineLevel="0" collapsed="false">
      <c r="A8" s="17" t="str">
        <f aca="false">IFERROR(INDEX('PO Index'!$J$5:$J$84,4),"")</f>
        <v>CLOUDMED</v>
      </c>
      <c r="B8" s="26" t="n">
        <f aca="false">IF($A8="","",COUNTIF('PO Tracker'!$A$5:$A$84,$A8))</f>
        <v>4</v>
      </c>
      <c r="C8" s="19" t="n">
        <f aca="false">IF($A8="","",SUMIF('PO Tracker'!$A$5:$A$84,$A8,'PO Tracker'!$F$5:$F$84))</f>
        <v>2250000</v>
      </c>
      <c r="D8" s="19" t="n">
        <f aca="false">IF($A8="","",SUMIF('PO Tracker'!$A$5:$A$84,$A8,'PO Tracker'!$G$5:$G$84))</f>
        <v>3390000</v>
      </c>
      <c r="E8" s="19" t="n">
        <f aca="false">IF($A8="","",$C8+$D8)</f>
        <v>5640000</v>
      </c>
      <c r="F8" s="19" t="n">
        <f aca="false">IF($A8="","",SUMIF('PO Tracker'!$A$5:$A$84,$A8,'PO Tracker'!$I$5:$I$84))</f>
        <v>1408038.12</v>
      </c>
      <c r="G8" s="20" t="n">
        <f aca="false">IF($A8="","",IFERROR($F8/$E8,0))</f>
        <v>0.24965214893617</v>
      </c>
      <c r="H8" s="19" t="n">
        <f aca="false">IF($A8="","",$E8-$F8)</f>
        <v>4231961.88</v>
      </c>
      <c r="I8" s="19" t="n">
        <f aca="false">IF($A8="","",SUMIF('PO Tracker'!$A$5:$A$84,$A8,'PO Tracker'!$L$5:$L$84))</f>
        <v>297997.04</v>
      </c>
      <c r="J8" s="19" t="n">
        <f aca="false">IF($A8="","",SUMIF('PO Tracker'!$A$5:$A$84,$A8,'PO Tracker'!$N$5:$N$84))</f>
        <v>2004032.2</v>
      </c>
      <c r="K8" s="20" t="n">
        <f aca="false">IF($A8="","",IFERROR($J8/$E8,0))</f>
        <v>0.355324858156028</v>
      </c>
      <c r="L8" s="19" t="n">
        <f aca="false">IF($A8="","",$E8-$J8)</f>
        <v>3635967.8</v>
      </c>
      <c r="M8" s="22" t="str">
        <f aca="false">IF($A8="","",IF(AND($E8=0,$F8=0),"⚪ No Activity",IF($E8=0,"🔴 No Funding on File",IF($F8&gt;=$E8,"🔴 Over Budget",IF($J8&gt;$E8,"🔴 Projected Shortfall",IF($G8&gt;=Controls!$C$8,"🟡 Watch","🟢 On Track"))))))</f>
        <v>🟢 On Track</v>
      </c>
    </row>
    <row r="9" customFormat="false" ht="15" hidden="false" customHeight="false" outlineLevel="0" collapsed="false">
      <c r="A9" s="17" t="str">
        <f aca="false">IFERROR(INDEX('PO Index'!$J$5:$J$84,5),"")</f>
        <v>EPIC ADVISORS GROUP LLC</v>
      </c>
      <c r="B9" s="26" t="n">
        <f aca="false">IF($A9="","",COUNTIF('PO Tracker'!$A$5:$A$84,$A9))</f>
        <v>1</v>
      </c>
      <c r="C9" s="19" t="n">
        <f aca="false">IF($A9="","",SUMIF('PO Tracker'!$A$5:$A$84,$A9,'PO Tracker'!$F$5:$F$84))</f>
        <v>72000</v>
      </c>
      <c r="D9" s="19" t="n">
        <f aca="false">IF($A9="","",SUMIF('PO Tracker'!$A$5:$A$84,$A9,'PO Tracker'!$G$5:$G$84))</f>
        <v>258295</v>
      </c>
      <c r="E9" s="19" t="n">
        <f aca="false">IF($A9="","",$C9+$D9)</f>
        <v>330295</v>
      </c>
      <c r="F9" s="19" t="n">
        <f aca="false">IF($A9="","",SUMIF('PO Tracker'!$A$5:$A$84,$A9,'PO Tracker'!$I$5:$I$84))</f>
        <v>119515.42</v>
      </c>
      <c r="G9" s="20" t="n">
        <f aca="false">IF($A9="","",IFERROR($F9/$E9,0))</f>
        <v>0.361844472365613</v>
      </c>
      <c r="H9" s="19" t="n">
        <f aca="false">IF($A9="","",$E9-$F9)</f>
        <v>210779.58</v>
      </c>
      <c r="I9" s="19" t="n">
        <f aca="false">IF($A9="","",SUMIF('PO Tracker'!$A$5:$A$84,$A9,'PO Tracker'!$L$5:$L$84))</f>
        <v>25215.4733333333</v>
      </c>
      <c r="J9" s="19" t="n">
        <f aca="false">IF($A9="","",SUMIF('PO Tracker'!$A$5:$A$84,$A9,'PO Tracker'!$N$5:$N$84))</f>
        <v>169946.366666667</v>
      </c>
      <c r="K9" s="20" t="n">
        <f aca="false">IF($A9="","",IFERROR($J9/$E9,0))</f>
        <v>0.514529032127845</v>
      </c>
      <c r="L9" s="19" t="n">
        <f aca="false">IF($A9="","",$E9-$J9)</f>
        <v>160348.633333333</v>
      </c>
      <c r="M9" s="22" t="str">
        <f aca="false">IF($A9="","",IF(AND($E9=0,$F9=0),"⚪ No Activity",IF($E9=0,"🔴 No Funding on File",IF($F9&gt;=$E9,"🔴 Over Budget",IF($J9&gt;$E9,"🔴 Projected Shortfall",IF($G9&gt;=Controls!$C$8,"🟡 Watch","🟢 On Track"))))))</f>
        <v>🟢 On Track</v>
      </c>
    </row>
    <row r="10" customFormat="false" ht="15" hidden="false" customHeight="false" outlineLevel="0" collapsed="false">
      <c r="A10" s="17" t="str">
        <f aca="false">IFERROR(INDEX('PO Index'!$J$5:$J$84,6),"")</f>
        <v>ETYON</v>
      </c>
      <c r="B10" s="26" t="n">
        <f aca="false">IF($A10="","",COUNTIF('PO Tracker'!$A$5:$A$84,$A10))</f>
        <v>1</v>
      </c>
      <c r="C10" s="19" t="n">
        <f aca="false">IF($A10="","",SUMIF('PO Tracker'!$A$5:$A$84,$A10,'PO Tracker'!$F$5:$F$84))</f>
        <v>0</v>
      </c>
      <c r="D10" s="19" t="n">
        <f aca="false">IF($A10="","",SUMIF('PO Tracker'!$A$5:$A$84,$A10,'PO Tracker'!$G$5:$G$84))</f>
        <v>0</v>
      </c>
      <c r="E10" s="19" t="n">
        <f aca="false">IF($A10="","",$C10+$D10)</f>
        <v>0</v>
      </c>
      <c r="F10" s="19" t="n">
        <f aca="false">IF($A10="","",SUMIF('PO Tracker'!$A$5:$A$84,$A10,'PO Tracker'!$I$5:$I$84))</f>
        <v>39026</v>
      </c>
      <c r="G10" s="20" t="n">
        <f aca="false">IF($A10="","",IFERROR($F10/$E10,0))</f>
        <v>0</v>
      </c>
      <c r="H10" s="19" t="n">
        <f aca="false">IF($A10="","",$E10-$F10)</f>
        <v>-39026</v>
      </c>
      <c r="I10" s="19" t="n">
        <f aca="false">IF($A10="","",SUMIF('PO Tracker'!$A$5:$A$84,$A10,'PO Tracker'!$L$5:$L$84))</f>
        <v>9756.5</v>
      </c>
      <c r="J10" s="19" t="n">
        <f aca="false">IF($A10="","",SUMIF('PO Tracker'!$A$5:$A$84,$A10,'PO Tracker'!$N$5:$N$84))</f>
        <v>58539</v>
      </c>
      <c r="K10" s="20" t="n">
        <f aca="false">IF($A10="","",IFERROR($J10/$E10,0))</f>
        <v>0</v>
      </c>
      <c r="L10" s="19" t="n">
        <f aca="false">IF($A10="","",$E10-$J10)</f>
        <v>-58539</v>
      </c>
      <c r="M10" s="22" t="str">
        <f aca="false">IF($A10="","",IF(AND($E10=0,$F10=0),"⚪ No Activity",IF($E10=0,"🔴 No Funding on File",IF($F10&gt;=$E10,"🔴 Over Budget",IF($J10&gt;$E10,"🔴 Projected Shortfall",IF($G10&gt;=Controls!$C$8,"🟡 Watch","🟢 On Track"))))))</f>
        <v>🔴 No Funding on File</v>
      </c>
    </row>
    <row r="11" customFormat="false" ht="15" hidden="false" customHeight="false" outlineLevel="0" collapsed="false">
      <c r="A11" s="17" t="str">
        <f aca="false">IFERROR(INDEX('PO Index'!$J$5:$J$84,7),"")</f>
        <v>EXPERIAN HEALTH</v>
      </c>
      <c r="B11" s="26" t="n">
        <f aca="false">IF($A11="","",COUNTIF('PO Tracker'!$A$5:$A$84,$A11))</f>
        <v>1</v>
      </c>
      <c r="C11" s="19" t="n">
        <f aca="false">IF($A11="","",SUMIF('PO Tracker'!$A$5:$A$84,$A11,'PO Tracker'!$F$5:$F$84))</f>
        <v>1300000</v>
      </c>
      <c r="D11" s="19" t="n">
        <f aca="false">IF($A11="","",SUMIF('PO Tracker'!$A$5:$A$84,$A11,'PO Tracker'!$G$5:$G$84))</f>
        <v>508790</v>
      </c>
      <c r="E11" s="19" t="n">
        <f aca="false">IF($A11="","",$C11+$D11)</f>
        <v>1808790</v>
      </c>
      <c r="F11" s="19" t="n">
        <f aca="false">IF($A11="","",SUMIF('PO Tracker'!$A$5:$A$84,$A11,'PO Tracker'!$I$5:$I$84))</f>
        <v>686916.08</v>
      </c>
      <c r="G11" s="20" t="n">
        <f aca="false">IF($A11="","",IFERROR($F11/$E11,0))</f>
        <v>0.379765522808065</v>
      </c>
      <c r="H11" s="19" t="n">
        <f aca="false">IF($A11="","",$E11-$F11)</f>
        <v>1121873.92</v>
      </c>
      <c r="I11" s="19" t="n">
        <f aca="false">IF($A11="","",SUMIF('PO Tracker'!$A$5:$A$84,$A11,'PO Tracker'!$L$5:$L$84))</f>
        <v>119429.703333333</v>
      </c>
      <c r="J11" s="19" t="n">
        <f aca="false">IF($A11="","",SUMIF('PO Tracker'!$A$5:$A$84,$A11,'PO Tracker'!$N$5:$N$84))</f>
        <v>925775.486666667</v>
      </c>
      <c r="K11" s="20" t="n">
        <f aca="false">IF($A11="","",IFERROR($J11/$E11,0))</f>
        <v>0.511820325558338</v>
      </c>
      <c r="L11" s="19" t="n">
        <f aca="false">IF($A11="","",$E11-$J11)</f>
        <v>883014.513333333</v>
      </c>
      <c r="M11" s="22" t="str">
        <f aca="false">IF($A11="","",IF(AND($E11=0,$F11=0),"⚪ No Activity",IF($E11=0,"🔴 No Funding on File",IF($F11&gt;=$E11,"🔴 Over Budget",IF($J11&gt;$E11,"🔴 Projected Shortfall",IF($G11&gt;=Controls!$C$8,"🟡 Watch","🟢 On Track"))))))</f>
        <v>🟢 On Track</v>
      </c>
    </row>
    <row r="12" customFormat="false" ht="15" hidden="false" customHeight="false" outlineLevel="0" collapsed="false">
      <c r="A12" s="17" t="str">
        <f aca="false">IFERROR(INDEX('PO Index'!$J$5:$J$84,8),"")</f>
        <v>FINTHRIVE HEALTHCARE INC</v>
      </c>
      <c r="B12" s="26" t="n">
        <f aca="false">IF($A12="","",COUNTIF('PO Tracker'!$A$5:$A$84,$A12))</f>
        <v>1</v>
      </c>
      <c r="C12" s="19" t="n">
        <f aca="false">IF($A12="","",SUMIF('PO Tracker'!$A$5:$A$84,$A12,'PO Tracker'!$F$5:$F$84))</f>
        <v>0</v>
      </c>
      <c r="D12" s="19" t="n">
        <f aca="false">IF($A12="","",SUMIF('PO Tracker'!$A$5:$A$84,$A12,'PO Tracker'!$G$5:$G$84))</f>
        <v>0</v>
      </c>
      <c r="E12" s="19" t="n">
        <f aca="false">IF($A12="","",$C12+$D12)</f>
        <v>0</v>
      </c>
      <c r="F12" s="19" t="n">
        <f aca="false">IF($A12="","",SUMIF('PO Tracker'!$A$5:$A$84,$A12,'PO Tracker'!$I$5:$I$84))</f>
        <v>4095.63</v>
      </c>
      <c r="G12" s="20" t="n">
        <f aca="false">IF($A12="","",IFERROR($F12/$E12,0))</f>
        <v>0</v>
      </c>
      <c r="H12" s="19" t="n">
        <f aca="false">IF($A12="","",$E12-$F12)</f>
        <v>-4095.63</v>
      </c>
      <c r="I12" s="19" t="n">
        <f aca="false">IF($A12="","",SUMIF('PO Tracker'!$A$5:$A$84,$A12,'PO Tracker'!$L$5:$L$84))</f>
        <v>847.31</v>
      </c>
      <c r="J12" s="19" t="n">
        <f aca="false">IF($A12="","",SUMIF('PO Tracker'!$A$5:$A$84,$A12,'PO Tracker'!$N$5:$N$84))</f>
        <v>5790.25</v>
      </c>
      <c r="K12" s="20" t="n">
        <f aca="false">IF($A12="","",IFERROR($J12/$E12,0))</f>
        <v>0</v>
      </c>
      <c r="L12" s="19" t="n">
        <f aca="false">IF($A12="","",$E12-$J12)</f>
        <v>-5790.25</v>
      </c>
      <c r="M12" s="22" t="str">
        <f aca="false">IF($A12="","",IF(AND($E12=0,$F12=0),"⚪ No Activity",IF($E12=0,"🔴 No Funding on File",IF($F12&gt;=$E12,"🔴 Over Budget",IF($J12&gt;$E12,"🔴 Projected Shortfall",IF($G12&gt;=Controls!$C$8,"🟡 Watch","🟢 On Track"))))))</f>
        <v>🔴 No Funding on File</v>
      </c>
    </row>
    <row r="13" customFormat="false" ht="15" hidden="false" customHeight="false" outlineLevel="0" collapsed="false">
      <c r="A13" s="17" t="str">
        <f aca="false">IFERROR(INDEX('PO Index'!$J$5:$J$84,9),"")</f>
        <v>FMS INC</v>
      </c>
      <c r="B13" s="26" t="n">
        <f aca="false">IF($A13="","",COUNTIF('PO Tracker'!$A$5:$A$84,$A13))</f>
        <v>6</v>
      </c>
      <c r="C13" s="19" t="n">
        <f aca="false">IF($A13="","",SUMIF('PO Tracker'!$A$5:$A$84,$A13,'PO Tracker'!$F$5:$F$84))</f>
        <v>0</v>
      </c>
      <c r="D13" s="19" t="n">
        <f aca="false">IF($A13="","",SUMIF('PO Tracker'!$A$5:$A$84,$A13,'PO Tracker'!$G$5:$G$84))</f>
        <v>0</v>
      </c>
      <c r="E13" s="19" t="n">
        <f aca="false">IF($A13="","",$C13+$D13)</f>
        <v>0</v>
      </c>
      <c r="F13" s="19" t="n">
        <f aca="false">IF($A13="","",SUMIF('PO Tracker'!$A$5:$A$84,$A13,'PO Tracker'!$I$5:$I$84))</f>
        <v>1337507.27</v>
      </c>
      <c r="G13" s="20" t="n">
        <f aca="false">IF($A13="","",IFERROR($F13/$E13,0))</f>
        <v>0</v>
      </c>
      <c r="H13" s="19" t="n">
        <f aca="false">IF($A13="","",$E13-$F13)</f>
        <v>-1337507.27</v>
      </c>
      <c r="I13" s="19" t="n">
        <f aca="false">IF($A13="","",SUMIF('PO Tracker'!$A$5:$A$84,$A13,'PO Tracker'!$L$5:$L$84))</f>
        <v>299039.06</v>
      </c>
      <c r="J13" s="19" t="n">
        <f aca="false">IF($A13="","",SUMIF('PO Tracker'!$A$5:$A$84,$A13,'PO Tracker'!$N$5:$N$84))</f>
        <v>1935585.39</v>
      </c>
      <c r="K13" s="20" t="n">
        <f aca="false">IF($A13="","",IFERROR($J13/$E13,0))</f>
        <v>0</v>
      </c>
      <c r="L13" s="19" t="n">
        <f aca="false">IF($A13="","",$E13-$J13)</f>
        <v>-1935585.39</v>
      </c>
      <c r="M13" s="22" t="str">
        <f aca="false">IF($A13="","",IF(AND($E13=0,$F13=0),"⚪ No Activity",IF($E13=0,"🔴 No Funding on File",IF($F13&gt;=$E13,"🔴 Over Budget",IF($J13&gt;$E13,"🔴 Projected Shortfall",IF($G13&gt;=Controls!$C$8,"🟡 Watch","🟢 On Track"))))))</f>
        <v>🔴 No Funding on File</v>
      </c>
    </row>
    <row r="14" customFormat="false" ht="15" hidden="false" customHeight="false" outlineLevel="0" collapsed="false">
      <c r="A14" s="17" t="str">
        <f aca="false">IFERROR(INDEX('PO Index'!$J$5:$J$84,10),"")</f>
        <v>FORTE LLC</v>
      </c>
      <c r="B14" s="26" t="n">
        <f aca="false">IF($A14="","",COUNTIF('PO Tracker'!$A$5:$A$84,$A14))</f>
        <v>1</v>
      </c>
      <c r="C14" s="19" t="n">
        <f aca="false">IF($A14="","",SUMIF('PO Tracker'!$A$5:$A$84,$A14,'PO Tracker'!$F$5:$F$84))</f>
        <v>0</v>
      </c>
      <c r="D14" s="19" t="n">
        <f aca="false">IF($A14="","",SUMIF('PO Tracker'!$A$5:$A$84,$A14,'PO Tracker'!$G$5:$G$84))</f>
        <v>0</v>
      </c>
      <c r="E14" s="19" t="n">
        <f aca="false">IF($A14="","",$C14+$D14)</f>
        <v>0</v>
      </c>
      <c r="F14" s="19" t="n">
        <f aca="false">IF($A14="","",SUMIF('PO Tracker'!$A$5:$A$84,$A14,'PO Tracker'!$I$5:$I$84))</f>
        <v>18414.44</v>
      </c>
      <c r="G14" s="20" t="n">
        <f aca="false">IF($A14="","",IFERROR($F14/$E14,0))</f>
        <v>0</v>
      </c>
      <c r="H14" s="19" t="n">
        <f aca="false">IF($A14="","",$E14-$F14)</f>
        <v>-18414.44</v>
      </c>
      <c r="I14" s="19" t="n">
        <f aca="false">IF($A14="","",SUMIF('PO Tracker'!$A$5:$A$84,$A14,'PO Tracker'!$L$5:$L$84))</f>
        <v>2274.28333333333</v>
      </c>
      <c r="J14" s="19" t="n">
        <f aca="false">IF($A14="","",SUMIF('PO Tracker'!$A$5:$A$84,$A14,'PO Tracker'!$N$5:$N$84))</f>
        <v>22963.0066666667</v>
      </c>
      <c r="K14" s="20" t="n">
        <f aca="false">IF($A14="","",IFERROR($J14/$E14,0))</f>
        <v>0</v>
      </c>
      <c r="L14" s="19" t="n">
        <f aca="false">IF($A14="","",$E14-$J14)</f>
        <v>-22963.0066666667</v>
      </c>
      <c r="M14" s="22" t="str">
        <f aca="false">IF($A14="","",IF(AND($E14=0,$F14=0),"⚪ No Activity",IF($E14=0,"🔴 No Funding on File",IF($F14&gt;=$E14,"🔴 Over Budget",IF($J14&gt;$E14,"🔴 Projected Shortfall",IF($G14&gt;=Controls!$C$8,"🟡 Watch","🟢 On Track"))))))</f>
        <v>🔴 No Funding on File</v>
      </c>
    </row>
    <row r="15" customFormat="false" ht="15" hidden="false" customHeight="false" outlineLevel="0" collapsed="false">
      <c r="A15" s="17" t="str">
        <f aca="false">IFERROR(INDEX('PO Index'!$J$5:$J$84,11),"")</f>
        <v>GUIDEHOUSE INC</v>
      </c>
      <c r="B15" s="26" t="n">
        <f aca="false">IF($A15="","",COUNTIF('PO Tracker'!$A$5:$A$84,$A15))</f>
        <v>3</v>
      </c>
      <c r="C15" s="19" t="n">
        <f aca="false">IF($A15="","",SUMIF('PO Tracker'!$A$5:$A$84,$A15,'PO Tracker'!$F$5:$F$84))</f>
        <v>336072</v>
      </c>
      <c r="D15" s="19" t="n">
        <f aca="false">IF($A15="","",SUMIF('PO Tracker'!$A$5:$A$84,$A15,'PO Tracker'!$G$5:$G$84))</f>
        <v>725429.13</v>
      </c>
      <c r="E15" s="19" t="n">
        <f aca="false">IF($A15="","",$C15+$D15)</f>
        <v>1061501.13</v>
      </c>
      <c r="F15" s="19" t="n">
        <f aca="false">IF($A15="","",SUMIF('PO Tracker'!$A$5:$A$84,$A15,'PO Tracker'!$I$5:$I$84))</f>
        <v>804043.31</v>
      </c>
      <c r="G15" s="20" t="n">
        <f aca="false">IF($A15="","",IFERROR($F15/$E15,0))</f>
        <v>0.757458741471147</v>
      </c>
      <c r="H15" s="19" t="n">
        <f aca="false">IF($A15="","",$E15-$F15)</f>
        <v>257457.82</v>
      </c>
      <c r="I15" s="19" t="n">
        <f aca="false">IF($A15="","",SUMIF('PO Tracker'!$A$5:$A$84,$A15,'PO Tracker'!$L$5:$L$84))</f>
        <v>187925.95</v>
      </c>
      <c r="J15" s="19" t="n">
        <f aca="false">IF($A15="","",SUMIF('PO Tracker'!$A$5:$A$84,$A15,'PO Tracker'!$N$5:$N$84))</f>
        <v>1179895.21</v>
      </c>
      <c r="K15" s="20" t="n">
        <f aca="false">IF($A15="","",IFERROR($J15/$E15,0))</f>
        <v>1.11153457745259</v>
      </c>
      <c r="L15" s="19" t="n">
        <f aca="false">IF($A15="","",$E15-$J15)</f>
        <v>-118394.08</v>
      </c>
      <c r="M15" s="22" t="str">
        <f aca="false">IF($A15="","",IF(AND($E15=0,$F15=0),"⚪ No Activity",IF($E15=0,"🔴 No Funding on File",IF($F15&gt;=$E15,"🔴 Over Budget",IF($J15&gt;$E15,"🔴 Projected Shortfall",IF($G15&gt;=Controls!$C$8,"🟡 Watch","🟢 On Track"))))))</f>
        <v>🔴 Projected Shortfall</v>
      </c>
    </row>
    <row r="16" customFormat="false" ht="15" hidden="false" customHeight="false" outlineLevel="0" collapsed="false">
      <c r="A16" s="17" t="str">
        <f aca="false">IFERROR(INDEX('PO Index'!$J$5:$J$84,12),"")</f>
        <v>HAWLEY TROXELL ENNIS HAWLEY</v>
      </c>
      <c r="B16" s="26" t="n">
        <f aca="false">IF($A16="","",COUNTIF('PO Tracker'!$A$5:$A$84,$A16))</f>
        <v>1</v>
      </c>
      <c r="C16" s="19" t="n">
        <f aca="false">IF($A16="","",SUMIF('PO Tracker'!$A$5:$A$84,$A16,'PO Tracker'!$F$5:$F$84))</f>
        <v>0</v>
      </c>
      <c r="D16" s="19" t="n">
        <f aca="false">IF($A16="","",SUMIF('PO Tracker'!$A$5:$A$84,$A16,'PO Tracker'!$G$5:$G$84))</f>
        <v>0</v>
      </c>
      <c r="E16" s="19" t="n">
        <f aca="false">IF($A16="","",$C16+$D16)</f>
        <v>0</v>
      </c>
      <c r="F16" s="19" t="n">
        <f aca="false">IF($A16="","",SUMIF('PO Tracker'!$A$5:$A$84,$A16,'PO Tracker'!$I$5:$I$84))</f>
        <v>7945.44</v>
      </c>
      <c r="G16" s="20" t="n">
        <f aca="false">IF($A16="","",IFERROR($F16/$E16,0))</f>
        <v>0</v>
      </c>
      <c r="H16" s="19" t="n">
        <f aca="false">IF($A16="","",$E16-$F16)</f>
        <v>-7945.44</v>
      </c>
      <c r="I16" s="19" t="n">
        <f aca="false">IF($A16="","",SUMIF('PO Tracker'!$A$5:$A$84,$A16,'PO Tracker'!$L$5:$L$84))</f>
        <v>2466.16666666667</v>
      </c>
      <c r="J16" s="19" t="n">
        <f aca="false">IF($A16="","",SUMIF('PO Tracker'!$A$5:$A$84,$A16,'PO Tracker'!$N$5:$N$84))</f>
        <v>12877.7733333333</v>
      </c>
      <c r="K16" s="20" t="n">
        <f aca="false">IF($A16="","",IFERROR($J16/$E16,0))</f>
        <v>0</v>
      </c>
      <c r="L16" s="19" t="n">
        <f aca="false">IF($A16="","",$E16-$J16)</f>
        <v>-12877.7733333333</v>
      </c>
      <c r="M16" s="22" t="str">
        <f aca="false">IF($A16="","",IF(AND($E16=0,$F16=0),"⚪ No Activity",IF($E16=0,"🔴 No Funding on File",IF($F16&gt;=$E16,"🔴 Over Budget",IF($J16&gt;$E16,"🔴 Projected Shortfall",IF($G16&gt;=Controls!$C$8,"🟡 Watch","🟢 On Track"))))))</f>
        <v>🔴 No Funding on File</v>
      </c>
    </row>
    <row r="17" customFormat="false" ht="15" hidden="false" customHeight="false" outlineLevel="0" collapsed="false">
      <c r="A17" s="17" t="str">
        <f aca="false">IFERROR(INDEX('PO Index'!$J$5:$J$84,13),"")</f>
        <v>HEALTHFUSE LLC</v>
      </c>
      <c r="B17" s="26" t="n">
        <f aca="false">IF($A17="","",COUNTIF('PO Tracker'!$A$5:$A$84,$A17))</f>
        <v>1</v>
      </c>
      <c r="C17" s="19" t="n">
        <f aca="false">IF($A17="","",SUMIF('PO Tracker'!$A$5:$A$84,$A17,'PO Tracker'!$F$5:$F$84))</f>
        <v>0</v>
      </c>
      <c r="D17" s="19" t="n">
        <f aca="false">IF($A17="","",SUMIF('PO Tracker'!$A$5:$A$84,$A17,'PO Tracker'!$G$5:$G$84))</f>
        <v>0</v>
      </c>
      <c r="E17" s="19" t="n">
        <f aca="false">IF($A17="","",$C17+$D17)</f>
        <v>0</v>
      </c>
      <c r="F17" s="19" t="n">
        <f aca="false">IF($A17="","",SUMIF('PO Tracker'!$A$5:$A$84,$A17,'PO Tracker'!$I$5:$I$84))</f>
        <v>218875</v>
      </c>
      <c r="G17" s="20" t="n">
        <f aca="false">IF($A17="","",IFERROR($F17/$E17,0))</f>
        <v>0</v>
      </c>
      <c r="H17" s="19" t="n">
        <f aca="false">IF($A17="","",$E17-$F17)</f>
        <v>-218875</v>
      </c>
      <c r="I17" s="19" t="n">
        <f aca="false">IF($A17="","",SUMIF('PO Tracker'!$A$5:$A$84,$A17,'PO Tracker'!$L$5:$L$84))</f>
        <v>43775</v>
      </c>
      <c r="J17" s="19" t="n">
        <f aca="false">IF($A17="","",SUMIF('PO Tracker'!$A$5:$A$84,$A17,'PO Tracker'!$N$5:$N$84))</f>
        <v>306425</v>
      </c>
      <c r="K17" s="20" t="n">
        <f aca="false">IF($A17="","",IFERROR($J17/$E17,0))</f>
        <v>0</v>
      </c>
      <c r="L17" s="19" t="n">
        <f aca="false">IF($A17="","",$E17-$J17)</f>
        <v>-306425</v>
      </c>
      <c r="M17" s="22" t="str">
        <f aca="false">IF($A17="","",IF(AND($E17=0,$F17=0),"⚪ No Activity",IF($E17=0,"🔴 No Funding on File",IF($F17&gt;=$E17,"🔴 Over Budget",IF($J17&gt;$E17,"🔴 Projected Shortfall",IF($G17&gt;=Controls!$C$8,"🟡 Watch","🟢 On Track"))))))</f>
        <v>🔴 No Funding on File</v>
      </c>
    </row>
    <row r="18" customFormat="false" ht="15" hidden="false" customHeight="false" outlineLevel="0" collapsed="false">
      <c r="A18" s="17" t="str">
        <f aca="false">IFERROR(INDEX('PO Index'!$J$5:$J$84,14),"")</f>
        <v>HEALTHSTREAM</v>
      </c>
      <c r="B18" s="26" t="n">
        <f aca="false">IF($A18="","",COUNTIF('PO Tracker'!$A$5:$A$84,$A18))</f>
        <v>1</v>
      </c>
      <c r="C18" s="19" t="n">
        <f aca="false">IF($A18="","",SUMIF('PO Tracker'!$A$5:$A$84,$A18,'PO Tracker'!$F$5:$F$84))</f>
        <v>0</v>
      </c>
      <c r="D18" s="19" t="n">
        <f aca="false">IF($A18="","",SUMIF('PO Tracker'!$A$5:$A$84,$A18,'PO Tracker'!$G$5:$G$84))</f>
        <v>0</v>
      </c>
      <c r="E18" s="19" t="n">
        <f aca="false">IF($A18="","",$C18+$D18)</f>
        <v>0</v>
      </c>
      <c r="F18" s="19" t="n">
        <f aca="false">IF($A18="","",SUMIF('PO Tracker'!$A$5:$A$84,$A18,'PO Tracker'!$I$5:$I$84))</f>
        <v>194937.93</v>
      </c>
      <c r="G18" s="20" t="n">
        <f aca="false">IF($A18="","",IFERROR($F18/$E18,0))</f>
        <v>0</v>
      </c>
      <c r="H18" s="19" t="n">
        <f aca="false">IF($A18="","",$E18-$F18)</f>
        <v>-194937.93</v>
      </c>
      <c r="I18" s="19" t="n">
        <f aca="false">IF($A18="","",SUMIF('PO Tracker'!$A$5:$A$84,$A18,'PO Tracker'!$L$5:$L$84))</f>
        <v>0</v>
      </c>
      <c r="J18" s="19" t="n">
        <f aca="false">IF($A18="","",SUMIF('PO Tracker'!$A$5:$A$84,$A18,'PO Tracker'!$N$5:$N$84))</f>
        <v>194937.93</v>
      </c>
      <c r="K18" s="20" t="n">
        <f aca="false">IF($A18="","",IFERROR($J18/$E18,0))</f>
        <v>0</v>
      </c>
      <c r="L18" s="19" t="n">
        <f aca="false">IF($A18="","",$E18-$J18)</f>
        <v>-194937.93</v>
      </c>
      <c r="M18" s="22" t="str">
        <f aca="false">IF($A18="","",IF(AND($E18=0,$F18=0),"⚪ No Activity",IF($E18=0,"🔴 No Funding on File",IF($F18&gt;=$E18,"🔴 Over Budget",IF($J18&gt;$E18,"🔴 Projected Shortfall",IF($G18&gt;=Controls!$C$8,"🟡 Watch","🟢 On Track"))))))</f>
        <v>🔴 No Funding on File</v>
      </c>
    </row>
    <row r="19" customFormat="false" ht="15" hidden="false" customHeight="false" outlineLevel="0" collapsed="false">
      <c r="A19" s="17" t="str">
        <f aca="false">IFERROR(INDEX('PO Index'!$J$5:$J$84,15),"")</f>
        <v>HIMAGINE SOLUTIONS INC</v>
      </c>
      <c r="B19" s="26" t="n">
        <f aca="false">IF($A19="","",COUNTIF('PO Tracker'!$A$5:$A$84,$A19))</f>
        <v>1</v>
      </c>
      <c r="C19" s="19" t="n">
        <f aca="false">IF($A19="","",SUMIF('PO Tracker'!$A$5:$A$84,$A19,'PO Tracker'!$F$5:$F$84))</f>
        <v>0</v>
      </c>
      <c r="D19" s="19" t="n">
        <f aca="false">IF($A19="","",SUMIF('PO Tracker'!$A$5:$A$84,$A19,'PO Tracker'!$G$5:$G$84))</f>
        <v>0</v>
      </c>
      <c r="E19" s="19" t="n">
        <f aca="false">IF($A19="","",$C19+$D19)</f>
        <v>0</v>
      </c>
      <c r="F19" s="19" t="n">
        <f aca="false">IF($A19="","",SUMIF('PO Tracker'!$A$5:$A$84,$A19,'PO Tracker'!$I$5:$I$84))</f>
        <v>11173.33</v>
      </c>
      <c r="G19" s="20" t="n">
        <f aca="false">IF($A19="","",IFERROR($F19/$E19,0))</f>
        <v>0</v>
      </c>
      <c r="H19" s="19" t="n">
        <f aca="false">IF($A19="","",$E19-$F19)</f>
        <v>-11173.33</v>
      </c>
      <c r="I19" s="19" t="n">
        <f aca="false">IF($A19="","",SUMIF('PO Tracker'!$A$5:$A$84,$A19,'PO Tracker'!$L$5:$L$84))</f>
        <v>0</v>
      </c>
      <c r="J19" s="19" t="n">
        <f aca="false">IF($A19="","",SUMIF('PO Tracker'!$A$5:$A$84,$A19,'PO Tracker'!$N$5:$N$84))</f>
        <v>11173.33</v>
      </c>
      <c r="K19" s="20" t="n">
        <f aca="false">IF($A19="","",IFERROR($J19/$E19,0))</f>
        <v>0</v>
      </c>
      <c r="L19" s="19" t="n">
        <f aca="false">IF($A19="","",$E19-$J19)</f>
        <v>-11173.33</v>
      </c>
      <c r="M19" s="22" t="str">
        <f aca="false">IF($A19="","",IF(AND($E19=0,$F19=0),"⚪ No Activity",IF($E19=0,"🔴 No Funding on File",IF($F19&gt;=$E19,"🔴 Over Budget",IF($J19&gt;$E19,"🔴 Projected Shortfall",IF($G19&gt;=Controls!$C$8,"🟡 Watch","🟢 On Track"))))))</f>
        <v>🔴 No Funding on File</v>
      </c>
    </row>
    <row r="20" customFormat="false" ht="15" hidden="false" customHeight="false" outlineLevel="0" collapsed="false">
      <c r="A20" s="17" t="str">
        <f aca="false">IFERROR(INDEX('PO Index'!$J$5:$J$84,16),"")</f>
        <v>HYVE HEALTHCARE</v>
      </c>
      <c r="B20" s="26" t="n">
        <f aca="false">IF($A20="","",COUNTIF('PO Tracker'!$A$5:$A$84,$A20))</f>
        <v>1</v>
      </c>
      <c r="C20" s="19" t="n">
        <f aca="false">IF($A20="","",SUMIF('PO Tracker'!$A$5:$A$84,$A20,'PO Tracker'!$F$5:$F$84))</f>
        <v>96000</v>
      </c>
      <c r="D20" s="19" t="n">
        <f aca="false">IF($A20="","",SUMIF('PO Tracker'!$A$5:$A$84,$A20,'PO Tracker'!$G$5:$G$84))</f>
        <v>0</v>
      </c>
      <c r="E20" s="19" t="n">
        <f aca="false">IF($A20="","",$C20+$D20)</f>
        <v>96000</v>
      </c>
      <c r="F20" s="19" t="n">
        <f aca="false">IF($A20="","",SUMIF('PO Tracker'!$A$5:$A$84,$A20,'PO Tracker'!$I$5:$I$84))</f>
        <v>0</v>
      </c>
      <c r="G20" s="20" t="n">
        <f aca="false">IF($A20="","",IFERROR($F20/$E20,0))</f>
        <v>0</v>
      </c>
      <c r="H20" s="19" t="n">
        <f aca="false">IF($A20="","",$E20-$F20)</f>
        <v>96000</v>
      </c>
      <c r="I20" s="19" t="n">
        <f aca="false">IF($A20="","",SUMIF('PO Tracker'!$A$5:$A$84,$A20,'PO Tracker'!$L$5:$L$84))</f>
        <v>0</v>
      </c>
      <c r="J20" s="19" t="n">
        <f aca="false">IF($A20="","",SUMIF('PO Tracker'!$A$5:$A$84,$A20,'PO Tracker'!$N$5:$N$84))</f>
        <v>0</v>
      </c>
      <c r="K20" s="20" t="n">
        <f aca="false">IF($A20="","",IFERROR($J20/$E20,0))</f>
        <v>0</v>
      </c>
      <c r="L20" s="19" t="n">
        <f aca="false">IF($A20="","",$E20-$J20)</f>
        <v>96000</v>
      </c>
      <c r="M20" s="22" t="str">
        <f aca="false">IF($A20="","",IF(AND($E20=0,$F20=0),"⚪ No Activity",IF($E20=0,"🔴 No Funding on File",IF($F20&gt;=$E20,"🔴 Over Budget",IF($J20&gt;$E20,"🔴 Projected Shortfall",IF($G20&gt;=Controls!$C$8,"🟡 Watch","🟢 On Track"))))))</f>
        <v>🟢 On Track</v>
      </c>
    </row>
    <row r="21" customFormat="false" ht="15" hidden="false" customHeight="false" outlineLevel="0" collapsed="false">
      <c r="A21" s="17" t="str">
        <f aca="false">IFERROR(INDEX('PO Index'!$J$5:$J$84,17),"")</f>
        <v>MCBEE ASSOCIATES INC</v>
      </c>
      <c r="B21" s="26" t="n">
        <f aca="false">IF($A21="","",COUNTIF('PO Tracker'!$A$5:$A$84,$A21))</f>
        <v>1</v>
      </c>
      <c r="C21" s="19" t="n">
        <f aca="false">IF($A21="","",SUMIF('PO Tracker'!$A$5:$A$84,$A21,'PO Tracker'!$F$5:$F$84))</f>
        <v>0</v>
      </c>
      <c r="D21" s="19" t="n">
        <f aca="false">IF($A21="","",SUMIF('PO Tracker'!$A$5:$A$84,$A21,'PO Tracker'!$G$5:$G$84))</f>
        <v>0</v>
      </c>
      <c r="E21" s="19" t="n">
        <f aca="false">IF($A21="","",$C21+$D21)</f>
        <v>0</v>
      </c>
      <c r="F21" s="19" t="n">
        <f aca="false">IF($A21="","",SUMIF('PO Tracker'!$A$5:$A$84,$A21,'PO Tracker'!$I$5:$I$84))</f>
        <v>26620.51</v>
      </c>
      <c r="G21" s="20" t="n">
        <f aca="false">IF($A21="","",IFERROR($F21/$E21,0))</f>
        <v>0</v>
      </c>
      <c r="H21" s="19" t="n">
        <f aca="false">IF($A21="","",$E21-$F21)</f>
        <v>-26620.51</v>
      </c>
      <c r="I21" s="19" t="n">
        <f aca="false">IF($A21="","",SUMIF('PO Tracker'!$A$5:$A$84,$A21,'PO Tracker'!$L$5:$L$84))</f>
        <v>8873.50333333333</v>
      </c>
      <c r="J21" s="19" t="n">
        <f aca="false">IF($A21="","",SUMIF('PO Tracker'!$A$5:$A$84,$A21,'PO Tracker'!$N$5:$N$84))</f>
        <v>44367.5166666667</v>
      </c>
      <c r="K21" s="20" t="n">
        <f aca="false">IF($A21="","",IFERROR($J21/$E21,0))</f>
        <v>0</v>
      </c>
      <c r="L21" s="19" t="n">
        <f aca="false">IF($A21="","",$E21-$J21)</f>
        <v>-44367.5166666667</v>
      </c>
      <c r="M21" s="22" t="str">
        <f aca="false">IF($A21="","",IF(AND($E21=0,$F21=0),"⚪ No Activity",IF($E21=0,"🔴 No Funding on File",IF($F21&gt;=$E21,"🔴 Over Budget",IF($J21&gt;$E21,"🔴 Projected Shortfall",IF($G21&gt;=Controls!$C$8,"🟡 Watch","🟢 On Track"))))))</f>
        <v>🔴 No Funding on File</v>
      </c>
    </row>
    <row r="22" customFormat="false" ht="15" hidden="false" customHeight="false" outlineLevel="0" collapsed="false">
      <c r="A22" s="17" t="str">
        <f aca="false">IFERROR(INDEX('PO Index'!$J$5:$J$84,18),"")</f>
        <v>MEDLYTIX LLC</v>
      </c>
      <c r="B22" s="26" t="n">
        <f aca="false">IF($A22="","",COUNTIF('PO Tracker'!$A$5:$A$84,$A22))</f>
        <v>1</v>
      </c>
      <c r="C22" s="19" t="n">
        <f aca="false">IF($A22="","",SUMIF('PO Tracker'!$A$5:$A$84,$A22,'PO Tracker'!$F$5:$F$84))</f>
        <v>0</v>
      </c>
      <c r="D22" s="19" t="n">
        <f aca="false">IF($A22="","",SUMIF('PO Tracker'!$A$5:$A$84,$A22,'PO Tracker'!$G$5:$G$84))</f>
        <v>0</v>
      </c>
      <c r="E22" s="19" t="n">
        <f aca="false">IF($A22="","",$C22+$D22)</f>
        <v>0</v>
      </c>
      <c r="F22" s="19" t="n">
        <f aca="false">IF($A22="","",SUMIF('PO Tracker'!$A$5:$A$84,$A22,'PO Tracker'!$I$5:$I$84))</f>
        <v>66407.26</v>
      </c>
      <c r="G22" s="20" t="n">
        <f aca="false">IF($A22="","",IFERROR($F22/$E22,0))</f>
        <v>0</v>
      </c>
      <c r="H22" s="19" t="n">
        <f aca="false">IF($A22="","",$E22-$F22)</f>
        <v>-66407.26</v>
      </c>
      <c r="I22" s="19" t="n">
        <f aca="false">IF($A22="","",SUMIF('PO Tracker'!$A$5:$A$84,$A22,'PO Tracker'!$L$5:$L$84))</f>
        <v>22135.7533333333</v>
      </c>
      <c r="J22" s="19" t="n">
        <f aca="false">IF($A22="","",SUMIF('PO Tracker'!$A$5:$A$84,$A22,'PO Tracker'!$N$5:$N$84))</f>
        <v>110678.766666667</v>
      </c>
      <c r="K22" s="20" t="n">
        <f aca="false">IF($A22="","",IFERROR($J22/$E22,0))</f>
        <v>0</v>
      </c>
      <c r="L22" s="19" t="n">
        <f aca="false">IF($A22="","",$E22-$J22)</f>
        <v>-110678.766666667</v>
      </c>
      <c r="M22" s="22" t="str">
        <f aca="false">IF($A22="","",IF(AND($E22=0,$F22=0),"⚪ No Activity",IF($E22=0,"🔴 No Funding on File",IF($F22&gt;=$E22,"🔴 Over Budget",IF($J22&gt;$E22,"🔴 Projected Shortfall",IF($G22&gt;=Controls!$C$8,"🟡 Watch","🟢 On Track"))))))</f>
        <v>🔴 No Funding on File</v>
      </c>
    </row>
    <row r="23" customFormat="false" ht="15" hidden="false" customHeight="false" outlineLevel="0" collapsed="false">
      <c r="A23" s="17" t="str">
        <f aca="false">IFERROR(INDEX('PO Index'!$J$5:$J$84,19),"")</f>
        <v>REVSPRING INC</v>
      </c>
      <c r="B23" s="26" t="n">
        <f aca="false">IF($A23="","",COUNTIF('PO Tracker'!$A$5:$A$84,$A23))</f>
        <v>2</v>
      </c>
      <c r="C23" s="19" t="n">
        <f aca="false">IF($A23="","",SUMIF('PO Tracker'!$A$5:$A$84,$A23,'PO Tracker'!$F$5:$F$84))</f>
        <v>0</v>
      </c>
      <c r="D23" s="19" t="n">
        <f aca="false">IF($A23="","",SUMIF('PO Tracker'!$A$5:$A$84,$A23,'PO Tracker'!$G$5:$G$84))</f>
        <v>0</v>
      </c>
      <c r="E23" s="19" t="n">
        <f aca="false">IF($A23="","",$C23+$D23)</f>
        <v>0</v>
      </c>
      <c r="F23" s="19" t="n">
        <f aca="false">IF($A23="","",SUMIF('PO Tracker'!$A$5:$A$84,$A23,'PO Tracker'!$I$5:$I$84))</f>
        <v>83534.41</v>
      </c>
      <c r="G23" s="20" t="n">
        <f aca="false">IF($A23="","",IFERROR($F23/$E23,0))</f>
        <v>0</v>
      </c>
      <c r="H23" s="19" t="n">
        <f aca="false">IF($A23="","",$E23-$F23)</f>
        <v>-83534.41</v>
      </c>
      <c r="I23" s="19" t="n">
        <f aca="false">IF($A23="","",SUMIF('PO Tracker'!$A$5:$A$84,$A23,'PO Tracker'!$L$5:$L$84))</f>
        <v>20886.0466666667</v>
      </c>
      <c r="J23" s="19" t="n">
        <f aca="false">IF($A23="","",SUMIF('PO Tracker'!$A$5:$A$84,$A23,'PO Tracker'!$N$5:$N$84))</f>
        <v>125306.503333333</v>
      </c>
      <c r="K23" s="20" t="n">
        <f aca="false">IF($A23="","",IFERROR($J23/$E23,0))</f>
        <v>0</v>
      </c>
      <c r="L23" s="19" t="n">
        <f aca="false">IF($A23="","",$E23-$J23)</f>
        <v>-125306.503333333</v>
      </c>
      <c r="M23" s="22" t="str">
        <f aca="false">IF($A23="","",IF(AND($E23=0,$F23=0),"⚪ No Activity",IF($E23=0,"🔴 No Funding on File",IF($F23&gt;=$E23,"🔴 Over Budget",IF($J23&gt;$E23,"🔴 Projected Shortfall",IF($G23&gt;=Controls!$C$8,"🟡 Watch","🟢 On Track"))))))</f>
        <v>🔴 No Funding on File</v>
      </c>
    </row>
    <row r="24" customFormat="false" ht="15" hidden="false" customHeight="false" outlineLevel="0" collapsed="false">
      <c r="A24" s="17" t="str">
        <f aca="false">IFERROR(INDEX('PO Index'!$J$5:$J$84,20),"")</f>
        <v>RMP LLC</v>
      </c>
      <c r="B24" s="26" t="n">
        <f aca="false">IF($A24="","",COUNTIF('PO Tracker'!$A$5:$A$84,$A24))</f>
        <v>5</v>
      </c>
      <c r="C24" s="19" t="n">
        <f aca="false">IF($A24="","",SUMIF('PO Tracker'!$A$5:$A$84,$A24,'PO Tracker'!$F$5:$F$84))</f>
        <v>0</v>
      </c>
      <c r="D24" s="19" t="n">
        <f aca="false">IF($A24="","",SUMIF('PO Tracker'!$A$5:$A$84,$A24,'PO Tracker'!$G$5:$G$84))</f>
        <v>0</v>
      </c>
      <c r="E24" s="19" t="n">
        <f aca="false">IF($A24="","",$C24+$D24)</f>
        <v>0</v>
      </c>
      <c r="F24" s="19" t="n">
        <f aca="false">IF($A24="","",SUMIF('PO Tracker'!$A$5:$A$84,$A24,'PO Tracker'!$I$5:$I$84))</f>
        <v>1477814.35</v>
      </c>
      <c r="G24" s="20" t="n">
        <f aca="false">IF($A24="","",IFERROR($F24/$E24,0))</f>
        <v>0</v>
      </c>
      <c r="H24" s="19" t="n">
        <f aca="false">IF($A24="","",$E24-$F24)</f>
        <v>-1477814.35</v>
      </c>
      <c r="I24" s="19" t="n">
        <f aca="false">IF($A24="","",SUMIF('PO Tracker'!$A$5:$A$84,$A24,'PO Tracker'!$L$5:$L$84))</f>
        <v>365134.383333333</v>
      </c>
      <c r="J24" s="19" t="n">
        <f aca="false">IF($A24="","",SUMIF('PO Tracker'!$A$5:$A$84,$A24,'PO Tracker'!$N$5:$N$84))</f>
        <v>2208083.11666667</v>
      </c>
      <c r="K24" s="20" t="n">
        <f aca="false">IF($A24="","",IFERROR($J24/$E24,0))</f>
        <v>0</v>
      </c>
      <c r="L24" s="19" t="n">
        <f aca="false">IF($A24="","",$E24-$J24)</f>
        <v>-2208083.11666667</v>
      </c>
      <c r="M24" s="22" t="str">
        <f aca="false">IF($A24="","",IF(AND($E24=0,$F24=0),"⚪ No Activity",IF($E24=0,"🔴 No Funding on File",IF($F24&gt;=$E24,"🔴 Over Budget",IF($J24&gt;$E24,"🔴 Projected Shortfall",IF($G24&gt;=Controls!$C$8,"🟡 Watch","🟢 On Track"))))))</f>
        <v>🔴 No Funding on File</v>
      </c>
    </row>
    <row r="25" customFormat="false" ht="15" hidden="false" customHeight="false" outlineLevel="0" collapsed="false">
      <c r="A25" s="17" t="str">
        <f aca="false">IFERROR(INDEX('PO Index'!$J$5:$J$84,21),"")</f>
        <v>SOLVENTUM HEALTH INFO SYSTEM</v>
      </c>
      <c r="B25" s="26" t="n">
        <f aca="false">IF($A25="","",COUNTIF('PO Tracker'!$A$5:$A$84,$A25))</f>
        <v>2</v>
      </c>
      <c r="C25" s="19" t="n">
        <f aca="false">IF($A25="","",SUMIF('PO Tracker'!$A$5:$A$84,$A25,'PO Tracker'!$F$5:$F$84))</f>
        <v>0</v>
      </c>
      <c r="D25" s="19" t="n">
        <f aca="false">IF($A25="","",SUMIF('PO Tracker'!$A$5:$A$84,$A25,'PO Tracker'!$G$5:$G$84))</f>
        <v>0</v>
      </c>
      <c r="E25" s="19" t="n">
        <f aca="false">IF($A25="","",$C25+$D25)</f>
        <v>0</v>
      </c>
      <c r="F25" s="19" t="n">
        <f aca="false">IF($A25="","",SUMIF('PO Tracker'!$A$5:$A$84,$A25,'PO Tracker'!$I$5:$I$84))</f>
        <v>626640.51</v>
      </c>
      <c r="G25" s="20" t="n">
        <f aca="false">IF($A25="","",IFERROR($F25/$E25,0))</f>
        <v>0</v>
      </c>
      <c r="H25" s="19" t="n">
        <f aca="false">IF($A25="","",$E25-$F25)</f>
        <v>-626640.51</v>
      </c>
      <c r="I25" s="19" t="n">
        <f aca="false">IF($A25="","",SUMIF('PO Tracker'!$A$5:$A$84,$A25,'PO Tracker'!$L$5:$L$84))</f>
        <v>147047.086666667</v>
      </c>
      <c r="J25" s="19" t="n">
        <f aca="false">IF($A25="","",SUMIF('PO Tracker'!$A$5:$A$84,$A25,'PO Tracker'!$N$5:$N$84))</f>
        <v>920734.683333333</v>
      </c>
      <c r="K25" s="20" t="n">
        <f aca="false">IF($A25="","",IFERROR($J25/$E25,0))</f>
        <v>0</v>
      </c>
      <c r="L25" s="19" t="n">
        <f aca="false">IF($A25="","",$E25-$J25)</f>
        <v>-920734.683333333</v>
      </c>
      <c r="M25" s="22" t="str">
        <f aca="false">IF($A25="","",IF(AND($E25=0,$F25=0),"⚪ No Activity",IF($E25=0,"🔴 No Funding on File",IF($F25&gt;=$E25,"🔴 Over Budget",IF($J25&gt;$E25,"🔴 Projected Shortfall",IF($G25&gt;=Controls!$C$8,"🟡 Watch","🟢 On Track"))))))</f>
        <v>🔴 No Funding on File</v>
      </c>
    </row>
    <row r="26" customFormat="false" ht="15" hidden="false" customHeight="false" outlineLevel="0" collapsed="false">
      <c r="A26" s="17" t="str">
        <f aca="false">IFERROR(INDEX('PO Index'!$J$5:$J$84,22),"")</f>
        <v>TERNIUM LLC</v>
      </c>
      <c r="B26" s="26" t="n">
        <f aca="false">IF($A26="","",COUNTIF('PO Tracker'!$A$5:$A$84,$A26))</f>
        <v>1</v>
      </c>
      <c r="C26" s="19" t="n">
        <f aca="false">IF($A26="","",SUMIF('PO Tracker'!$A$5:$A$84,$A26,'PO Tracker'!$F$5:$F$84))</f>
        <v>0</v>
      </c>
      <c r="D26" s="19" t="n">
        <f aca="false">IF($A26="","",SUMIF('PO Tracker'!$A$5:$A$84,$A26,'PO Tracker'!$G$5:$G$84))</f>
        <v>0</v>
      </c>
      <c r="E26" s="19" t="n">
        <f aca="false">IF($A26="","",$C26+$D26)</f>
        <v>0</v>
      </c>
      <c r="F26" s="19" t="n">
        <f aca="false">IF($A26="","",SUMIF('PO Tracker'!$A$5:$A$84,$A26,'PO Tracker'!$I$5:$I$84))</f>
        <v>572803.83</v>
      </c>
      <c r="G26" s="20" t="n">
        <f aca="false">IF($A26="","",IFERROR($F26/$E26,0))</f>
        <v>0</v>
      </c>
      <c r="H26" s="19" t="n">
        <f aca="false">IF($A26="","",$E26-$F26)</f>
        <v>-572803.83</v>
      </c>
      <c r="I26" s="19" t="n">
        <f aca="false">IF($A26="","",SUMIF('PO Tracker'!$A$5:$A$84,$A26,'PO Tracker'!$L$5:$L$84))</f>
        <v>126869.253333333</v>
      </c>
      <c r="J26" s="19" t="n">
        <f aca="false">IF($A26="","",SUMIF('PO Tracker'!$A$5:$A$84,$A26,'PO Tracker'!$N$5:$N$84))</f>
        <v>826542.336666667</v>
      </c>
      <c r="K26" s="20" t="n">
        <f aca="false">IF($A26="","",IFERROR($J26/$E26,0))</f>
        <v>0</v>
      </c>
      <c r="L26" s="19" t="n">
        <f aca="false">IF($A26="","",$E26-$J26)</f>
        <v>-826542.336666667</v>
      </c>
      <c r="M26" s="22" t="str">
        <f aca="false">IF($A26="","",IF(AND($E26=0,$F26=0),"⚪ No Activity",IF($E26=0,"🔴 No Funding on File",IF($F26&gt;=$E26,"🔴 Over Budget",IF($J26&gt;$E26,"🔴 Projected Shortfall",IF($G26&gt;=Controls!$C$8,"🟡 Watch","🟢 On Track"))))))</f>
        <v>🔴 No Funding on File</v>
      </c>
    </row>
    <row r="27" customFormat="false" ht="15" hidden="false" customHeight="false" outlineLevel="0" collapsed="false">
      <c r="A27" s="17" t="str">
        <f aca="false">IFERROR(INDEX('PO Index'!$J$5:$J$84,23),"")</f>
        <v>UNIFIED HEALTH SERVICES LLC</v>
      </c>
      <c r="B27" s="26" t="n">
        <f aca="false">IF($A27="","",COUNTIF('PO Tracker'!$A$5:$A$84,$A27))</f>
        <v>1</v>
      </c>
      <c r="C27" s="19" t="n">
        <f aca="false">IF($A27="","",SUMIF('PO Tracker'!$A$5:$A$84,$A27,'PO Tracker'!$F$5:$F$84))</f>
        <v>0</v>
      </c>
      <c r="D27" s="19" t="n">
        <f aca="false">IF($A27="","",SUMIF('PO Tracker'!$A$5:$A$84,$A27,'PO Tracker'!$G$5:$G$84))</f>
        <v>0</v>
      </c>
      <c r="E27" s="19" t="n">
        <f aca="false">IF($A27="","",$C27+$D27)</f>
        <v>0</v>
      </c>
      <c r="F27" s="19" t="n">
        <f aca="false">IF($A27="","",SUMIF('PO Tracker'!$A$5:$A$84,$A27,'PO Tracker'!$I$5:$I$84))</f>
        <v>786545.68</v>
      </c>
      <c r="G27" s="20" t="n">
        <f aca="false">IF($A27="","",IFERROR($F27/$E27,0))</f>
        <v>0</v>
      </c>
      <c r="H27" s="19" t="n">
        <f aca="false">IF($A27="","",$E27-$F27)</f>
        <v>-786545.68</v>
      </c>
      <c r="I27" s="19" t="n">
        <f aca="false">IF($A27="","",SUMIF('PO Tracker'!$A$5:$A$84,$A27,'PO Tracker'!$L$5:$L$84))</f>
        <v>139733.68</v>
      </c>
      <c r="J27" s="19" t="n">
        <f aca="false">IF($A27="","",SUMIF('PO Tracker'!$A$5:$A$84,$A27,'PO Tracker'!$N$5:$N$84))</f>
        <v>1066013.04</v>
      </c>
      <c r="K27" s="20" t="n">
        <f aca="false">IF($A27="","",IFERROR($J27/$E27,0))</f>
        <v>0</v>
      </c>
      <c r="L27" s="19" t="n">
        <f aca="false">IF($A27="","",$E27-$J27)</f>
        <v>-1066013.04</v>
      </c>
      <c r="M27" s="22" t="str">
        <f aca="false">IF($A27="","",IF(AND($E27=0,$F27=0),"⚪ No Activity",IF($E27=0,"🔴 No Funding on File",IF($F27&gt;=$E27,"🔴 Over Budget",IF($J27&gt;$E27,"🔴 Projected Shortfall",IF($G27&gt;=Controls!$C$8,"🟡 Watch","🟢 On Track"))))))</f>
        <v>🔴 No Funding on File</v>
      </c>
    </row>
    <row r="28" customFormat="false" ht="15" hidden="false" customHeight="false" outlineLevel="0" collapsed="false">
      <c r="A28" s="17" t="str">
        <f aca="false">IFERROR(INDEX('PO Index'!$J$5:$J$84,24),"")</f>
        <v>UNITED AUDIT SYSTEMS INC</v>
      </c>
      <c r="B28" s="26" t="n">
        <f aca="false">IF($A28="","",COUNTIF('PO Tracker'!$A$5:$A$84,$A28))</f>
        <v>1</v>
      </c>
      <c r="C28" s="19" t="n">
        <f aca="false">IF($A28="","",SUMIF('PO Tracker'!$A$5:$A$84,$A28,'PO Tracker'!$F$5:$F$84))</f>
        <v>500000</v>
      </c>
      <c r="D28" s="19" t="n">
        <f aca="false">IF($A28="","",SUMIF('PO Tracker'!$A$5:$A$84,$A28,'PO Tracker'!$G$5:$G$84))</f>
        <v>500000</v>
      </c>
      <c r="E28" s="19" t="n">
        <f aca="false">IF($A28="","",$C28+$D28)</f>
        <v>1000000</v>
      </c>
      <c r="F28" s="19" t="n">
        <f aca="false">IF($A28="","",SUMIF('PO Tracker'!$A$5:$A$84,$A28,'PO Tracker'!$I$5:$I$84))</f>
        <v>3822.5</v>
      </c>
      <c r="G28" s="20" t="n">
        <f aca="false">IF($A28="","",IFERROR($F28/$E28,0))</f>
        <v>0.0038225</v>
      </c>
      <c r="H28" s="19" t="n">
        <f aca="false">IF($A28="","",$E28-$F28)</f>
        <v>996177.5</v>
      </c>
      <c r="I28" s="19" t="n">
        <f aca="false">IF($A28="","",SUMIF('PO Tracker'!$A$5:$A$84,$A28,'PO Tracker'!$L$5:$L$84))</f>
        <v>1274.16666666667</v>
      </c>
      <c r="J28" s="19" t="n">
        <f aca="false">IF($A28="","",SUMIF('PO Tracker'!$A$5:$A$84,$A28,'PO Tracker'!$N$5:$N$84))</f>
        <v>6370.83333333333</v>
      </c>
      <c r="K28" s="20" t="n">
        <f aca="false">IF($A28="","",IFERROR($J28/$E28,0))</f>
        <v>0.00637083333333333</v>
      </c>
      <c r="L28" s="19" t="n">
        <f aca="false">IF($A28="","",$E28-$J28)</f>
        <v>993629.166666667</v>
      </c>
      <c r="M28" s="22" t="str">
        <f aca="false">IF($A28="","",IF(AND($E28=0,$F28=0),"⚪ No Activity",IF($E28=0,"🔴 No Funding on File",IF($F28&gt;=$E28,"🔴 Over Budget",IF($J28&gt;$E28,"🔴 Projected Shortfall",IF($G28&gt;=Controls!$C$8,"🟡 Watch","🟢 On Track"))))))</f>
        <v>🟢 On Track</v>
      </c>
    </row>
    <row r="29" customFormat="false" ht="15" hidden="false" customHeight="false" outlineLevel="0" collapsed="false">
      <c r="A29" s="17" t="str">
        <f aca="false">IFERROR(INDEX('PO Index'!$J$5:$J$84,25),"")</f>
        <v>WAYSTAR HEALTH</v>
      </c>
      <c r="B29" s="26" t="n">
        <f aca="false">IF($A29="","",COUNTIF('PO Tracker'!$A$5:$A$84,$A29))</f>
        <v>3</v>
      </c>
      <c r="C29" s="19" t="n">
        <f aca="false">IF($A29="","",SUMIF('PO Tracker'!$A$5:$A$84,$A29,'PO Tracker'!$F$5:$F$84))</f>
        <v>351960</v>
      </c>
      <c r="D29" s="19" t="n">
        <f aca="false">IF($A29="","",SUMIF('PO Tracker'!$A$5:$A$84,$A29,'PO Tracker'!$G$5:$G$84))</f>
        <v>892000</v>
      </c>
      <c r="E29" s="19" t="n">
        <f aca="false">IF($A29="","",$C29+$D29)</f>
        <v>1243960</v>
      </c>
      <c r="F29" s="19" t="n">
        <f aca="false">IF($A29="","",SUMIF('PO Tracker'!$A$5:$A$84,$A29,'PO Tracker'!$I$5:$I$84))</f>
        <v>963526.19</v>
      </c>
      <c r="G29" s="20" t="n">
        <f aca="false">IF($A29="","",IFERROR($F29/$E29,0))</f>
        <v>0.774563643525515</v>
      </c>
      <c r="H29" s="19" t="n">
        <f aca="false">IF($A29="","",$E29-$F29)</f>
        <v>280433.81</v>
      </c>
      <c r="I29" s="19" t="n">
        <f aca="false">IF($A29="","",SUMIF('PO Tracker'!$A$5:$A$84,$A29,'PO Tracker'!$L$5:$L$84))</f>
        <v>150162.41</v>
      </c>
      <c r="J29" s="19" t="n">
        <f aca="false">IF($A29="","",SUMIF('PO Tracker'!$A$5:$A$84,$A29,'PO Tracker'!$N$5:$N$84))</f>
        <v>1263851.01</v>
      </c>
      <c r="K29" s="20" t="n">
        <f aca="false">IF($A29="","",IFERROR($J29/$E29,0))</f>
        <v>1.01599007202804</v>
      </c>
      <c r="L29" s="19" t="n">
        <f aca="false">IF($A29="","",$E29-$J29)</f>
        <v>-19891.01</v>
      </c>
      <c r="M29" s="22" t="str">
        <f aca="false">IF($A29="","",IF(AND($E29=0,$F29=0),"⚪ No Activity",IF($E29=0,"🔴 No Funding on File",IF($F29&gt;=$E29,"🔴 Over Budget",IF($J29&gt;$E29,"🔴 Projected Shortfall",IF($G29&gt;=Controls!$C$8,"🟡 Watch","🟢 On Track"))))))</f>
        <v>🔴 Projected Shortfall</v>
      </c>
    </row>
    <row r="30" customFormat="false" ht="15" hidden="false" customHeight="false" outlineLevel="0" collapsed="false">
      <c r="A30" s="17" t="str">
        <f aca="false">IFERROR(INDEX('PO Index'!$J$5:$J$84,26),"")</f>
        <v/>
      </c>
      <c r="B30" s="26" t="str">
        <f aca="false">IF($A30="","",COUNTIF('PO Tracker'!$A$5:$A$84,$A30))</f>
        <v/>
      </c>
      <c r="C30" s="19" t="str">
        <f aca="false">IF($A30="","",SUMIF('PO Tracker'!$A$5:$A$84,$A30,'PO Tracker'!$F$5:$F$84))</f>
        <v/>
      </c>
      <c r="D30" s="19" t="str">
        <f aca="false">IF($A30="","",SUMIF('PO Tracker'!$A$5:$A$84,$A30,'PO Tracker'!$G$5:$G$84))</f>
        <v/>
      </c>
      <c r="E30" s="19" t="str">
        <f aca="false">IF($A30="","",$C30+$D30)</f>
        <v/>
      </c>
      <c r="F30" s="19" t="str">
        <f aca="false">IF($A30="","",SUMIF('PO Tracker'!$A$5:$A$84,$A30,'PO Tracker'!$I$5:$I$84))</f>
        <v/>
      </c>
      <c r="G30" s="20" t="str">
        <f aca="false">IF($A30="","",IFERROR($F30/$E30,0))</f>
        <v/>
      </c>
      <c r="H30" s="19" t="str">
        <f aca="false">IF($A30="","",$E30-$F30)</f>
        <v/>
      </c>
      <c r="I30" s="19" t="str">
        <f aca="false">IF($A30="","",SUMIF('PO Tracker'!$A$5:$A$84,$A30,'PO Tracker'!$L$5:$L$84))</f>
        <v/>
      </c>
      <c r="J30" s="19" t="str">
        <f aca="false">IF($A30="","",SUMIF('PO Tracker'!$A$5:$A$84,$A30,'PO Tracker'!$N$5:$N$84))</f>
        <v/>
      </c>
      <c r="K30" s="20" t="str">
        <f aca="false">IF($A30="","",IFERROR($J30/$E30,0))</f>
        <v/>
      </c>
      <c r="L30" s="19" t="str">
        <f aca="false">IF($A30="","",$E30-$J30)</f>
        <v/>
      </c>
      <c r="M30" s="22" t="str">
        <f aca="false">IF($A30="","",IF(AND($E30=0,$F30=0),"⚪ No Activity",IF($E30=0,"🔴 No Funding on File",IF($F30&gt;=$E30,"🔴 Over Budget",IF($J30&gt;$E30,"🔴 Projected Shortfall",IF($G30&gt;=Controls!$C$8,"🟡 Watch","🟢 On Track"))))))</f>
        <v/>
      </c>
    </row>
    <row r="31" customFormat="false" ht="15" hidden="false" customHeight="false" outlineLevel="0" collapsed="false">
      <c r="A31" s="17" t="str">
        <f aca="false">IFERROR(INDEX('PO Index'!$J$5:$J$84,27),"")</f>
        <v/>
      </c>
      <c r="B31" s="26" t="str">
        <f aca="false">IF($A31="","",COUNTIF('PO Tracker'!$A$5:$A$84,$A31))</f>
        <v/>
      </c>
      <c r="C31" s="19" t="str">
        <f aca="false">IF($A31="","",SUMIF('PO Tracker'!$A$5:$A$84,$A31,'PO Tracker'!$F$5:$F$84))</f>
        <v/>
      </c>
      <c r="D31" s="19" t="str">
        <f aca="false">IF($A31="","",SUMIF('PO Tracker'!$A$5:$A$84,$A31,'PO Tracker'!$G$5:$G$84))</f>
        <v/>
      </c>
      <c r="E31" s="19" t="str">
        <f aca="false">IF($A31="","",$C31+$D31)</f>
        <v/>
      </c>
      <c r="F31" s="19" t="str">
        <f aca="false">IF($A31="","",SUMIF('PO Tracker'!$A$5:$A$84,$A31,'PO Tracker'!$I$5:$I$84))</f>
        <v/>
      </c>
      <c r="G31" s="20" t="str">
        <f aca="false">IF($A31="","",IFERROR($F31/$E31,0))</f>
        <v/>
      </c>
      <c r="H31" s="19" t="str">
        <f aca="false">IF($A31="","",$E31-$F31)</f>
        <v/>
      </c>
      <c r="I31" s="19" t="str">
        <f aca="false">IF($A31="","",SUMIF('PO Tracker'!$A$5:$A$84,$A31,'PO Tracker'!$L$5:$L$84))</f>
        <v/>
      </c>
      <c r="J31" s="19" t="str">
        <f aca="false">IF($A31="","",SUMIF('PO Tracker'!$A$5:$A$84,$A31,'PO Tracker'!$N$5:$N$84))</f>
        <v/>
      </c>
      <c r="K31" s="20" t="str">
        <f aca="false">IF($A31="","",IFERROR($J31/$E31,0))</f>
        <v/>
      </c>
      <c r="L31" s="19" t="str">
        <f aca="false">IF($A31="","",$E31-$J31)</f>
        <v/>
      </c>
      <c r="M31" s="22" t="str">
        <f aca="false">IF($A31="","",IF(AND($E31=0,$F31=0),"⚪ No Activity",IF($E31=0,"🔴 No Funding on File",IF($F31&gt;=$E31,"🔴 Over Budget",IF($J31&gt;$E31,"🔴 Projected Shortfall",IF($G31&gt;=Controls!$C$8,"🟡 Watch","🟢 On Track"))))))</f>
        <v/>
      </c>
    </row>
    <row r="32" customFormat="false" ht="15" hidden="false" customHeight="false" outlineLevel="0" collapsed="false">
      <c r="A32" s="17" t="str">
        <f aca="false">IFERROR(INDEX('PO Index'!$J$5:$J$84,28),"")</f>
        <v/>
      </c>
      <c r="B32" s="26" t="str">
        <f aca="false">IF($A32="","",COUNTIF('PO Tracker'!$A$5:$A$84,$A32))</f>
        <v/>
      </c>
      <c r="C32" s="19" t="str">
        <f aca="false">IF($A32="","",SUMIF('PO Tracker'!$A$5:$A$84,$A32,'PO Tracker'!$F$5:$F$84))</f>
        <v/>
      </c>
      <c r="D32" s="19" t="str">
        <f aca="false">IF($A32="","",SUMIF('PO Tracker'!$A$5:$A$84,$A32,'PO Tracker'!$G$5:$G$84))</f>
        <v/>
      </c>
      <c r="E32" s="19" t="str">
        <f aca="false">IF($A32="","",$C32+$D32)</f>
        <v/>
      </c>
      <c r="F32" s="19" t="str">
        <f aca="false">IF($A32="","",SUMIF('PO Tracker'!$A$5:$A$84,$A32,'PO Tracker'!$I$5:$I$84))</f>
        <v/>
      </c>
      <c r="G32" s="20" t="str">
        <f aca="false">IF($A32="","",IFERROR($F32/$E32,0))</f>
        <v/>
      </c>
      <c r="H32" s="19" t="str">
        <f aca="false">IF($A32="","",$E32-$F32)</f>
        <v/>
      </c>
      <c r="I32" s="19" t="str">
        <f aca="false">IF($A32="","",SUMIF('PO Tracker'!$A$5:$A$84,$A32,'PO Tracker'!$L$5:$L$84))</f>
        <v/>
      </c>
      <c r="J32" s="19" t="str">
        <f aca="false">IF($A32="","",SUMIF('PO Tracker'!$A$5:$A$84,$A32,'PO Tracker'!$N$5:$N$84))</f>
        <v/>
      </c>
      <c r="K32" s="20" t="str">
        <f aca="false">IF($A32="","",IFERROR($J32/$E32,0))</f>
        <v/>
      </c>
      <c r="L32" s="19" t="str">
        <f aca="false">IF($A32="","",$E32-$J32)</f>
        <v/>
      </c>
      <c r="M32" s="22" t="str">
        <f aca="false">IF($A32="","",IF(AND($E32=0,$F32=0),"⚪ No Activity",IF($E32=0,"🔴 No Funding on File",IF($F32&gt;=$E32,"🔴 Over Budget",IF($J32&gt;$E32,"🔴 Projected Shortfall",IF($G32&gt;=Controls!$C$8,"🟡 Watch","🟢 On Track"))))))</f>
        <v/>
      </c>
    </row>
    <row r="33" customFormat="false" ht="15" hidden="false" customHeight="false" outlineLevel="0" collapsed="false">
      <c r="A33" s="17" t="str">
        <f aca="false">IFERROR(INDEX('PO Index'!$J$5:$J$84,29),"")</f>
        <v/>
      </c>
      <c r="B33" s="26" t="str">
        <f aca="false">IF($A33="","",COUNTIF('PO Tracker'!$A$5:$A$84,$A33))</f>
        <v/>
      </c>
      <c r="C33" s="19" t="str">
        <f aca="false">IF($A33="","",SUMIF('PO Tracker'!$A$5:$A$84,$A33,'PO Tracker'!$F$5:$F$84))</f>
        <v/>
      </c>
      <c r="D33" s="19" t="str">
        <f aca="false">IF($A33="","",SUMIF('PO Tracker'!$A$5:$A$84,$A33,'PO Tracker'!$G$5:$G$84))</f>
        <v/>
      </c>
      <c r="E33" s="19" t="str">
        <f aca="false">IF($A33="","",$C33+$D33)</f>
        <v/>
      </c>
      <c r="F33" s="19" t="str">
        <f aca="false">IF($A33="","",SUMIF('PO Tracker'!$A$5:$A$84,$A33,'PO Tracker'!$I$5:$I$84))</f>
        <v/>
      </c>
      <c r="G33" s="20" t="str">
        <f aca="false">IF($A33="","",IFERROR($F33/$E33,0))</f>
        <v/>
      </c>
      <c r="H33" s="19" t="str">
        <f aca="false">IF($A33="","",$E33-$F33)</f>
        <v/>
      </c>
      <c r="I33" s="19" t="str">
        <f aca="false">IF($A33="","",SUMIF('PO Tracker'!$A$5:$A$84,$A33,'PO Tracker'!$L$5:$L$84))</f>
        <v/>
      </c>
      <c r="J33" s="19" t="str">
        <f aca="false">IF($A33="","",SUMIF('PO Tracker'!$A$5:$A$84,$A33,'PO Tracker'!$N$5:$N$84))</f>
        <v/>
      </c>
      <c r="K33" s="20" t="str">
        <f aca="false">IF($A33="","",IFERROR($J33/$E33,0))</f>
        <v/>
      </c>
      <c r="L33" s="19" t="str">
        <f aca="false">IF($A33="","",$E33-$J33)</f>
        <v/>
      </c>
      <c r="M33" s="22" t="str">
        <f aca="false">IF($A33="","",IF(AND($E33=0,$F33=0),"⚪ No Activity",IF($E33=0,"🔴 No Funding on File",IF($F33&gt;=$E33,"🔴 Over Budget",IF($J33&gt;$E33,"🔴 Projected Shortfall",IF($G33&gt;=Controls!$C$8,"🟡 Watch","🟢 On Track"))))))</f>
        <v/>
      </c>
    </row>
    <row r="34" customFormat="false" ht="15" hidden="false" customHeight="false" outlineLevel="0" collapsed="false">
      <c r="A34" s="17" t="str">
        <f aca="false">IFERROR(INDEX('PO Index'!$J$5:$J$84,30),"")</f>
        <v/>
      </c>
      <c r="B34" s="26" t="str">
        <f aca="false">IF($A34="","",COUNTIF('PO Tracker'!$A$5:$A$84,$A34))</f>
        <v/>
      </c>
      <c r="C34" s="19" t="str">
        <f aca="false">IF($A34="","",SUMIF('PO Tracker'!$A$5:$A$84,$A34,'PO Tracker'!$F$5:$F$84))</f>
        <v/>
      </c>
      <c r="D34" s="19" t="str">
        <f aca="false">IF($A34="","",SUMIF('PO Tracker'!$A$5:$A$84,$A34,'PO Tracker'!$G$5:$G$84))</f>
        <v/>
      </c>
      <c r="E34" s="19" t="str">
        <f aca="false">IF($A34="","",$C34+$D34)</f>
        <v/>
      </c>
      <c r="F34" s="19" t="str">
        <f aca="false">IF($A34="","",SUMIF('PO Tracker'!$A$5:$A$84,$A34,'PO Tracker'!$I$5:$I$84))</f>
        <v/>
      </c>
      <c r="G34" s="20" t="str">
        <f aca="false">IF($A34="","",IFERROR($F34/$E34,0))</f>
        <v/>
      </c>
      <c r="H34" s="19" t="str">
        <f aca="false">IF($A34="","",$E34-$F34)</f>
        <v/>
      </c>
      <c r="I34" s="19" t="str">
        <f aca="false">IF($A34="","",SUMIF('PO Tracker'!$A$5:$A$84,$A34,'PO Tracker'!$L$5:$L$84))</f>
        <v/>
      </c>
      <c r="J34" s="19" t="str">
        <f aca="false">IF($A34="","",SUMIF('PO Tracker'!$A$5:$A$84,$A34,'PO Tracker'!$N$5:$N$84))</f>
        <v/>
      </c>
      <c r="K34" s="20" t="str">
        <f aca="false">IF($A34="","",IFERROR($J34/$E34,0))</f>
        <v/>
      </c>
      <c r="L34" s="19" t="str">
        <f aca="false">IF($A34="","",$E34-$J34)</f>
        <v/>
      </c>
      <c r="M34" s="22" t="str">
        <f aca="false">IF($A34="","",IF(AND($E34=0,$F34=0),"⚪ No Activity",IF($E34=0,"🔴 No Funding on File",IF($F34&gt;=$E34,"🔴 Over Budget",IF($J34&gt;$E34,"🔴 Projected Shortfall",IF($G34&gt;=Controls!$C$8,"🟡 Watch","🟢 On Track"))))))</f>
        <v/>
      </c>
    </row>
    <row r="35" customFormat="false" ht="15" hidden="false" customHeight="false" outlineLevel="0" collapsed="false">
      <c r="A35" s="17" t="str">
        <f aca="false">IFERROR(INDEX('PO Index'!$J$5:$J$84,31),"")</f>
        <v/>
      </c>
      <c r="B35" s="26" t="str">
        <f aca="false">IF($A35="","",COUNTIF('PO Tracker'!$A$5:$A$84,$A35))</f>
        <v/>
      </c>
      <c r="C35" s="19" t="str">
        <f aca="false">IF($A35="","",SUMIF('PO Tracker'!$A$5:$A$84,$A35,'PO Tracker'!$F$5:$F$84))</f>
        <v/>
      </c>
      <c r="D35" s="19" t="str">
        <f aca="false">IF($A35="","",SUMIF('PO Tracker'!$A$5:$A$84,$A35,'PO Tracker'!$G$5:$G$84))</f>
        <v/>
      </c>
      <c r="E35" s="19" t="str">
        <f aca="false">IF($A35="","",$C35+$D35)</f>
        <v/>
      </c>
      <c r="F35" s="19" t="str">
        <f aca="false">IF($A35="","",SUMIF('PO Tracker'!$A$5:$A$84,$A35,'PO Tracker'!$I$5:$I$84))</f>
        <v/>
      </c>
      <c r="G35" s="20" t="str">
        <f aca="false">IF($A35="","",IFERROR($F35/$E35,0))</f>
        <v/>
      </c>
      <c r="H35" s="19" t="str">
        <f aca="false">IF($A35="","",$E35-$F35)</f>
        <v/>
      </c>
      <c r="I35" s="19" t="str">
        <f aca="false">IF($A35="","",SUMIF('PO Tracker'!$A$5:$A$84,$A35,'PO Tracker'!$L$5:$L$84))</f>
        <v/>
      </c>
      <c r="J35" s="19" t="str">
        <f aca="false">IF($A35="","",SUMIF('PO Tracker'!$A$5:$A$84,$A35,'PO Tracker'!$N$5:$N$84))</f>
        <v/>
      </c>
      <c r="K35" s="20" t="str">
        <f aca="false">IF($A35="","",IFERROR($J35/$E35,0))</f>
        <v/>
      </c>
      <c r="L35" s="19" t="str">
        <f aca="false">IF($A35="","",$E35-$J35)</f>
        <v/>
      </c>
      <c r="M35" s="22" t="str">
        <f aca="false">IF($A35="","",IF(AND($E35=0,$F35=0),"⚪ No Activity",IF($E35=0,"🔴 No Funding on File",IF($F35&gt;=$E35,"🔴 Over Budget",IF($J35&gt;$E35,"🔴 Projected Shortfall",IF($G35&gt;=Controls!$C$8,"🟡 Watch","🟢 On Track"))))))</f>
        <v/>
      </c>
    </row>
    <row r="36" customFormat="false" ht="15" hidden="false" customHeight="false" outlineLevel="0" collapsed="false">
      <c r="A36" s="17" t="str">
        <f aca="false">IFERROR(INDEX('PO Index'!$J$5:$J$84,32),"")</f>
        <v/>
      </c>
      <c r="B36" s="26" t="str">
        <f aca="false">IF($A36="","",COUNTIF('PO Tracker'!$A$5:$A$84,$A36))</f>
        <v/>
      </c>
      <c r="C36" s="19" t="str">
        <f aca="false">IF($A36="","",SUMIF('PO Tracker'!$A$5:$A$84,$A36,'PO Tracker'!$F$5:$F$84))</f>
        <v/>
      </c>
      <c r="D36" s="19" t="str">
        <f aca="false">IF($A36="","",SUMIF('PO Tracker'!$A$5:$A$84,$A36,'PO Tracker'!$G$5:$G$84))</f>
        <v/>
      </c>
      <c r="E36" s="19" t="str">
        <f aca="false">IF($A36="","",$C36+$D36)</f>
        <v/>
      </c>
      <c r="F36" s="19" t="str">
        <f aca="false">IF($A36="","",SUMIF('PO Tracker'!$A$5:$A$84,$A36,'PO Tracker'!$I$5:$I$84))</f>
        <v/>
      </c>
      <c r="G36" s="20" t="str">
        <f aca="false">IF($A36="","",IFERROR($F36/$E36,0))</f>
        <v/>
      </c>
      <c r="H36" s="19" t="str">
        <f aca="false">IF($A36="","",$E36-$F36)</f>
        <v/>
      </c>
      <c r="I36" s="19" t="str">
        <f aca="false">IF($A36="","",SUMIF('PO Tracker'!$A$5:$A$84,$A36,'PO Tracker'!$L$5:$L$84))</f>
        <v/>
      </c>
      <c r="J36" s="19" t="str">
        <f aca="false">IF($A36="","",SUMIF('PO Tracker'!$A$5:$A$84,$A36,'PO Tracker'!$N$5:$N$84))</f>
        <v/>
      </c>
      <c r="K36" s="20" t="str">
        <f aca="false">IF($A36="","",IFERROR($J36/$E36,0))</f>
        <v/>
      </c>
      <c r="L36" s="19" t="str">
        <f aca="false">IF($A36="","",$E36-$J36)</f>
        <v/>
      </c>
      <c r="M36" s="22" t="str">
        <f aca="false">IF($A36="","",IF(AND($E36=0,$F36=0),"⚪ No Activity",IF($E36=0,"🔴 No Funding on File",IF($F36&gt;=$E36,"🔴 Over Budget",IF($J36&gt;$E36,"🔴 Projected Shortfall",IF($G36&gt;=Controls!$C$8,"🟡 Watch","🟢 On Track"))))))</f>
        <v/>
      </c>
    </row>
    <row r="37" customFormat="false" ht="15" hidden="false" customHeight="false" outlineLevel="0" collapsed="false">
      <c r="A37" s="17" t="str">
        <f aca="false">IFERROR(INDEX('PO Index'!$J$5:$J$84,33),"")</f>
        <v/>
      </c>
      <c r="B37" s="26" t="str">
        <f aca="false">IF($A37="","",COUNTIF('PO Tracker'!$A$5:$A$84,$A37))</f>
        <v/>
      </c>
      <c r="C37" s="19" t="str">
        <f aca="false">IF($A37="","",SUMIF('PO Tracker'!$A$5:$A$84,$A37,'PO Tracker'!$F$5:$F$84))</f>
        <v/>
      </c>
      <c r="D37" s="19" t="str">
        <f aca="false">IF($A37="","",SUMIF('PO Tracker'!$A$5:$A$84,$A37,'PO Tracker'!$G$5:$G$84))</f>
        <v/>
      </c>
      <c r="E37" s="19" t="str">
        <f aca="false">IF($A37="","",$C37+$D37)</f>
        <v/>
      </c>
      <c r="F37" s="19" t="str">
        <f aca="false">IF($A37="","",SUMIF('PO Tracker'!$A$5:$A$84,$A37,'PO Tracker'!$I$5:$I$84))</f>
        <v/>
      </c>
      <c r="G37" s="20" t="str">
        <f aca="false">IF($A37="","",IFERROR($F37/$E37,0))</f>
        <v/>
      </c>
      <c r="H37" s="19" t="str">
        <f aca="false">IF($A37="","",$E37-$F37)</f>
        <v/>
      </c>
      <c r="I37" s="19" t="str">
        <f aca="false">IF($A37="","",SUMIF('PO Tracker'!$A$5:$A$84,$A37,'PO Tracker'!$L$5:$L$84))</f>
        <v/>
      </c>
      <c r="J37" s="19" t="str">
        <f aca="false">IF($A37="","",SUMIF('PO Tracker'!$A$5:$A$84,$A37,'PO Tracker'!$N$5:$N$84))</f>
        <v/>
      </c>
      <c r="K37" s="20" t="str">
        <f aca="false">IF($A37="","",IFERROR($J37/$E37,0))</f>
        <v/>
      </c>
      <c r="L37" s="19" t="str">
        <f aca="false">IF($A37="","",$E37-$J37)</f>
        <v/>
      </c>
      <c r="M37" s="22" t="str">
        <f aca="false">IF($A37="","",IF(AND($E37=0,$F37=0),"⚪ No Activity",IF($E37=0,"🔴 No Funding on File",IF($F37&gt;=$E37,"🔴 Over Budget",IF($J37&gt;$E37,"🔴 Projected Shortfall",IF($G37&gt;=Controls!$C$8,"🟡 Watch","🟢 On Track"))))))</f>
        <v/>
      </c>
    </row>
    <row r="38" customFormat="false" ht="15" hidden="false" customHeight="false" outlineLevel="0" collapsed="false">
      <c r="A38" s="17" t="str">
        <f aca="false">IFERROR(INDEX('PO Index'!$J$5:$J$84,34),"")</f>
        <v/>
      </c>
      <c r="B38" s="26" t="str">
        <f aca="false">IF($A38="","",COUNTIF('PO Tracker'!$A$5:$A$84,$A38))</f>
        <v/>
      </c>
      <c r="C38" s="19" t="str">
        <f aca="false">IF($A38="","",SUMIF('PO Tracker'!$A$5:$A$84,$A38,'PO Tracker'!$F$5:$F$84))</f>
        <v/>
      </c>
      <c r="D38" s="19" t="str">
        <f aca="false">IF($A38="","",SUMIF('PO Tracker'!$A$5:$A$84,$A38,'PO Tracker'!$G$5:$G$84))</f>
        <v/>
      </c>
      <c r="E38" s="19" t="str">
        <f aca="false">IF($A38="","",$C38+$D38)</f>
        <v/>
      </c>
      <c r="F38" s="19" t="str">
        <f aca="false">IF($A38="","",SUMIF('PO Tracker'!$A$5:$A$84,$A38,'PO Tracker'!$I$5:$I$84))</f>
        <v/>
      </c>
      <c r="G38" s="20" t="str">
        <f aca="false">IF($A38="","",IFERROR($F38/$E38,0))</f>
        <v/>
      </c>
      <c r="H38" s="19" t="str">
        <f aca="false">IF($A38="","",$E38-$F38)</f>
        <v/>
      </c>
      <c r="I38" s="19" t="str">
        <f aca="false">IF($A38="","",SUMIF('PO Tracker'!$A$5:$A$84,$A38,'PO Tracker'!$L$5:$L$84))</f>
        <v/>
      </c>
      <c r="J38" s="19" t="str">
        <f aca="false">IF($A38="","",SUMIF('PO Tracker'!$A$5:$A$84,$A38,'PO Tracker'!$N$5:$N$84))</f>
        <v/>
      </c>
      <c r="K38" s="20" t="str">
        <f aca="false">IF($A38="","",IFERROR($J38/$E38,0))</f>
        <v/>
      </c>
      <c r="L38" s="19" t="str">
        <f aca="false">IF($A38="","",$E38-$J38)</f>
        <v/>
      </c>
      <c r="M38" s="22" t="str">
        <f aca="false">IF($A38="","",IF(AND($E38=0,$F38=0),"⚪ No Activity",IF($E38=0,"🔴 No Funding on File",IF($F38&gt;=$E38,"🔴 Over Budget",IF($J38&gt;$E38,"🔴 Projected Shortfall",IF($G38&gt;=Controls!$C$8,"🟡 Watch","🟢 On Track"))))))</f>
        <v/>
      </c>
    </row>
    <row r="39" customFormat="false" ht="15" hidden="false" customHeight="false" outlineLevel="0" collapsed="false">
      <c r="A39" s="17" t="str">
        <f aca="false">IFERROR(INDEX('PO Index'!$J$5:$J$84,35),"")</f>
        <v/>
      </c>
      <c r="B39" s="26" t="str">
        <f aca="false">IF($A39="","",COUNTIF('PO Tracker'!$A$5:$A$84,$A39))</f>
        <v/>
      </c>
      <c r="C39" s="19" t="str">
        <f aca="false">IF($A39="","",SUMIF('PO Tracker'!$A$5:$A$84,$A39,'PO Tracker'!$F$5:$F$84))</f>
        <v/>
      </c>
      <c r="D39" s="19" t="str">
        <f aca="false">IF($A39="","",SUMIF('PO Tracker'!$A$5:$A$84,$A39,'PO Tracker'!$G$5:$G$84))</f>
        <v/>
      </c>
      <c r="E39" s="19" t="str">
        <f aca="false">IF($A39="","",$C39+$D39)</f>
        <v/>
      </c>
      <c r="F39" s="19" t="str">
        <f aca="false">IF($A39="","",SUMIF('PO Tracker'!$A$5:$A$84,$A39,'PO Tracker'!$I$5:$I$84))</f>
        <v/>
      </c>
      <c r="G39" s="20" t="str">
        <f aca="false">IF($A39="","",IFERROR($F39/$E39,0))</f>
        <v/>
      </c>
      <c r="H39" s="19" t="str">
        <f aca="false">IF($A39="","",$E39-$F39)</f>
        <v/>
      </c>
      <c r="I39" s="19" t="str">
        <f aca="false">IF($A39="","",SUMIF('PO Tracker'!$A$5:$A$84,$A39,'PO Tracker'!$L$5:$L$84))</f>
        <v/>
      </c>
      <c r="J39" s="19" t="str">
        <f aca="false">IF($A39="","",SUMIF('PO Tracker'!$A$5:$A$84,$A39,'PO Tracker'!$N$5:$N$84))</f>
        <v/>
      </c>
      <c r="K39" s="20" t="str">
        <f aca="false">IF($A39="","",IFERROR($J39/$E39,0))</f>
        <v/>
      </c>
      <c r="L39" s="19" t="str">
        <f aca="false">IF($A39="","",$E39-$J39)</f>
        <v/>
      </c>
      <c r="M39" s="22" t="str">
        <f aca="false">IF($A39="","",IF(AND($E39=0,$F39=0),"⚪ No Activity",IF($E39=0,"🔴 No Funding on File",IF($F39&gt;=$E39,"🔴 Over Budget",IF($J39&gt;$E39,"🔴 Projected Shortfall",IF($G39&gt;=Controls!$C$8,"🟡 Watch","🟢 On Track"))))))</f>
        <v/>
      </c>
    </row>
    <row r="40" customFormat="false" ht="15" hidden="false" customHeight="false" outlineLevel="0" collapsed="false">
      <c r="A40" s="17" t="str">
        <f aca="false">IFERROR(INDEX('PO Index'!$J$5:$J$84,36),"")</f>
        <v/>
      </c>
      <c r="B40" s="26" t="str">
        <f aca="false">IF($A40="","",COUNTIF('PO Tracker'!$A$5:$A$84,$A40))</f>
        <v/>
      </c>
      <c r="C40" s="19" t="str">
        <f aca="false">IF($A40="","",SUMIF('PO Tracker'!$A$5:$A$84,$A40,'PO Tracker'!$F$5:$F$84))</f>
        <v/>
      </c>
      <c r="D40" s="19" t="str">
        <f aca="false">IF($A40="","",SUMIF('PO Tracker'!$A$5:$A$84,$A40,'PO Tracker'!$G$5:$G$84))</f>
        <v/>
      </c>
      <c r="E40" s="19" t="str">
        <f aca="false">IF($A40="","",$C40+$D40)</f>
        <v/>
      </c>
      <c r="F40" s="19" t="str">
        <f aca="false">IF($A40="","",SUMIF('PO Tracker'!$A$5:$A$84,$A40,'PO Tracker'!$I$5:$I$84))</f>
        <v/>
      </c>
      <c r="G40" s="20" t="str">
        <f aca="false">IF($A40="","",IFERROR($F40/$E40,0))</f>
        <v/>
      </c>
      <c r="H40" s="19" t="str">
        <f aca="false">IF($A40="","",$E40-$F40)</f>
        <v/>
      </c>
      <c r="I40" s="19" t="str">
        <f aca="false">IF($A40="","",SUMIF('PO Tracker'!$A$5:$A$84,$A40,'PO Tracker'!$L$5:$L$84))</f>
        <v/>
      </c>
      <c r="J40" s="19" t="str">
        <f aca="false">IF($A40="","",SUMIF('PO Tracker'!$A$5:$A$84,$A40,'PO Tracker'!$N$5:$N$84))</f>
        <v/>
      </c>
      <c r="K40" s="20" t="str">
        <f aca="false">IF($A40="","",IFERROR($J40/$E40,0))</f>
        <v/>
      </c>
      <c r="L40" s="19" t="str">
        <f aca="false">IF($A40="","",$E40-$J40)</f>
        <v/>
      </c>
      <c r="M40" s="22" t="str">
        <f aca="false">IF($A40="","",IF(AND($E40=0,$F40=0),"⚪ No Activity",IF($E40=0,"🔴 No Funding on File",IF($F40&gt;=$E40,"🔴 Over Budget",IF($J40&gt;$E40,"🔴 Projected Shortfall",IF($G40&gt;=Controls!$C$8,"🟡 Watch","🟢 On Track"))))))</f>
        <v/>
      </c>
    </row>
    <row r="41" customFormat="false" ht="15" hidden="false" customHeight="false" outlineLevel="0" collapsed="false">
      <c r="A41" s="17" t="str">
        <f aca="false">IFERROR(INDEX('PO Index'!$J$5:$J$84,37),"")</f>
        <v/>
      </c>
      <c r="B41" s="26" t="str">
        <f aca="false">IF($A41="","",COUNTIF('PO Tracker'!$A$5:$A$84,$A41))</f>
        <v/>
      </c>
      <c r="C41" s="19" t="str">
        <f aca="false">IF($A41="","",SUMIF('PO Tracker'!$A$5:$A$84,$A41,'PO Tracker'!$F$5:$F$84))</f>
        <v/>
      </c>
      <c r="D41" s="19" t="str">
        <f aca="false">IF($A41="","",SUMIF('PO Tracker'!$A$5:$A$84,$A41,'PO Tracker'!$G$5:$G$84))</f>
        <v/>
      </c>
      <c r="E41" s="19" t="str">
        <f aca="false">IF($A41="","",$C41+$D41)</f>
        <v/>
      </c>
      <c r="F41" s="19" t="str">
        <f aca="false">IF($A41="","",SUMIF('PO Tracker'!$A$5:$A$84,$A41,'PO Tracker'!$I$5:$I$84))</f>
        <v/>
      </c>
      <c r="G41" s="20" t="str">
        <f aca="false">IF($A41="","",IFERROR($F41/$E41,0))</f>
        <v/>
      </c>
      <c r="H41" s="19" t="str">
        <f aca="false">IF($A41="","",$E41-$F41)</f>
        <v/>
      </c>
      <c r="I41" s="19" t="str">
        <f aca="false">IF($A41="","",SUMIF('PO Tracker'!$A$5:$A$84,$A41,'PO Tracker'!$L$5:$L$84))</f>
        <v/>
      </c>
      <c r="J41" s="19" t="str">
        <f aca="false">IF($A41="","",SUMIF('PO Tracker'!$A$5:$A$84,$A41,'PO Tracker'!$N$5:$N$84))</f>
        <v/>
      </c>
      <c r="K41" s="20" t="str">
        <f aca="false">IF($A41="","",IFERROR($J41/$E41,0))</f>
        <v/>
      </c>
      <c r="L41" s="19" t="str">
        <f aca="false">IF($A41="","",$E41-$J41)</f>
        <v/>
      </c>
      <c r="M41" s="22" t="str">
        <f aca="false">IF($A41="","",IF(AND($E41=0,$F41=0),"⚪ No Activity",IF($E41=0,"🔴 No Funding on File",IF($F41&gt;=$E41,"🔴 Over Budget",IF($J41&gt;$E41,"🔴 Projected Shortfall",IF($G41&gt;=Controls!$C$8,"🟡 Watch","🟢 On Track"))))))</f>
        <v/>
      </c>
    </row>
    <row r="42" customFormat="false" ht="15" hidden="false" customHeight="false" outlineLevel="0" collapsed="false">
      <c r="A42" s="17" t="str">
        <f aca="false">IFERROR(INDEX('PO Index'!$J$5:$J$84,38),"")</f>
        <v/>
      </c>
      <c r="B42" s="26" t="str">
        <f aca="false">IF($A42="","",COUNTIF('PO Tracker'!$A$5:$A$84,$A42))</f>
        <v/>
      </c>
      <c r="C42" s="19" t="str">
        <f aca="false">IF($A42="","",SUMIF('PO Tracker'!$A$5:$A$84,$A42,'PO Tracker'!$F$5:$F$84))</f>
        <v/>
      </c>
      <c r="D42" s="19" t="str">
        <f aca="false">IF($A42="","",SUMIF('PO Tracker'!$A$5:$A$84,$A42,'PO Tracker'!$G$5:$G$84))</f>
        <v/>
      </c>
      <c r="E42" s="19" t="str">
        <f aca="false">IF($A42="","",$C42+$D42)</f>
        <v/>
      </c>
      <c r="F42" s="19" t="str">
        <f aca="false">IF($A42="","",SUMIF('PO Tracker'!$A$5:$A$84,$A42,'PO Tracker'!$I$5:$I$84))</f>
        <v/>
      </c>
      <c r="G42" s="20" t="str">
        <f aca="false">IF($A42="","",IFERROR($F42/$E42,0))</f>
        <v/>
      </c>
      <c r="H42" s="19" t="str">
        <f aca="false">IF($A42="","",$E42-$F42)</f>
        <v/>
      </c>
      <c r="I42" s="19" t="str">
        <f aca="false">IF($A42="","",SUMIF('PO Tracker'!$A$5:$A$84,$A42,'PO Tracker'!$L$5:$L$84))</f>
        <v/>
      </c>
      <c r="J42" s="19" t="str">
        <f aca="false">IF($A42="","",SUMIF('PO Tracker'!$A$5:$A$84,$A42,'PO Tracker'!$N$5:$N$84))</f>
        <v/>
      </c>
      <c r="K42" s="20" t="str">
        <f aca="false">IF($A42="","",IFERROR($J42/$E42,0))</f>
        <v/>
      </c>
      <c r="L42" s="19" t="str">
        <f aca="false">IF($A42="","",$E42-$J42)</f>
        <v/>
      </c>
      <c r="M42" s="22" t="str">
        <f aca="false">IF($A42="","",IF(AND($E42=0,$F42=0),"⚪ No Activity",IF($E42=0,"🔴 No Funding on File",IF($F42&gt;=$E42,"🔴 Over Budget",IF($J42&gt;$E42,"🔴 Projected Shortfall",IF($G42&gt;=Controls!$C$8,"🟡 Watch","🟢 On Track"))))))</f>
        <v/>
      </c>
    </row>
    <row r="43" customFormat="false" ht="15" hidden="false" customHeight="false" outlineLevel="0" collapsed="false">
      <c r="A43" s="17" t="str">
        <f aca="false">IFERROR(INDEX('PO Index'!$J$5:$J$84,39),"")</f>
        <v/>
      </c>
      <c r="B43" s="26" t="str">
        <f aca="false">IF($A43="","",COUNTIF('PO Tracker'!$A$5:$A$84,$A43))</f>
        <v/>
      </c>
      <c r="C43" s="19" t="str">
        <f aca="false">IF($A43="","",SUMIF('PO Tracker'!$A$5:$A$84,$A43,'PO Tracker'!$F$5:$F$84))</f>
        <v/>
      </c>
      <c r="D43" s="19" t="str">
        <f aca="false">IF($A43="","",SUMIF('PO Tracker'!$A$5:$A$84,$A43,'PO Tracker'!$G$5:$G$84))</f>
        <v/>
      </c>
      <c r="E43" s="19" t="str">
        <f aca="false">IF($A43="","",$C43+$D43)</f>
        <v/>
      </c>
      <c r="F43" s="19" t="str">
        <f aca="false">IF($A43="","",SUMIF('PO Tracker'!$A$5:$A$84,$A43,'PO Tracker'!$I$5:$I$84))</f>
        <v/>
      </c>
      <c r="G43" s="20" t="str">
        <f aca="false">IF($A43="","",IFERROR($F43/$E43,0))</f>
        <v/>
      </c>
      <c r="H43" s="19" t="str">
        <f aca="false">IF($A43="","",$E43-$F43)</f>
        <v/>
      </c>
      <c r="I43" s="19" t="str">
        <f aca="false">IF($A43="","",SUMIF('PO Tracker'!$A$5:$A$84,$A43,'PO Tracker'!$L$5:$L$84))</f>
        <v/>
      </c>
      <c r="J43" s="19" t="str">
        <f aca="false">IF($A43="","",SUMIF('PO Tracker'!$A$5:$A$84,$A43,'PO Tracker'!$N$5:$N$84))</f>
        <v/>
      </c>
      <c r="K43" s="20" t="str">
        <f aca="false">IF($A43="","",IFERROR($J43/$E43,0))</f>
        <v/>
      </c>
      <c r="L43" s="19" t="str">
        <f aca="false">IF($A43="","",$E43-$J43)</f>
        <v/>
      </c>
      <c r="M43" s="22" t="str">
        <f aca="false">IF($A43="","",IF(AND($E43=0,$F43=0),"⚪ No Activity",IF($E43=0,"🔴 No Funding on File",IF($F43&gt;=$E43,"🔴 Over Budget",IF($J43&gt;$E43,"🔴 Projected Shortfall",IF($G43&gt;=Controls!$C$8,"🟡 Watch","🟢 On Track"))))))</f>
        <v/>
      </c>
    </row>
    <row r="44" customFormat="false" ht="15" hidden="false" customHeight="false" outlineLevel="0" collapsed="false">
      <c r="A44" s="17" t="str">
        <f aca="false">IFERROR(INDEX('PO Index'!$J$5:$J$84,40),"")</f>
        <v/>
      </c>
      <c r="B44" s="26" t="str">
        <f aca="false">IF($A44="","",COUNTIF('PO Tracker'!$A$5:$A$84,$A44))</f>
        <v/>
      </c>
      <c r="C44" s="19" t="str">
        <f aca="false">IF($A44="","",SUMIF('PO Tracker'!$A$5:$A$84,$A44,'PO Tracker'!$F$5:$F$84))</f>
        <v/>
      </c>
      <c r="D44" s="19" t="str">
        <f aca="false">IF($A44="","",SUMIF('PO Tracker'!$A$5:$A$84,$A44,'PO Tracker'!$G$5:$G$84))</f>
        <v/>
      </c>
      <c r="E44" s="19" t="str">
        <f aca="false">IF($A44="","",$C44+$D44)</f>
        <v/>
      </c>
      <c r="F44" s="19" t="str">
        <f aca="false">IF($A44="","",SUMIF('PO Tracker'!$A$5:$A$84,$A44,'PO Tracker'!$I$5:$I$84))</f>
        <v/>
      </c>
      <c r="G44" s="20" t="str">
        <f aca="false">IF($A44="","",IFERROR($F44/$E44,0))</f>
        <v/>
      </c>
      <c r="H44" s="19" t="str">
        <f aca="false">IF($A44="","",$E44-$F44)</f>
        <v/>
      </c>
      <c r="I44" s="19" t="str">
        <f aca="false">IF($A44="","",SUMIF('PO Tracker'!$A$5:$A$84,$A44,'PO Tracker'!$L$5:$L$84))</f>
        <v/>
      </c>
      <c r="J44" s="19" t="str">
        <f aca="false">IF($A44="","",SUMIF('PO Tracker'!$A$5:$A$84,$A44,'PO Tracker'!$N$5:$N$84))</f>
        <v/>
      </c>
      <c r="K44" s="20" t="str">
        <f aca="false">IF($A44="","",IFERROR($J44/$E44,0))</f>
        <v/>
      </c>
      <c r="L44" s="19" t="str">
        <f aca="false">IF($A44="","",$E44-$J44)</f>
        <v/>
      </c>
      <c r="M44" s="22" t="str">
        <f aca="false">IF($A44="","",IF(AND($E44=0,$F44=0),"⚪ No Activity",IF($E44=0,"🔴 No Funding on File",IF($F44&gt;=$E44,"🔴 Over Budget",IF($J44&gt;$E44,"🔴 Projected Shortfall",IF($G44&gt;=Controls!$C$8,"🟡 Watch","🟢 On Track"))))))</f>
        <v/>
      </c>
    </row>
    <row r="45" customFormat="false" ht="15" hidden="false" customHeight="false" outlineLevel="0" collapsed="false">
      <c r="A45" s="23" t="s">
        <v>77</v>
      </c>
      <c r="B45" s="27" t="n">
        <f aca="false">SUM(B5:B44)</f>
        <v>43</v>
      </c>
      <c r="C45" s="24" t="n">
        <f aca="false">SUM(C5:C44)</f>
        <v>4998532</v>
      </c>
      <c r="D45" s="24" t="n">
        <f aca="false">SUM(D5:D44)</f>
        <v>12627779.96</v>
      </c>
      <c r="E45" s="24" t="n">
        <f aca="false">SUM(E5:E44)</f>
        <v>17626311.96</v>
      </c>
      <c r="F45" s="24" t="n">
        <f aca="false">SUM(F5:F44)</f>
        <v>13623202.02</v>
      </c>
      <c r="G45" s="25" t="n">
        <f aca="false">IFERROR($F45/$E45,0)</f>
        <v>0.77289010037469</v>
      </c>
      <c r="H45" s="24" t="n">
        <f aca="false">SUM(H5:H44)</f>
        <v>4003109.94</v>
      </c>
      <c r="I45" s="24" t="n">
        <f aca="false">SUM(I5:I44)</f>
        <v>2545815.76333333</v>
      </c>
      <c r="J45" s="24" t="n">
        <f aca="false">SUM(J5:J44)</f>
        <v>18714833.5466667</v>
      </c>
      <c r="K45" s="25" t="n">
        <f aca="false">IFERROR($J45/$E45,0)</f>
        <v>1.06175549310241</v>
      </c>
      <c r="L45" s="24" t="n">
        <f aca="false">SUM(L5:L44)</f>
        <v>-1088521.58666667</v>
      </c>
      <c r="M45" s="23"/>
    </row>
  </sheetData>
  <autoFilter ref="A4:M44"/>
  <conditionalFormatting sqref="G5:G44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{9FEFD760-7FA6-487D-97A1-262EC05EA6EC}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EFD760-7FA6-487D-97A1-262EC05EA6E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G5:G44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14" min="3" style="0" width="12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24" hidden="false" customHeight="true" outlineLevel="0" collapsed="false">
      <c r="A4" s="16" t="s">
        <v>55</v>
      </c>
      <c r="B4" s="16" t="s">
        <v>56</v>
      </c>
      <c r="C4" s="28" t="n">
        <f aca="false">EDATE(Controls!$C$5,0)</f>
        <v>45931</v>
      </c>
      <c r="D4" s="28" t="n">
        <f aca="false">EDATE(Controls!$C$5,1)</f>
        <v>45962</v>
      </c>
      <c r="E4" s="28" t="n">
        <f aca="false">EDATE(Controls!$C$5,2)</f>
        <v>45992</v>
      </c>
      <c r="F4" s="28" t="n">
        <f aca="false">EDATE(Controls!$C$5,3)</f>
        <v>46023</v>
      </c>
      <c r="G4" s="28" t="n">
        <f aca="false">EDATE(Controls!$C$5,4)</f>
        <v>46054</v>
      </c>
      <c r="H4" s="28" t="n">
        <f aca="false">EDATE(Controls!$C$5,5)</f>
        <v>46082</v>
      </c>
      <c r="I4" s="28" t="n">
        <f aca="false">EDATE(Controls!$C$5,6)</f>
        <v>46113</v>
      </c>
      <c r="J4" s="28" t="n">
        <f aca="false">EDATE(Controls!$C$5,7)</f>
        <v>46143</v>
      </c>
      <c r="K4" s="28" t="n">
        <f aca="false">EDATE(Controls!$C$5,8)</f>
        <v>46174</v>
      </c>
      <c r="L4" s="28" t="n">
        <f aca="false">EDATE(Controls!$C$5,9)</f>
        <v>46204</v>
      </c>
      <c r="M4" s="28" t="n">
        <f aca="false">EDATE(Controls!$C$5,10)</f>
        <v>46235</v>
      </c>
      <c r="N4" s="28" t="n">
        <f aca="false">EDATE(Controls!$C$5,11)</f>
        <v>46266</v>
      </c>
      <c r="O4" s="16" t="s">
        <v>80</v>
      </c>
    </row>
    <row r="5" customFormat="false" ht="15" hidden="false" customHeight="false" outlineLevel="0" collapsed="false">
      <c r="A5" s="17" t="str">
        <f aca="false">IF('PO Tracker'!$A5="","",'PO Tracker'!$A5)</f>
        <v>FMS INC</v>
      </c>
      <c r="B5" s="29" t="n">
        <f aca="false">IF('PO Tracker'!$B5="","",'PO Tracker'!$B5)</f>
        <v>7892</v>
      </c>
      <c r="C5" s="19" t="n">
        <f aca="false">IF($B5="","",SUMIFS(_MainTable!$K$2:$K$2001,_MainTable!$F$2:$F$2001,$B5,_MainTable!$G$2:$G$2001,"&gt;="&amp;C$4,_MainTable!$G$2:$G$2001,"&lt;="&amp;EOMONTH(C$4,0)))</f>
        <v>0</v>
      </c>
      <c r="D5" s="19" t="n">
        <f aca="false">IF($B5="","",SUMIFS(_MainTable!$K$2:$K$2001,_MainTable!$F$2:$F$2001,$B5,_MainTable!$G$2:$G$2001,"&gt;="&amp;D$4,_MainTable!$G$2:$G$2001,"&lt;="&amp;EOMONTH(D$4,0)))</f>
        <v>0</v>
      </c>
      <c r="E5" s="19" t="n">
        <f aca="false">IF($B5="","",SUMIFS(_MainTable!$K$2:$K$2001,_MainTable!$F$2:$F$2001,$B5,_MainTable!$G$2:$G$2001,"&gt;="&amp;E$4,_MainTable!$G$2:$G$2001,"&lt;="&amp;EOMONTH(E$4,0)))</f>
        <v>0</v>
      </c>
      <c r="F5" s="19" t="n">
        <f aca="false">IF($B5="","",SUMIFS(_MainTable!$K$2:$K$2001,_MainTable!$F$2:$F$2001,$B5,_MainTable!$G$2:$G$2001,"&gt;="&amp;F$4,_MainTable!$G$2:$G$2001,"&lt;="&amp;EOMONTH(F$4,0)))</f>
        <v>0</v>
      </c>
      <c r="G5" s="19" t="n">
        <f aca="false">IF($B5="","",SUMIFS(_MainTable!$K$2:$K$2001,_MainTable!$F$2:$F$2001,$B5,_MainTable!$G$2:$G$2001,"&gt;="&amp;G$4,_MainTable!$G$2:$G$2001,"&lt;="&amp;EOMONTH(G$4,0)))</f>
        <v>0</v>
      </c>
      <c r="H5" s="19" t="n">
        <f aca="false">IF($B5="","",SUMIFS(_MainTable!$K$2:$K$2001,_MainTable!$F$2:$F$2001,$B5,_MainTable!$G$2:$G$2001,"&gt;="&amp;H$4,_MainTable!$G$2:$G$2001,"&lt;="&amp;EOMONTH(H$4,0)))</f>
        <v>0</v>
      </c>
      <c r="I5" s="19" t="n">
        <f aca="false">IF($B5="","",SUMIFS(_MainTable!$K$2:$K$2001,_MainTable!$F$2:$F$2001,$B5,_MainTable!$G$2:$G$2001,"&gt;="&amp;I$4,_MainTable!$G$2:$G$2001,"&lt;="&amp;EOMONTH(I$4,0)))</f>
        <v>5.1</v>
      </c>
      <c r="J5" s="19" t="n">
        <f aca="false">IF($B5="","",SUMIFS(_MainTable!$K$2:$K$2001,_MainTable!$F$2:$F$2001,$B5,_MainTable!$G$2:$G$2001,"&gt;="&amp;J$4,_MainTable!$G$2:$G$2001,"&lt;="&amp;EOMONTH(J$4,0)))</f>
        <v>5.1</v>
      </c>
      <c r="K5" s="19" t="n">
        <f aca="false">IF($B5="","",SUMIFS(_MainTable!$K$2:$K$2001,_MainTable!$F$2:$F$2001,$B5,_MainTable!$G$2:$G$2001,"&gt;="&amp;K$4,_MainTable!$G$2:$G$2001,"&lt;="&amp;EOMONTH(K$4,0)))</f>
        <v>0</v>
      </c>
      <c r="L5" s="19" t="n">
        <f aca="false">IF($B5="","",SUMIFS(_MainTable!$K$2:$K$2001,_MainTable!$F$2:$F$2001,$B5,_MainTable!$G$2:$G$2001,"&gt;="&amp;L$4,_MainTable!$G$2:$G$2001,"&lt;="&amp;EOMONTH(L$4,0)))</f>
        <v>5.1</v>
      </c>
      <c r="M5" s="19" t="n">
        <f aca="false">IF($B5="","",SUMIFS(_MainTable!$K$2:$K$2001,_MainTable!$F$2:$F$2001,$B5,_MainTable!$G$2:$G$2001,"&gt;="&amp;M$4,_MainTable!$G$2:$G$2001,"&lt;="&amp;EOMONTH(M$4,0)))</f>
        <v>5.1</v>
      </c>
      <c r="N5" s="19" t="n">
        <f aca="false">IF($B5="","",SUMIFS(_MainTable!$K$2:$K$2001,_MainTable!$F$2:$F$2001,$B5,_MainTable!$G$2:$G$2001,"&gt;="&amp;N$4,_MainTable!$G$2:$G$2001,"&lt;="&amp;EOMONTH(N$4,0)))</f>
        <v>0</v>
      </c>
      <c r="O5" s="30" t="n">
        <f aca="false">IF($B5="","",SUM(C5:N5))</f>
        <v>20.4</v>
      </c>
    </row>
    <row r="6" customFormat="false" ht="15" hidden="false" customHeight="false" outlineLevel="0" collapsed="false">
      <c r="A6" s="17" t="str">
        <f aca="false">IF('PO Tracker'!$A6="","",'PO Tracker'!$A6)</f>
        <v>FMS INC</v>
      </c>
      <c r="B6" s="29" t="n">
        <f aca="false">IF('PO Tracker'!$B6="","",'PO Tracker'!$B6)</f>
        <v>7893</v>
      </c>
      <c r="C6" s="19" t="n">
        <f aca="false">IF($B6="","",SUMIFS(_MainTable!$K$2:$K$2001,_MainTable!$F$2:$F$2001,$B6,_MainTable!$G$2:$G$2001,"&gt;="&amp;C$4,_MainTable!$G$2:$G$2001,"&lt;="&amp;EOMONTH(C$4,0)))</f>
        <v>0</v>
      </c>
      <c r="D6" s="19" t="n">
        <f aca="false">IF($B6="","",SUMIFS(_MainTable!$K$2:$K$2001,_MainTable!$F$2:$F$2001,$B6,_MainTable!$G$2:$G$2001,"&gt;="&amp;D$4,_MainTable!$G$2:$G$2001,"&lt;="&amp;EOMONTH(D$4,0)))</f>
        <v>0</v>
      </c>
      <c r="E6" s="19" t="n">
        <f aca="false">IF($B6="","",SUMIFS(_MainTable!$K$2:$K$2001,_MainTable!$F$2:$F$2001,$B6,_MainTable!$G$2:$G$2001,"&gt;="&amp;E$4,_MainTable!$G$2:$G$2001,"&lt;="&amp;EOMONTH(E$4,0)))</f>
        <v>0</v>
      </c>
      <c r="F6" s="19" t="n">
        <f aca="false">IF($B6="","",SUMIFS(_MainTable!$K$2:$K$2001,_MainTable!$F$2:$F$2001,$B6,_MainTable!$G$2:$G$2001,"&gt;="&amp;F$4,_MainTable!$G$2:$G$2001,"&lt;="&amp;EOMONTH(F$4,0)))</f>
        <v>0</v>
      </c>
      <c r="G6" s="19" t="n">
        <f aca="false">IF($B6="","",SUMIFS(_MainTable!$K$2:$K$2001,_MainTable!$F$2:$F$2001,$B6,_MainTable!$G$2:$G$2001,"&gt;="&amp;G$4,_MainTable!$G$2:$G$2001,"&lt;="&amp;EOMONTH(G$4,0)))</f>
        <v>0</v>
      </c>
      <c r="H6" s="19" t="n">
        <f aca="false">IF($B6="","",SUMIFS(_MainTable!$K$2:$K$2001,_MainTable!$F$2:$F$2001,$B6,_MainTable!$G$2:$G$2001,"&gt;="&amp;H$4,_MainTable!$G$2:$G$2001,"&lt;="&amp;EOMONTH(H$4,0)))</f>
        <v>31.25</v>
      </c>
      <c r="I6" s="19" t="n">
        <f aca="false">IF($B6="","",SUMIFS(_MainTable!$K$2:$K$2001,_MainTable!$F$2:$F$2001,$B6,_MainTable!$G$2:$G$2001,"&gt;="&amp;I$4,_MainTable!$G$2:$G$2001,"&lt;="&amp;EOMONTH(I$4,0)))</f>
        <v>99.96</v>
      </c>
      <c r="J6" s="19" t="n">
        <f aca="false">IF($B6="","",SUMIFS(_MainTable!$K$2:$K$2001,_MainTable!$F$2:$F$2001,$B6,_MainTable!$G$2:$G$2001,"&gt;="&amp;J$4,_MainTable!$G$2:$G$2001,"&lt;="&amp;EOMONTH(J$4,0)))</f>
        <v>43.7</v>
      </c>
      <c r="K6" s="19" t="n">
        <f aca="false">IF($B6="","",SUMIFS(_MainTable!$K$2:$K$2001,_MainTable!$F$2:$F$2001,$B6,_MainTable!$G$2:$G$2001,"&gt;="&amp;K$4,_MainTable!$G$2:$G$2001,"&lt;="&amp;EOMONTH(K$4,0)))</f>
        <v>0.99</v>
      </c>
      <c r="L6" s="19" t="n">
        <f aca="false">IF($B6="","",SUMIFS(_MainTable!$K$2:$K$2001,_MainTable!$F$2:$F$2001,$B6,_MainTable!$G$2:$G$2001,"&gt;="&amp;L$4,_MainTable!$G$2:$G$2001,"&lt;="&amp;EOMONTH(L$4,0)))</f>
        <v>43.95</v>
      </c>
      <c r="M6" s="19" t="n">
        <f aca="false">IF($B6="","",SUMIFS(_MainTable!$K$2:$K$2001,_MainTable!$F$2:$F$2001,$B6,_MainTable!$G$2:$G$2001,"&gt;="&amp;M$4,_MainTable!$G$2:$G$2001,"&lt;="&amp;EOMONTH(M$4,0)))</f>
        <v>0</v>
      </c>
      <c r="N6" s="19" t="n">
        <f aca="false">IF($B6="","",SUMIFS(_MainTable!$K$2:$K$2001,_MainTable!$F$2:$F$2001,$B6,_MainTable!$G$2:$G$2001,"&gt;="&amp;N$4,_MainTable!$G$2:$G$2001,"&lt;="&amp;EOMONTH(N$4,0)))</f>
        <v>0</v>
      </c>
      <c r="O6" s="30" t="n">
        <f aca="false">IF($B6="","",SUM(C6:N6))</f>
        <v>219.85</v>
      </c>
    </row>
    <row r="7" customFormat="false" ht="15" hidden="false" customHeight="false" outlineLevel="0" collapsed="false">
      <c r="A7" s="17" t="str">
        <f aca="false">IF('PO Tracker'!$A7="","",'PO Tracker'!$A7)</f>
        <v>FMS INC</v>
      </c>
      <c r="B7" s="29" t="n">
        <f aca="false">IF('PO Tracker'!$B7="","",'PO Tracker'!$B7)</f>
        <v>7894</v>
      </c>
      <c r="C7" s="19" t="n">
        <f aca="false">IF($B7="","",SUMIFS(_MainTable!$K$2:$K$2001,_MainTable!$F$2:$F$2001,$B7,_MainTable!$G$2:$G$2001,"&gt;="&amp;C$4,_MainTable!$G$2:$G$2001,"&lt;="&amp;EOMONTH(C$4,0)))</f>
        <v>0</v>
      </c>
      <c r="D7" s="19" t="n">
        <f aca="false">IF($B7="","",SUMIFS(_MainTable!$K$2:$K$2001,_MainTable!$F$2:$F$2001,$B7,_MainTable!$G$2:$G$2001,"&gt;="&amp;D$4,_MainTable!$G$2:$G$2001,"&lt;="&amp;EOMONTH(D$4,0)))</f>
        <v>0</v>
      </c>
      <c r="E7" s="19" t="n">
        <f aca="false">IF($B7="","",SUMIFS(_MainTable!$K$2:$K$2001,_MainTable!$F$2:$F$2001,$B7,_MainTable!$G$2:$G$2001,"&gt;="&amp;E$4,_MainTable!$G$2:$G$2001,"&lt;="&amp;EOMONTH(E$4,0)))</f>
        <v>0</v>
      </c>
      <c r="F7" s="19" t="n">
        <f aca="false">IF($B7="","",SUMIFS(_MainTable!$K$2:$K$2001,_MainTable!$F$2:$F$2001,$B7,_MainTable!$G$2:$G$2001,"&gt;="&amp;F$4,_MainTable!$G$2:$G$2001,"&lt;="&amp;EOMONTH(F$4,0)))</f>
        <v>0</v>
      </c>
      <c r="G7" s="19" t="n">
        <f aca="false">IF($B7="","",SUMIFS(_MainTable!$K$2:$K$2001,_MainTable!$F$2:$F$2001,$B7,_MainTable!$G$2:$G$2001,"&gt;="&amp;G$4,_MainTable!$G$2:$G$2001,"&lt;="&amp;EOMONTH(G$4,0)))</f>
        <v>0</v>
      </c>
      <c r="H7" s="19" t="n">
        <f aca="false">IF($B7="","",SUMIFS(_MainTable!$K$2:$K$2001,_MainTable!$F$2:$F$2001,$B7,_MainTable!$G$2:$G$2001,"&gt;="&amp;H$4,_MainTable!$G$2:$G$2001,"&lt;="&amp;EOMONTH(H$4,0)))</f>
        <v>0</v>
      </c>
      <c r="I7" s="19" t="n">
        <f aca="false">IF($B7="","",SUMIFS(_MainTable!$K$2:$K$2001,_MainTable!$F$2:$F$2001,$B7,_MainTable!$G$2:$G$2001,"&gt;="&amp;I$4,_MainTable!$G$2:$G$2001,"&lt;="&amp;EOMONTH(I$4,0)))</f>
        <v>11074.7</v>
      </c>
      <c r="J7" s="19" t="n">
        <f aca="false">IF($B7="","",SUMIFS(_MainTable!$K$2:$K$2001,_MainTable!$F$2:$F$2001,$B7,_MainTable!$G$2:$G$2001,"&gt;="&amp;J$4,_MainTable!$G$2:$G$2001,"&lt;="&amp;EOMONTH(J$4,0)))</f>
        <v>9110.72</v>
      </c>
      <c r="K7" s="19" t="n">
        <f aca="false">IF($B7="","",SUMIFS(_MainTable!$K$2:$K$2001,_MainTable!$F$2:$F$2001,$B7,_MainTable!$G$2:$G$2001,"&gt;="&amp;K$4,_MainTable!$G$2:$G$2001,"&lt;="&amp;EOMONTH(K$4,0)))</f>
        <v>18016.36</v>
      </c>
      <c r="L7" s="19" t="n">
        <f aca="false">IF($B7="","",SUMIFS(_MainTable!$K$2:$K$2001,_MainTable!$F$2:$F$2001,$B7,_MainTable!$G$2:$G$2001,"&gt;="&amp;L$4,_MainTable!$G$2:$G$2001,"&lt;="&amp;EOMONTH(L$4,0)))</f>
        <v>0</v>
      </c>
      <c r="M7" s="19" t="n">
        <f aca="false">IF($B7="","",SUMIFS(_MainTable!$K$2:$K$2001,_MainTable!$F$2:$F$2001,$B7,_MainTable!$G$2:$G$2001,"&gt;="&amp;M$4,_MainTable!$G$2:$G$2001,"&lt;="&amp;EOMONTH(M$4,0)))</f>
        <v>12448.83</v>
      </c>
      <c r="N7" s="19" t="n">
        <f aca="false">IF($B7="","",SUMIFS(_MainTable!$K$2:$K$2001,_MainTable!$F$2:$F$2001,$B7,_MainTable!$G$2:$G$2001,"&gt;="&amp;N$4,_MainTable!$G$2:$G$2001,"&lt;="&amp;EOMONTH(N$4,0)))</f>
        <v>0</v>
      </c>
      <c r="O7" s="30" t="n">
        <f aca="false">IF($B7="","",SUM(C7:N7))</f>
        <v>50650.61</v>
      </c>
    </row>
    <row r="8" customFormat="false" ht="15" hidden="false" customHeight="false" outlineLevel="0" collapsed="false">
      <c r="A8" s="17" t="str">
        <f aca="false">IF('PO Tracker'!$A8="","",'PO Tracker'!$A8)</f>
        <v>FMS INC</v>
      </c>
      <c r="B8" s="29" t="n">
        <f aca="false">IF('PO Tracker'!$B8="","",'PO Tracker'!$B8)</f>
        <v>7896</v>
      </c>
      <c r="C8" s="19" t="n">
        <f aca="false">IF($B8="","",SUMIFS(_MainTable!$K$2:$K$2001,_MainTable!$F$2:$F$2001,$B8,_MainTable!$G$2:$G$2001,"&gt;="&amp;C$4,_MainTable!$G$2:$G$2001,"&lt;="&amp;EOMONTH(C$4,0)))</f>
        <v>0</v>
      </c>
      <c r="D8" s="19" t="n">
        <f aca="false">IF($B8="","",SUMIFS(_MainTable!$K$2:$K$2001,_MainTable!$F$2:$F$2001,$B8,_MainTable!$G$2:$G$2001,"&gt;="&amp;D$4,_MainTable!$G$2:$G$2001,"&lt;="&amp;EOMONTH(D$4,0)))</f>
        <v>0</v>
      </c>
      <c r="E8" s="19" t="n">
        <f aca="false">IF($B8="","",SUMIFS(_MainTable!$K$2:$K$2001,_MainTable!$F$2:$F$2001,$B8,_MainTable!$G$2:$G$2001,"&gt;="&amp;E$4,_MainTable!$G$2:$G$2001,"&lt;="&amp;EOMONTH(E$4,0)))</f>
        <v>0</v>
      </c>
      <c r="F8" s="19" t="n">
        <f aca="false">IF($B8="","",SUMIFS(_MainTable!$K$2:$K$2001,_MainTable!$F$2:$F$2001,$B8,_MainTable!$G$2:$G$2001,"&gt;="&amp;F$4,_MainTable!$G$2:$G$2001,"&lt;="&amp;EOMONTH(F$4,0)))</f>
        <v>0</v>
      </c>
      <c r="G8" s="19" t="n">
        <f aca="false">IF($B8="","",SUMIFS(_MainTable!$K$2:$K$2001,_MainTable!$F$2:$F$2001,$B8,_MainTable!$G$2:$G$2001,"&gt;="&amp;G$4,_MainTable!$G$2:$G$2001,"&lt;="&amp;EOMONTH(G$4,0)))</f>
        <v>0</v>
      </c>
      <c r="H8" s="19" t="n">
        <f aca="false">IF($B8="","",SUMIFS(_MainTable!$K$2:$K$2001,_MainTable!$F$2:$F$2001,$B8,_MainTable!$G$2:$G$2001,"&gt;="&amp;H$4,_MainTable!$G$2:$G$2001,"&lt;="&amp;EOMONTH(H$4,0)))</f>
        <v>42</v>
      </c>
      <c r="I8" s="19" t="n">
        <f aca="false">IF($B8="","",SUMIFS(_MainTable!$K$2:$K$2001,_MainTable!$F$2:$F$2001,$B8,_MainTable!$G$2:$G$2001,"&gt;="&amp;I$4,_MainTable!$G$2:$G$2001,"&lt;="&amp;EOMONTH(I$4,0)))</f>
        <v>111.35</v>
      </c>
      <c r="J8" s="19" t="n">
        <f aca="false">IF($B8="","",SUMIFS(_MainTable!$K$2:$K$2001,_MainTable!$F$2:$F$2001,$B8,_MainTable!$G$2:$G$2001,"&gt;="&amp;J$4,_MainTable!$G$2:$G$2001,"&lt;="&amp;EOMONTH(J$4,0)))</f>
        <v>125.3</v>
      </c>
      <c r="K8" s="19" t="n">
        <f aca="false">IF($B8="","",SUMIFS(_MainTable!$K$2:$K$2001,_MainTable!$F$2:$F$2001,$B8,_MainTable!$G$2:$G$2001,"&gt;="&amp;K$4,_MainTable!$G$2:$G$2001,"&lt;="&amp;EOMONTH(K$4,0)))</f>
        <v>104.74</v>
      </c>
      <c r="L8" s="19" t="n">
        <f aca="false">IF($B8="","",SUMIFS(_MainTable!$K$2:$K$2001,_MainTable!$F$2:$F$2001,$B8,_MainTable!$G$2:$G$2001,"&gt;="&amp;L$4,_MainTable!$G$2:$G$2001,"&lt;="&amp;EOMONTH(L$4,0)))</f>
        <v>39</v>
      </c>
      <c r="M8" s="19" t="n">
        <f aca="false">IF($B8="","",SUMIFS(_MainTable!$K$2:$K$2001,_MainTable!$F$2:$F$2001,$B8,_MainTable!$G$2:$G$2001,"&gt;="&amp;M$4,_MainTable!$G$2:$G$2001,"&lt;="&amp;EOMONTH(M$4,0)))</f>
        <v>40.04</v>
      </c>
      <c r="N8" s="19" t="n">
        <f aca="false">IF($B8="","",SUMIFS(_MainTable!$K$2:$K$2001,_MainTable!$F$2:$F$2001,$B8,_MainTable!$G$2:$G$2001,"&gt;="&amp;N$4,_MainTable!$G$2:$G$2001,"&lt;="&amp;EOMONTH(N$4,0)))</f>
        <v>0</v>
      </c>
      <c r="O8" s="30" t="n">
        <f aca="false">IF($B8="","",SUM(C8:N8))</f>
        <v>462.43</v>
      </c>
    </row>
    <row r="9" customFormat="false" ht="15" hidden="false" customHeight="false" outlineLevel="0" collapsed="false">
      <c r="A9" s="17" t="str">
        <f aca="false">IF('PO Tracker'!$A9="","",'PO Tracker'!$A9)</f>
        <v>FORTE LLC</v>
      </c>
      <c r="B9" s="29" t="n">
        <f aca="false">IF('PO Tracker'!$B9="","",'PO Tracker'!$B9)</f>
        <v>7910</v>
      </c>
      <c r="C9" s="19" t="n">
        <f aca="false">IF($B9="","",SUMIFS(_MainTable!$K$2:$K$2001,_MainTable!$F$2:$F$2001,$B9,_MainTable!$G$2:$G$2001,"&gt;="&amp;C$4,_MainTable!$G$2:$G$2001,"&lt;="&amp;EOMONTH(C$4,0)))</f>
        <v>0</v>
      </c>
      <c r="D9" s="19" t="n">
        <f aca="false">IF($B9="","",SUMIFS(_MainTable!$K$2:$K$2001,_MainTable!$F$2:$F$2001,$B9,_MainTable!$G$2:$G$2001,"&gt;="&amp;D$4,_MainTable!$G$2:$G$2001,"&lt;="&amp;EOMONTH(D$4,0)))</f>
        <v>0</v>
      </c>
      <c r="E9" s="19" t="n">
        <f aca="false">IF($B9="","",SUMIFS(_MainTable!$K$2:$K$2001,_MainTable!$F$2:$F$2001,$B9,_MainTable!$G$2:$G$2001,"&gt;="&amp;E$4,_MainTable!$G$2:$G$2001,"&lt;="&amp;EOMONTH(E$4,0)))</f>
        <v>0</v>
      </c>
      <c r="F9" s="19" t="n">
        <f aca="false">IF($B9="","",SUMIFS(_MainTable!$K$2:$K$2001,_MainTable!$F$2:$F$2001,$B9,_MainTable!$G$2:$G$2001,"&gt;="&amp;F$4,_MainTable!$G$2:$G$2001,"&lt;="&amp;EOMONTH(F$4,0)))</f>
        <v>0</v>
      </c>
      <c r="G9" s="19" t="n">
        <f aca="false">IF($B9="","",SUMIFS(_MainTable!$K$2:$K$2001,_MainTable!$F$2:$F$2001,$B9,_MainTable!$G$2:$G$2001,"&gt;="&amp;G$4,_MainTable!$G$2:$G$2001,"&lt;="&amp;EOMONTH(G$4,0)))</f>
        <v>0</v>
      </c>
      <c r="H9" s="19" t="n">
        <f aca="false">IF($B9="","",SUMIFS(_MainTable!$K$2:$K$2001,_MainTable!$F$2:$F$2001,$B9,_MainTable!$G$2:$G$2001,"&gt;="&amp;H$4,_MainTable!$G$2:$G$2001,"&lt;="&amp;EOMONTH(H$4,0)))</f>
        <v>0</v>
      </c>
      <c r="I9" s="19" t="n">
        <f aca="false">IF($B9="","",SUMIFS(_MainTable!$K$2:$K$2001,_MainTable!$F$2:$F$2001,$B9,_MainTable!$G$2:$G$2001,"&gt;="&amp;I$4,_MainTable!$G$2:$G$2001,"&lt;="&amp;EOMONTH(I$4,0)))</f>
        <v>3257.66</v>
      </c>
      <c r="J9" s="19" t="n">
        <f aca="false">IF($B9="","",SUMIFS(_MainTable!$K$2:$K$2001,_MainTable!$F$2:$F$2001,$B9,_MainTable!$G$2:$G$2001,"&gt;="&amp;J$4,_MainTable!$G$2:$G$2001,"&lt;="&amp;EOMONTH(J$4,0)))</f>
        <v>2710.76</v>
      </c>
      <c r="K9" s="19" t="n">
        <f aca="false">IF($B9="","",SUMIFS(_MainTable!$K$2:$K$2001,_MainTable!$F$2:$F$2001,$B9,_MainTable!$G$2:$G$2001,"&gt;="&amp;K$4,_MainTable!$G$2:$G$2001,"&lt;="&amp;EOMONTH(K$4,0)))</f>
        <v>4046.23</v>
      </c>
      <c r="L9" s="19" t="n">
        <f aca="false">IF($B9="","",SUMIFS(_MainTable!$K$2:$K$2001,_MainTable!$F$2:$F$2001,$B9,_MainTable!$G$2:$G$2001,"&gt;="&amp;L$4,_MainTable!$G$2:$G$2001,"&lt;="&amp;EOMONTH(L$4,0)))</f>
        <v>65.86</v>
      </c>
      <c r="M9" s="19" t="n">
        <f aca="false">IF($B9="","",SUMIFS(_MainTable!$K$2:$K$2001,_MainTable!$F$2:$F$2001,$B9,_MainTable!$G$2:$G$2001,"&gt;="&amp;M$4,_MainTable!$G$2:$G$2001,"&lt;="&amp;EOMONTH(M$4,0)))</f>
        <v>8333.93</v>
      </c>
      <c r="N9" s="19" t="n">
        <f aca="false">IF($B9="","",SUMIFS(_MainTable!$K$2:$K$2001,_MainTable!$F$2:$F$2001,$B9,_MainTable!$G$2:$G$2001,"&gt;="&amp;N$4,_MainTable!$G$2:$G$2001,"&lt;="&amp;EOMONTH(N$4,0)))</f>
        <v>0</v>
      </c>
      <c r="O9" s="30" t="n">
        <f aca="false">IF($B9="","",SUM(C9:N9))</f>
        <v>18414.44</v>
      </c>
    </row>
    <row r="10" customFormat="false" ht="15" hidden="false" customHeight="false" outlineLevel="0" collapsed="false">
      <c r="A10" s="17" t="str">
        <f aca="false">IF('PO Tracker'!$A10="","",'PO Tracker'!$A10)</f>
        <v>HAWLEY TROXELL ENNIS HAWLEY</v>
      </c>
      <c r="B10" s="29" t="n">
        <f aca="false">IF('PO Tracker'!$B10="","",'PO Tracker'!$B10)</f>
        <v>7911</v>
      </c>
      <c r="C10" s="19" t="n">
        <f aca="false">IF($B10="","",SUMIFS(_MainTable!$K$2:$K$2001,_MainTable!$F$2:$F$2001,$B10,_MainTable!$G$2:$G$2001,"&gt;="&amp;C$4,_MainTable!$G$2:$G$2001,"&lt;="&amp;EOMONTH(C$4,0)))</f>
        <v>0</v>
      </c>
      <c r="D10" s="19" t="n">
        <f aca="false">IF($B10="","",SUMIFS(_MainTable!$K$2:$K$2001,_MainTable!$F$2:$F$2001,$B10,_MainTable!$G$2:$G$2001,"&gt;="&amp;D$4,_MainTable!$G$2:$G$2001,"&lt;="&amp;EOMONTH(D$4,0)))</f>
        <v>0</v>
      </c>
      <c r="E10" s="19" t="n">
        <f aca="false">IF($B10="","",SUMIFS(_MainTable!$K$2:$K$2001,_MainTable!$F$2:$F$2001,$B10,_MainTable!$G$2:$G$2001,"&gt;="&amp;E$4,_MainTable!$G$2:$G$2001,"&lt;="&amp;EOMONTH(E$4,0)))</f>
        <v>0</v>
      </c>
      <c r="F10" s="19" t="n">
        <f aca="false">IF($B10="","",SUMIFS(_MainTable!$K$2:$K$2001,_MainTable!$F$2:$F$2001,$B10,_MainTable!$G$2:$G$2001,"&gt;="&amp;F$4,_MainTable!$G$2:$G$2001,"&lt;="&amp;EOMONTH(F$4,0)))</f>
        <v>0</v>
      </c>
      <c r="G10" s="19" t="n">
        <f aca="false">IF($B10="","",SUMIFS(_MainTable!$K$2:$K$2001,_MainTable!$F$2:$F$2001,$B10,_MainTable!$G$2:$G$2001,"&gt;="&amp;G$4,_MainTable!$G$2:$G$2001,"&lt;="&amp;EOMONTH(G$4,0)))</f>
        <v>0</v>
      </c>
      <c r="H10" s="19" t="n">
        <f aca="false">IF($B10="","",SUMIFS(_MainTable!$K$2:$K$2001,_MainTable!$F$2:$F$2001,$B10,_MainTable!$G$2:$G$2001,"&gt;="&amp;H$4,_MainTable!$G$2:$G$2001,"&lt;="&amp;EOMONTH(H$4,0)))</f>
        <v>546.94</v>
      </c>
      <c r="I10" s="19" t="n">
        <f aca="false">IF($B10="","",SUMIFS(_MainTable!$K$2:$K$2001,_MainTable!$F$2:$F$2001,$B10,_MainTable!$G$2:$G$2001,"&gt;="&amp;I$4,_MainTable!$G$2:$G$2001,"&lt;="&amp;EOMONTH(I$4,0)))</f>
        <v>0</v>
      </c>
      <c r="J10" s="19" t="n">
        <f aca="false">IF($B10="","",SUMIFS(_MainTable!$K$2:$K$2001,_MainTable!$F$2:$F$2001,$B10,_MainTable!$G$2:$G$2001,"&gt;="&amp;J$4,_MainTable!$G$2:$G$2001,"&lt;="&amp;EOMONTH(J$4,0)))</f>
        <v>0</v>
      </c>
      <c r="K10" s="19" t="n">
        <f aca="false">IF($B10="","",SUMIFS(_MainTable!$K$2:$K$2001,_MainTable!$F$2:$F$2001,$B10,_MainTable!$G$2:$G$2001,"&gt;="&amp;K$4,_MainTable!$G$2:$G$2001,"&lt;="&amp;EOMONTH(K$4,0)))</f>
        <v>6241</v>
      </c>
      <c r="L10" s="19" t="n">
        <f aca="false">IF($B10="","",SUMIFS(_MainTable!$K$2:$K$2001,_MainTable!$F$2:$F$2001,$B10,_MainTable!$G$2:$G$2001,"&gt;="&amp;L$4,_MainTable!$G$2:$G$2001,"&lt;="&amp;EOMONTH(L$4,0)))</f>
        <v>1157.5</v>
      </c>
      <c r="M10" s="19" t="n">
        <f aca="false">IF($B10="","",SUMIFS(_MainTable!$K$2:$K$2001,_MainTable!$F$2:$F$2001,$B10,_MainTable!$G$2:$G$2001,"&gt;="&amp;M$4,_MainTable!$G$2:$G$2001,"&lt;="&amp;EOMONTH(M$4,0)))</f>
        <v>0</v>
      </c>
      <c r="N10" s="19" t="n">
        <f aca="false">IF($B10="","",SUMIFS(_MainTable!$K$2:$K$2001,_MainTable!$F$2:$F$2001,$B10,_MainTable!$G$2:$G$2001,"&gt;="&amp;N$4,_MainTable!$G$2:$G$2001,"&lt;="&amp;EOMONTH(N$4,0)))</f>
        <v>0</v>
      </c>
      <c r="O10" s="30" t="n">
        <f aca="false">IF($B10="","",SUM(C10:N10))</f>
        <v>7945.44</v>
      </c>
    </row>
    <row r="11" customFormat="false" ht="15" hidden="false" customHeight="false" outlineLevel="0" collapsed="false">
      <c r="A11" s="17" t="str">
        <f aca="false">IF('PO Tracker'!$A11="","",'PO Tracker'!$A11)</f>
        <v>ETYON</v>
      </c>
      <c r="B11" s="29" t="n">
        <f aca="false">IF('PO Tracker'!$B11="","",'PO Tracker'!$B11)</f>
        <v>7927</v>
      </c>
      <c r="C11" s="19" t="n">
        <f aca="false">IF($B11="","",SUMIFS(_MainTable!$K$2:$K$2001,_MainTable!$F$2:$F$2001,$B11,_MainTable!$G$2:$G$2001,"&gt;="&amp;C$4,_MainTable!$G$2:$G$2001,"&lt;="&amp;EOMONTH(C$4,0)))</f>
        <v>0</v>
      </c>
      <c r="D11" s="19" t="n">
        <f aca="false">IF($B11="","",SUMIFS(_MainTable!$K$2:$K$2001,_MainTable!$F$2:$F$2001,$B11,_MainTable!$G$2:$G$2001,"&gt;="&amp;D$4,_MainTable!$G$2:$G$2001,"&lt;="&amp;EOMONTH(D$4,0)))</f>
        <v>0</v>
      </c>
      <c r="E11" s="19" t="n">
        <f aca="false">IF($B11="","",SUMIFS(_MainTable!$K$2:$K$2001,_MainTable!$F$2:$F$2001,$B11,_MainTable!$G$2:$G$2001,"&gt;="&amp;E$4,_MainTable!$G$2:$G$2001,"&lt;="&amp;EOMONTH(E$4,0)))</f>
        <v>0</v>
      </c>
      <c r="F11" s="19" t="n">
        <f aca="false">IF($B11="","",SUMIFS(_MainTable!$K$2:$K$2001,_MainTable!$F$2:$F$2001,$B11,_MainTable!$G$2:$G$2001,"&gt;="&amp;F$4,_MainTable!$G$2:$G$2001,"&lt;="&amp;EOMONTH(F$4,0)))</f>
        <v>0</v>
      </c>
      <c r="G11" s="19" t="n">
        <f aca="false">IF($B11="","",SUMIFS(_MainTable!$K$2:$K$2001,_MainTable!$F$2:$F$2001,$B11,_MainTable!$G$2:$G$2001,"&gt;="&amp;G$4,_MainTable!$G$2:$G$2001,"&lt;="&amp;EOMONTH(G$4,0)))</f>
        <v>0</v>
      </c>
      <c r="H11" s="19" t="n">
        <f aca="false">IF($B11="","",SUMIFS(_MainTable!$K$2:$K$2001,_MainTable!$F$2:$F$2001,$B11,_MainTable!$G$2:$G$2001,"&gt;="&amp;H$4,_MainTable!$G$2:$G$2001,"&lt;="&amp;EOMONTH(H$4,0)))</f>
        <v>0</v>
      </c>
      <c r="I11" s="19" t="n">
        <f aca="false">IF($B11="","",SUMIFS(_MainTable!$K$2:$K$2001,_MainTable!$F$2:$F$2001,$B11,_MainTable!$G$2:$G$2001,"&gt;="&amp;I$4,_MainTable!$G$2:$G$2001,"&lt;="&amp;EOMONTH(I$4,0)))</f>
        <v>9756.5</v>
      </c>
      <c r="J11" s="19" t="n">
        <f aca="false">IF($B11="","",SUMIFS(_MainTable!$K$2:$K$2001,_MainTable!$F$2:$F$2001,$B11,_MainTable!$G$2:$G$2001,"&gt;="&amp;J$4,_MainTable!$G$2:$G$2001,"&lt;="&amp;EOMONTH(J$4,0)))</f>
        <v>9756.5</v>
      </c>
      <c r="K11" s="19" t="n">
        <f aca="false">IF($B11="","",SUMIFS(_MainTable!$K$2:$K$2001,_MainTable!$F$2:$F$2001,$B11,_MainTable!$G$2:$G$2001,"&gt;="&amp;K$4,_MainTable!$G$2:$G$2001,"&lt;="&amp;EOMONTH(K$4,0)))</f>
        <v>9756.5</v>
      </c>
      <c r="L11" s="19" t="n">
        <f aca="false">IF($B11="","",SUMIFS(_MainTable!$K$2:$K$2001,_MainTable!$F$2:$F$2001,$B11,_MainTable!$G$2:$G$2001,"&gt;="&amp;L$4,_MainTable!$G$2:$G$2001,"&lt;="&amp;EOMONTH(L$4,0)))</f>
        <v>9756.5</v>
      </c>
      <c r="M11" s="19" t="n">
        <f aca="false">IF($B11="","",SUMIFS(_MainTable!$K$2:$K$2001,_MainTable!$F$2:$F$2001,$B11,_MainTable!$G$2:$G$2001,"&gt;="&amp;M$4,_MainTable!$G$2:$G$2001,"&lt;="&amp;EOMONTH(M$4,0)))</f>
        <v>0</v>
      </c>
      <c r="N11" s="19" t="n">
        <f aca="false">IF($B11="","",SUMIFS(_MainTable!$K$2:$K$2001,_MainTable!$F$2:$F$2001,$B11,_MainTable!$G$2:$G$2001,"&gt;="&amp;N$4,_MainTable!$G$2:$G$2001,"&lt;="&amp;EOMONTH(N$4,0)))</f>
        <v>0</v>
      </c>
      <c r="O11" s="30" t="n">
        <f aca="false">IF($B11="","",SUM(C11:N11))</f>
        <v>39026</v>
      </c>
    </row>
    <row r="12" customFormat="false" ht="15" hidden="false" customHeight="false" outlineLevel="0" collapsed="false">
      <c r="A12" s="17" t="str">
        <f aca="false">IF('PO Tracker'!$A12="","",'PO Tracker'!$A12)</f>
        <v>HEALTHFUSE LLC</v>
      </c>
      <c r="B12" s="29" t="n">
        <f aca="false">IF('PO Tracker'!$B12="","",'PO Tracker'!$B12)</f>
        <v>8438</v>
      </c>
      <c r="C12" s="19" t="n">
        <f aca="false">IF($B12="","",SUMIFS(_MainTable!$K$2:$K$2001,_MainTable!$F$2:$F$2001,$B12,_MainTable!$G$2:$G$2001,"&gt;="&amp;C$4,_MainTable!$G$2:$G$2001,"&lt;="&amp;EOMONTH(C$4,0)))</f>
        <v>0</v>
      </c>
      <c r="D12" s="19" t="n">
        <f aca="false">IF($B12="","",SUMIFS(_MainTable!$K$2:$K$2001,_MainTable!$F$2:$F$2001,$B12,_MainTable!$G$2:$G$2001,"&gt;="&amp;D$4,_MainTable!$G$2:$G$2001,"&lt;="&amp;EOMONTH(D$4,0)))</f>
        <v>0</v>
      </c>
      <c r="E12" s="19" t="n">
        <f aca="false">IF($B12="","",SUMIFS(_MainTable!$K$2:$K$2001,_MainTable!$F$2:$F$2001,$B12,_MainTable!$G$2:$G$2001,"&gt;="&amp;E$4,_MainTable!$G$2:$G$2001,"&lt;="&amp;EOMONTH(E$4,0)))</f>
        <v>0</v>
      </c>
      <c r="F12" s="19" t="n">
        <f aca="false">IF($B12="","",SUMIFS(_MainTable!$K$2:$K$2001,_MainTable!$F$2:$F$2001,$B12,_MainTable!$G$2:$G$2001,"&gt;="&amp;F$4,_MainTable!$G$2:$G$2001,"&lt;="&amp;EOMONTH(F$4,0)))</f>
        <v>0</v>
      </c>
      <c r="G12" s="19" t="n">
        <f aca="false">IF($B12="","",SUMIFS(_MainTable!$K$2:$K$2001,_MainTable!$F$2:$F$2001,$B12,_MainTable!$G$2:$G$2001,"&gt;="&amp;G$4,_MainTable!$G$2:$G$2001,"&lt;="&amp;EOMONTH(G$4,0)))</f>
        <v>0</v>
      </c>
      <c r="H12" s="19" t="n">
        <f aca="false">IF($B12="","",SUMIFS(_MainTable!$K$2:$K$2001,_MainTable!$F$2:$F$2001,$B12,_MainTable!$G$2:$G$2001,"&gt;="&amp;H$4,_MainTable!$G$2:$G$2001,"&lt;="&amp;EOMONTH(H$4,0)))</f>
        <v>0</v>
      </c>
      <c r="I12" s="19" t="n">
        <f aca="false">IF($B12="","",SUMIFS(_MainTable!$K$2:$K$2001,_MainTable!$F$2:$F$2001,$B12,_MainTable!$G$2:$G$2001,"&gt;="&amp;I$4,_MainTable!$G$2:$G$2001,"&lt;="&amp;EOMONTH(I$4,0)))</f>
        <v>43775</v>
      </c>
      <c r="J12" s="19" t="n">
        <f aca="false">IF($B12="","",SUMIFS(_MainTable!$K$2:$K$2001,_MainTable!$F$2:$F$2001,$B12,_MainTable!$G$2:$G$2001,"&gt;="&amp;J$4,_MainTable!$G$2:$G$2001,"&lt;="&amp;EOMONTH(J$4,0)))</f>
        <v>43775</v>
      </c>
      <c r="K12" s="19" t="n">
        <f aca="false">IF($B12="","",SUMIFS(_MainTable!$K$2:$K$2001,_MainTable!$F$2:$F$2001,$B12,_MainTable!$G$2:$G$2001,"&gt;="&amp;K$4,_MainTable!$G$2:$G$2001,"&lt;="&amp;EOMONTH(K$4,0)))</f>
        <v>43775</v>
      </c>
      <c r="L12" s="19" t="n">
        <f aca="false">IF($B12="","",SUMIFS(_MainTable!$K$2:$K$2001,_MainTable!$F$2:$F$2001,$B12,_MainTable!$G$2:$G$2001,"&gt;="&amp;L$4,_MainTable!$G$2:$G$2001,"&lt;="&amp;EOMONTH(L$4,0)))</f>
        <v>43775</v>
      </c>
      <c r="M12" s="19" t="n">
        <f aca="false">IF($B12="","",SUMIFS(_MainTable!$K$2:$K$2001,_MainTable!$F$2:$F$2001,$B12,_MainTable!$G$2:$G$2001,"&gt;="&amp;M$4,_MainTable!$G$2:$G$2001,"&lt;="&amp;EOMONTH(M$4,0)))</f>
        <v>43775</v>
      </c>
      <c r="N12" s="19" t="n">
        <f aca="false">IF($B12="","",SUMIFS(_MainTable!$K$2:$K$2001,_MainTable!$F$2:$F$2001,$B12,_MainTable!$G$2:$G$2001,"&gt;="&amp;N$4,_MainTable!$G$2:$G$2001,"&lt;="&amp;EOMONTH(N$4,0)))</f>
        <v>0</v>
      </c>
      <c r="O12" s="30" t="n">
        <f aca="false">IF($B12="","",SUM(C12:N12))</f>
        <v>218875</v>
      </c>
    </row>
    <row r="13" customFormat="false" ht="15" hidden="false" customHeight="false" outlineLevel="0" collapsed="false">
      <c r="A13" s="17" t="str">
        <f aca="false">IF('PO Tracker'!$A13="","",'PO Tracker'!$A13)</f>
        <v>CLOUDMED</v>
      </c>
      <c r="B13" s="29" t="n">
        <f aca="false">IF('PO Tracker'!$B13="","",'PO Tracker'!$B13)</f>
        <v>8658</v>
      </c>
      <c r="C13" s="19" t="n">
        <f aca="false">IF($B13="","",SUMIFS(_MainTable!$K$2:$K$2001,_MainTable!$F$2:$F$2001,$B13,_MainTable!$G$2:$G$2001,"&gt;="&amp;C$4,_MainTable!$G$2:$G$2001,"&lt;="&amp;EOMONTH(C$4,0)))</f>
        <v>0</v>
      </c>
      <c r="D13" s="19" t="n">
        <f aca="false">IF($B13="","",SUMIFS(_MainTable!$K$2:$K$2001,_MainTable!$F$2:$F$2001,$B13,_MainTable!$G$2:$G$2001,"&gt;="&amp;D$4,_MainTable!$G$2:$G$2001,"&lt;="&amp;EOMONTH(D$4,0)))</f>
        <v>0</v>
      </c>
      <c r="E13" s="19" t="n">
        <f aca="false">IF($B13="","",SUMIFS(_MainTable!$K$2:$K$2001,_MainTable!$F$2:$F$2001,$B13,_MainTable!$G$2:$G$2001,"&gt;="&amp;E$4,_MainTable!$G$2:$G$2001,"&lt;="&amp;EOMONTH(E$4,0)))</f>
        <v>0</v>
      </c>
      <c r="F13" s="19" t="n">
        <f aca="false">IF($B13="","",SUMIFS(_MainTable!$K$2:$K$2001,_MainTable!$F$2:$F$2001,$B13,_MainTable!$G$2:$G$2001,"&gt;="&amp;F$4,_MainTable!$G$2:$G$2001,"&lt;="&amp;EOMONTH(F$4,0)))</f>
        <v>0</v>
      </c>
      <c r="G13" s="19" t="n">
        <f aca="false">IF($B13="","",SUMIFS(_MainTable!$K$2:$K$2001,_MainTable!$F$2:$F$2001,$B13,_MainTable!$G$2:$G$2001,"&gt;="&amp;G$4,_MainTable!$G$2:$G$2001,"&lt;="&amp;EOMONTH(G$4,0)))</f>
        <v>0</v>
      </c>
      <c r="H13" s="19" t="n">
        <f aca="false">IF($B13="","",SUMIFS(_MainTable!$K$2:$K$2001,_MainTable!$F$2:$F$2001,$B13,_MainTable!$G$2:$G$2001,"&gt;="&amp;H$4,_MainTable!$G$2:$G$2001,"&lt;="&amp;EOMONTH(H$4,0)))</f>
        <v>0</v>
      </c>
      <c r="I13" s="19" t="n">
        <f aca="false">IF($B13="","",SUMIFS(_MainTable!$K$2:$K$2001,_MainTable!$F$2:$F$2001,$B13,_MainTable!$G$2:$G$2001,"&gt;="&amp;I$4,_MainTable!$G$2:$G$2001,"&lt;="&amp;EOMONTH(I$4,0)))</f>
        <v>31412.64</v>
      </c>
      <c r="J13" s="19" t="n">
        <f aca="false">IF($B13="","",SUMIFS(_MainTable!$K$2:$K$2001,_MainTable!$F$2:$F$2001,$B13,_MainTable!$G$2:$G$2001,"&gt;="&amp;J$4,_MainTable!$G$2:$G$2001,"&lt;="&amp;EOMONTH(J$4,0)))</f>
        <v>22642.51</v>
      </c>
      <c r="K13" s="19" t="n">
        <f aca="false">IF($B13="","",SUMIFS(_MainTable!$K$2:$K$2001,_MainTable!$F$2:$F$2001,$B13,_MainTable!$G$2:$G$2001,"&gt;="&amp;K$4,_MainTable!$G$2:$G$2001,"&lt;="&amp;EOMONTH(K$4,0)))</f>
        <v>18110.04</v>
      </c>
      <c r="L13" s="19" t="n">
        <f aca="false">IF($B13="","",SUMIFS(_MainTable!$K$2:$K$2001,_MainTable!$F$2:$F$2001,$B13,_MainTable!$G$2:$G$2001,"&gt;="&amp;L$4,_MainTable!$G$2:$G$2001,"&lt;="&amp;EOMONTH(L$4,0)))</f>
        <v>8805.78</v>
      </c>
      <c r="M13" s="19" t="n">
        <f aca="false">IF($B13="","",SUMIFS(_MainTable!$K$2:$K$2001,_MainTable!$F$2:$F$2001,$B13,_MainTable!$G$2:$G$2001,"&gt;="&amp;M$4,_MainTable!$G$2:$G$2001,"&lt;="&amp;EOMONTH(M$4,0)))</f>
        <v>0</v>
      </c>
      <c r="N13" s="19" t="n">
        <f aca="false">IF($B13="","",SUMIFS(_MainTable!$K$2:$K$2001,_MainTable!$F$2:$F$2001,$B13,_MainTable!$G$2:$G$2001,"&gt;="&amp;N$4,_MainTable!$G$2:$G$2001,"&lt;="&amp;EOMONTH(N$4,0)))</f>
        <v>0</v>
      </c>
      <c r="O13" s="30" t="n">
        <f aca="false">IF($B13="","",SUM(C13:N13))</f>
        <v>80970.97</v>
      </c>
    </row>
    <row r="14" customFormat="false" ht="15" hidden="false" customHeight="false" outlineLevel="0" collapsed="false">
      <c r="A14" s="17" t="str">
        <f aca="false">IF('PO Tracker'!$A14="","",'PO Tracker'!$A14)</f>
        <v>CLOUDMED</v>
      </c>
      <c r="B14" s="29" t="n">
        <f aca="false">IF('PO Tracker'!$B14="","",'PO Tracker'!$B14)</f>
        <v>8659</v>
      </c>
      <c r="C14" s="19" t="n">
        <f aca="false">IF($B14="","",SUMIFS(_MainTable!$K$2:$K$2001,_MainTable!$F$2:$F$2001,$B14,_MainTable!$G$2:$G$2001,"&gt;="&amp;C$4,_MainTable!$G$2:$G$2001,"&lt;="&amp;EOMONTH(C$4,0)))</f>
        <v>0</v>
      </c>
      <c r="D14" s="19" t="n">
        <f aca="false">IF($B14="","",SUMIFS(_MainTable!$K$2:$K$2001,_MainTable!$F$2:$F$2001,$B14,_MainTable!$G$2:$G$2001,"&gt;="&amp;D$4,_MainTable!$G$2:$G$2001,"&lt;="&amp;EOMONTH(D$4,0)))</f>
        <v>0</v>
      </c>
      <c r="E14" s="19" t="n">
        <f aca="false">IF($B14="","",SUMIFS(_MainTable!$K$2:$K$2001,_MainTable!$F$2:$F$2001,$B14,_MainTable!$G$2:$G$2001,"&gt;="&amp;E$4,_MainTable!$G$2:$G$2001,"&lt;="&amp;EOMONTH(E$4,0)))</f>
        <v>0</v>
      </c>
      <c r="F14" s="19" t="n">
        <f aca="false">IF($B14="","",SUMIFS(_MainTable!$K$2:$K$2001,_MainTable!$F$2:$F$2001,$B14,_MainTable!$G$2:$G$2001,"&gt;="&amp;F$4,_MainTable!$G$2:$G$2001,"&lt;="&amp;EOMONTH(F$4,0)))</f>
        <v>0</v>
      </c>
      <c r="G14" s="19" t="n">
        <f aca="false">IF($B14="","",SUMIFS(_MainTable!$K$2:$K$2001,_MainTable!$F$2:$F$2001,$B14,_MainTable!$G$2:$G$2001,"&gt;="&amp;G$4,_MainTable!$G$2:$G$2001,"&lt;="&amp;EOMONTH(G$4,0)))</f>
        <v>0</v>
      </c>
      <c r="H14" s="19" t="n">
        <f aca="false">IF($B14="","",SUMIFS(_MainTable!$K$2:$K$2001,_MainTable!$F$2:$F$2001,$B14,_MainTable!$G$2:$G$2001,"&gt;="&amp;H$4,_MainTable!$G$2:$G$2001,"&lt;="&amp;EOMONTH(H$4,0)))</f>
        <v>0</v>
      </c>
      <c r="I14" s="19" t="n">
        <f aca="false">IF($B14="","",SUMIFS(_MainTable!$K$2:$K$2001,_MainTable!$F$2:$F$2001,$B14,_MainTable!$G$2:$G$2001,"&gt;="&amp;I$4,_MainTable!$G$2:$G$2001,"&lt;="&amp;EOMONTH(I$4,0)))</f>
        <v>17212.06</v>
      </c>
      <c r="J14" s="19" t="n">
        <f aca="false">IF($B14="","",SUMIFS(_MainTable!$K$2:$K$2001,_MainTable!$F$2:$F$2001,$B14,_MainTable!$G$2:$G$2001,"&gt;="&amp;J$4,_MainTable!$G$2:$G$2001,"&lt;="&amp;EOMONTH(J$4,0)))</f>
        <v>28836.15</v>
      </c>
      <c r="K14" s="19" t="n">
        <f aca="false">IF($B14="","",SUMIFS(_MainTable!$K$2:$K$2001,_MainTable!$F$2:$F$2001,$B14,_MainTable!$G$2:$G$2001,"&gt;="&amp;K$4,_MainTable!$G$2:$G$2001,"&lt;="&amp;EOMONTH(K$4,0)))</f>
        <v>38791.46</v>
      </c>
      <c r="L14" s="19" t="n">
        <f aca="false">IF($B14="","",SUMIFS(_MainTable!$K$2:$K$2001,_MainTable!$F$2:$F$2001,$B14,_MainTable!$G$2:$G$2001,"&gt;="&amp;L$4,_MainTable!$G$2:$G$2001,"&lt;="&amp;EOMONTH(L$4,0)))</f>
        <v>21720.49</v>
      </c>
      <c r="M14" s="19" t="n">
        <f aca="false">IF($B14="","",SUMIFS(_MainTable!$K$2:$K$2001,_MainTable!$F$2:$F$2001,$B14,_MainTable!$G$2:$G$2001,"&gt;="&amp;M$4,_MainTable!$G$2:$G$2001,"&lt;="&amp;EOMONTH(M$4,0)))</f>
        <v>0</v>
      </c>
      <c r="N14" s="19" t="n">
        <f aca="false">IF($B14="","",SUMIFS(_MainTable!$K$2:$K$2001,_MainTable!$F$2:$F$2001,$B14,_MainTable!$G$2:$G$2001,"&gt;="&amp;N$4,_MainTable!$G$2:$G$2001,"&lt;="&amp;EOMONTH(N$4,0)))</f>
        <v>0</v>
      </c>
      <c r="O14" s="30" t="n">
        <f aca="false">IF($B14="","",SUM(C14:N14))</f>
        <v>106560.16</v>
      </c>
    </row>
    <row r="15" customFormat="false" ht="15" hidden="false" customHeight="false" outlineLevel="0" collapsed="false">
      <c r="A15" s="17" t="str">
        <f aca="false">IF('PO Tracker'!$A15="","",'PO Tracker'!$A15)</f>
        <v>SOLVENTUM HEALTH INFO SYSTEM</v>
      </c>
      <c r="B15" s="29" t="n">
        <f aca="false">IF('PO Tracker'!$B15="","",'PO Tracker'!$B15)</f>
        <v>9916</v>
      </c>
      <c r="C15" s="19" t="n">
        <f aca="false">IF($B15="","",SUMIFS(_MainTable!$K$2:$K$2001,_MainTable!$F$2:$F$2001,$B15,_MainTable!$G$2:$G$2001,"&gt;="&amp;C$4,_MainTable!$G$2:$G$2001,"&lt;="&amp;EOMONTH(C$4,0)))</f>
        <v>0</v>
      </c>
      <c r="D15" s="19" t="n">
        <f aca="false">IF($B15="","",SUMIFS(_MainTable!$K$2:$K$2001,_MainTable!$F$2:$F$2001,$B15,_MainTable!$G$2:$G$2001,"&gt;="&amp;D$4,_MainTable!$G$2:$G$2001,"&lt;="&amp;EOMONTH(D$4,0)))</f>
        <v>0</v>
      </c>
      <c r="E15" s="19" t="n">
        <f aca="false">IF($B15="","",SUMIFS(_MainTable!$K$2:$K$2001,_MainTable!$F$2:$F$2001,$B15,_MainTable!$G$2:$G$2001,"&gt;="&amp;E$4,_MainTable!$G$2:$G$2001,"&lt;="&amp;EOMONTH(E$4,0)))</f>
        <v>0</v>
      </c>
      <c r="F15" s="19" t="n">
        <f aca="false">IF($B15="","",SUMIFS(_MainTable!$K$2:$K$2001,_MainTable!$F$2:$F$2001,$B15,_MainTable!$G$2:$G$2001,"&gt;="&amp;F$4,_MainTable!$G$2:$G$2001,"&lt;="&amp;EOMONTH(F$4,0)))</f>
        <v>0</v>
      </c>
      <c r="G15" s="19" t="n">
        <f aca="false">IF($B15="","",SUMIFS(_MainTable!$K$2:$K$2001,_MainTable!$F$2:$F$2001,$B15,_MainTable!$G$2:$G$2001,"&gt;="&amp;G$4,_MainTable!$G$2:$G$2001,"&lt;="&amp;EOMONTH(G$4,0)))</f>
        <v>0</v>
      </c>
      <c r="H15" s="19" t="n">
        <f aca="false">IF($B15="","",SUMIFS(_MainTable!$K$2:$K$2001,_MainTable!$F$2:$F$2001,$B15,_MainTable!$G$2:$G$2001,"&gt;="&amp;H$4,_MainTable!$G$2:$G$2001,"&lt;="&amp;EOMONTH(H$4,0)))</f>
        <v>0</v>
      </c>
      <c r="I15" s="19" t="n">
        <f aca="false">IF($B15="","",SUMIFS(_MainTable!$K$2:$K$2001,_MainTable!$F$2:$F$2001,$B15,_MainTable!$G$2:$G$2001,"&gt;="&amp;I$4,_MainTable!$G$2:$G$2001,"&lt;="&amp;EOMONTH(I$4,0)))</f>
        <v>0</v>
      </c>
      <c r="J15" s="19" t="n">
        <f aca="false">IF($B15="","",SUMIFS(_MainTable!$K$2:$K$2001,_MainTable!$F$2:$F$2001,$B15,_MainTable!$G$2:$G$2001,"&gt;="&amp;J$4,_MainTable!$G$2:$G$2001,"&lt;="&amp;EOMONTH(J$4,0)))</f>
        <v>0</v>
      </c>
      <c r="K15" s="19" t="n">
        <f aca="false">IF($B15="","",SUMIFS(_MainTable!$K$2:$K$2001,_MainTable!$F$2:$F$2001,$B15,_MainTable!$G$2:$G$2001,"&gt;="&amp;K$4,_MainTable!$G$2:$G$2001,"&lt;="&amp;EOMONTH(K$4,0)))</f>
        <v>0</v>
      </c>
      <c r="L15" s="19" t="n">
        <f aca="false">IF($B15="","",SUMIFS(_MainTable!$K$2:$K$2001,_MainTable!$F$2:$F$2001,$B15,_MainTable!$G$2:$G$2001,"&gt;="&amp;L$4,_MainTable!$G$2:$G$2001,"&lt;="&amp;EOMONTH(L$4,0)))</f>
        <v>0</v>
      </c>
      <c r="M15" s="19" t="n">
        <f aca="false">IF($B15="","",SUMIFS(_MainTable!$K$2:$K$2001,_MainTable!$F$2:$F$2001,$B15,_MainTable!$G$2:$G$2001,"&gt;="&amp;M$4,_MainTable!$G$2:$G$2001,"&lt;="&amp;EOMONTH(M$4,0)))</f>
        <v>185499.25</v>
      </c>
      <c r="N15" s="19" t="n">
        <f aca="false">IF($B15="","",SUMIFS(_MainTable!$K$2:$K$2001,_MainTable!$F$2:$F$2001,$B15,_MainTable!$G$2:$G$2001,"&gt;="&amp;N$4,_MainTable!$G$2:$G$2001,"&lt;="&amp;EOMONTH(N$4,0)))</f>
        <v>0</v>
      </c>
      <c r="O15" s="30" t="n">
        <f aca="false">IF($B15="","",SUM(C15:N15))</f>
        <v>185499.25</v>
      </c>
    </row>
    <row r="16" customFormat="false" ht="15" hidden="false" customHeight="false" outlineLevel="0" collapsed="false">
      <c r="A16" s="17" t="str">
        <f aca="false">IF('PO Tracker'!$A16="","",'PO Tracker'!$A16)</f>
        <v>TERNIUM LLC</v>
      </c>
      <c r="B16" s="29" t="n">
        <f aca="false">IF('PO Tracker'!$B16="","",'PO Tracker'!$B16)</f>
        <v>10118</v>
      </c>
      <c r="C16" s="19" t="n">
        <f aca="false">IF($B16="","",SUMIFS(_MainTable!$K$2:$K$2001,_MainTable!$F$2:$F$2001,$B16,_MainTable!$G$2:$G$2001,"&gt;="&amp;C$4,_MainTable!$G$2:$G$2001,"&lt;="&amp;EOMONTH(C$4,0)))</f>
        <v>0</v>
      </c>
      <c r="D16" s="19" t="n">
        <f aca="false">IF($B16="","",SUMIFS(_MainTable!$K$2:$K$2001,_MainTable!$F$2:$F$2001,$B16,_MainTable!$G$2:$G$2001,"&gt;="&amp;D$4,_MainTable!$G$2:$G$2001,"&lt;="&amp;EOMONTH(D$4,0)))</f>
        <v>0</v>
      </c>
      <c r="E16" s="19" t="n">
        <f aca="false">IF($B16="","",SUMIFS(_MainTable!$K$2:$K$2001,_MainTable!$F$2:$F$2001,$B16,_MainTable!$G$2:$G$2001,"&gt;="&amp;E$4,_MainTable!$G$2:$G$2001,"&lt;="&amp;EOMONTH(E$4,0)))</f>
        <v>0</v>
      </c>
      <c r="F16" s="19" t="n">
        <f aca="false">IF($B16="","",SUMIFS(_MainTable!$K$2:$K$2001,_MainTable!$F$2:$F$2001,$B16,_MainTable!$G$2:$G$2001,"&gt;="&amp;F$4,_MainTable!$G$2:$G$2001,"&lt;="&amp;EOMONTH(F$4,0)))</f>
        <v>76027.46</v>
      </c>
      <c r="G16" s="19" t="n">
        <f aca="false">IF($B16="","",SUMIFS(_MainTable!$K$2:$K$2001,_MainTable!$F$2:$F$2001,$B16,_MainTable!$G$2:$G$2001,"&gt;="&amp;G$4,_MainTable!$G$2:$G$2001,"&lt;="&amp;EOMONTH(G$4,0)))</f>
        <v>0</v>
      </c>
      <c r="H16" s="19" t="n">
        <f aca="false">IF($B16="","",SUMIFS(_MainTable!$K$2:$K$2001,_MainTable!$F$2:$F$2001,$B16,_MainTable!$G$2:$G$2001,"&gt;="&amp;H$4,_MainTable!$G$2:$G$2001,"&lt;="&amp;EOMONTH(H$4,0)))</f>
        <v>0</v>
      </c>
      <c r="I16" s="19" t="n">
        <f aca="false">IF($B16="","",SUMIFS(_MainTable!$K$2:$K$2001,_MainTable!$F$2:$F$2001,$B16,_MainTable!$G$2:$G$2001,"&gt;="&amp;I$4,_MainTable!$G$2:$G$2001,"&lt;="&amp;EOMONTH(I$4,0)))</f>
        <v>116168.61</v>
      </c>
      <c r="J16" s="19" t="n">
        <f aca="false">IF($B16="","",SUMIFS(_MainTable!$K$2:$K$2001,_MainTable!$F$2:$F$2001,$B16,_MainTable!$G$2:$G$2001,"&gt;="&amp;J$4,_MainTable!$G$2:$G$2001,"&lt;="&amp;EOMONTH(J$4,0)))</f>
        <v>166113.3</v>
      </c>
      <c r="K16" s="19" t="n">
        <f aca="false">IF($B16="","",SUMIFS(_MainTable!$K$2:$K$2001,_MainTable!$F$2:$F$2001,$B16,_MainTable!$G$2:$G$2001,"&gt;="&amp;K$4,_MainTable!$G$2:$G$2001,"&lt;="&amp;EOMONTH(K$4,0)))</f>
        <v>109300.96</v>
      </c>
      <c r="L16" s="19" t="n">
        <f aca="false">IF($B16="","",SUMIFS(_MainTable!$K$2:$K$2001,_MainTable!$F$2:$F$2001,$B16,_MainTable!$G$2:$G$2001,"&gt;="&amp;L$4,_MainTable!$G$2:$G$2001,"&lt;="&amp;EOMONTH(L$4,0)))</f>
        <v>105193.5</v>
      </c>
      <c r="M16" s="19" t="n">
        <f aca="false">IF($B16="","",SUMIFS(_MainTable!$K$2:$K$2001,_MainTable!$F$2:$F$2001,$B16,_MainTable!$G$2:$G$2001,"&gt;="&amp;M$4,_MainTable!$G$2:$G$2001,"&lt;="&amp;EOMONTH(M$4,0)))</f>
        <v>0</v>
      </c>
      <c r="N16" s="19" t="n">
        <f aca="false">IF($B16="","",SUMIFS(_MainTable!$K$2:$K$2001,_MainTable!$F$2:$F$2001,$B16,_MainTable!$G$2:$G$2001,"&gt;="&amp;N$4,_MainTable!$G$2:$G$2001,"&lt;="&amp;EOMONTH(N$4,0)))</f>
        <v>0</v>
      </c>
      <c r="O16" s="30" t="n">
        <f aca="false">IF($B16="","",SUM(C16:N16))</f>
        <v>572803.83</v>
      </c>
    </row>
    <row r="17" customFormat="false" ht="15" hidden="false" customHeight="false" outlineLevel="0" collapsed="false">
      <c r="A17" s="17" t="str">
        <f aca="false">IF('PO Tracker'!$A17="","",'PO Tracker'!$A17)</f>
        <v>EPIC ADVISORS GROUP LLC</v>
      </c>
      <c r="B17" s="29" t="n">
        <f aca="false">IF('PO Tracker'!$B17="","",'PO Tracker'!$B17)</f>
        <v>10138</v>
      </c>
      <c r="C17" s="19" t="n">
        <f aca="false">IF($B17="","",SUMIFS(_MainTable!$K$2:$K$2001,_MainTable!$F$2:$F$2001,$B17,_MainTable!$G$2:$G$2001,"&gt;="&amp;C$4,_MainTable!$G$2:$G$2001,"&lt;="&amp;EOMONTH(C$4,0)))</f>
        <v>0</v>
      </c>
      <c r="D17" s="19" t="n">
        <f aca="false">IF($B17="","",SUMIFS(_MainTable!$K$2:$K$2001,_MainTable!$F$2:$F$2001,$B17,_MainTable!$G$2:$G$2001,"&gt;="&amp;D$4,_MainTable!$G$2:$G$2001,"&lt;="&amp;EOMONTH(D$4,0)))</f>
        <v>0</v>
      </c>
      <c r="E17" s="19" t="n">
        <f aca="false">IF($B17="","",SUMIFS(_MainTable!$K$2:$K$2001,_MainTable!$F$2:$F$2001,$B17,_MainTable!$G$2:$G$2001,"&gt;="&amp;E$4,_MainTable!$G$2:$G$2001,"&lt;="&amp;EOMONTH(E$4,0)))</f>
        <v>0</v>
      </c>
      <c r="F17" s="19" t="n">
        <f aca="false">IF($B17="","",SUMIFS(_MainTable!$K$2:$K$2001,_MainTable!$F$2:$F$2001,$B17,_MainTable!$G$2:$G$2001,"&gt;="&amp;F$4,_MainTable!$G$2:$G$2001,"&lt;="&amp;EOMONTH(F$4,0)))</f>
        <v>0</v>
      </c>
      <c r="G17" s="19" t="n">
        <f aca="false">IF($B17="","",SUMIFS(_MainTable!$K$2:$K$2001,_MainTable!$F$2:$F$2001,$B17,_MainTable!$G$2:$G$2001,"&gt;="&amp;G$4,_MainTable!$G$2:$G$2001,"&lt;="&amp;EOMONTH(G$4,0)))</f>
        <v>0</v>
      </c>
      <c r="H17" s="19" t="n">
        <f aca="false">IF($B17="","",SUMIFS(_MainTable!$K$2:$K$2001,_MainTable!$F$2:$F$2001,$B17,_MainTable!$G$2:$G$2001,"&gt;="&amp;H$4,_MainTable!$G$2:$G$2001,"&lt;="&amp;EOMONTH(H$4,0)))</f>
        <v>0</v>
      </c>
      <c r="I17" s="19" t="n">
        <f aca="false">IF($B17="","",SUMIFS(_MainTable!$K$2:$K$2001,_MainTable!$F$2:$F$2001,$B17,_MainTable!$G$2:$G$2001,"&gt;="&amp;I$4,_MainTable!$G$2:$G$2001,"&lt;="&amp;EOMONTH(I$4,0)))</f>
        <v>24184.5</v>
      </c>
      <c r="J17" s="19" t="n">
        <f aca="false">IF($B17="","",SUMIFS(_MainTable!$K$2:$K$2001,_MainTable!$F$2:$F$2001,$B17,_MainTable!$G$2:$G$2001,"&gt;="&amp;J$4,_MainTable!$G$2:$G$2001,"&lt;="&amp;EOMONTH(J$4,0)))</f>
        <v>31177.42</v>
      </c>
      <c r="K17" s="19" t="n">
        <f aca="false">IF($B17="","",SUMIFS(_MainTable!$K$2:$K$2001,_MainTable!$F$2:$F$2001,$B17,_MainTable!$G$2:$G$2001,"&gt;="&amp;K$4,_MainTable!$G$2:$G$2001,"&lt;="&amp;EOMONTH(K$4,0)))</f>
        <v>22184.5</v>
      </c>
      <c r="L17" s="19" t="n">
        <f aca="false">IF($B17="","",SUMIFS(_MainTable!$K$2:$K$2001,_MainTable!$F$2:$F$2001,$B17,_MainTable!$G$2:$G$2001,"&gt;="&amp;L$4,_MainTable!$G$2:$G$2001,"&lt;="&amp;EOMONTH(L$4,0)))</f>
        <v>22284.5</v>
      </c>
      <c r="M17" s="19" t="n">
        <f aca="false">IF($B17="","",SUMIFS(_MainTable!$K$2:$K$2001,_MainTable!$F$2:$F$2001,$B17,_MainTable!$G$2:$G$2001,"&gt;="&amp;M$4,_MainTable!$G$2:$G$2001,"&lt;="&amp;EOMONTH(M$4,0)))</f>
        <v>19684.5</v>
      </c>
      <c r="N17" s="19" t="n">
        <f aca="false">IF($B17="","",SUMIFS(_MainTable!$K$2:$K$2001,_MainTable!$F$2:$F$2001,$B17,_MainTable!$G$2:$G$2001,"&gt;="&amp;N$4,_MainTable!$G$2:$G$2001,"&lt;="&amp;EOMONTH(N$4,0)))</f>
        <v>0</v>
      </c>
      <c r="O17" s="30" t="n">
        <f aca="false">IF($B17="","",SUM(C17:N17))</f>
        <v>119515.42</v>
      </c>
    </row>
    <row r="18" customFormat="false" ht="15" hidden="false" customHeight="false" outlineLevel="0" collapsed="false">
      <c r="A18" s="17" t="str">
        <f aca="false">IF('PO Tracker'!$A18="","",'PO Tracker'!$A18)</f>
        <v>ASPIRION HEALTH RESOURCES</v>
      </c>
      <c r="B18" s="29" t="n">
        <f aca="false">IF('PO Tracker'!$B18="","",'PO Tracker'!$B18)</f>
        <v>10200</v>
      </c>
      <c r="C18" s="19" t="n">
        <f aca="false">IF($B18="","",SUMIFS(_MainTable!$K$2:$K$2001,_MainTable!$F$2:$F$2001,$B18,_MainTable!$G$2:$G$2001,"&gt;="&amp;C$4,_MainTable!$G$2:$G$2001,"&lt;="&amp;EOMONTH(C$4,0)))</f>
        <v>0</v>
      </c>
      <c r="D18" s="19" t="n">
        <f aca="false">IF($B18="","",SUMIFS(_MainTable!$K$2:$K$2001,_MainTable!$F$2:$F$2001,$B18,_MainTable!$G$2:$G$2001,"&gt;="&amp;D$4,_MainTable!$G$2:$G$2001,"&lt;="&amp;EOMONTH(D$4,0)))</f>
        <v>0</v>
      </c>
      <c r="E18" s="19" t="n">
        <f aca="false">IF($B18="","",SUMIFS(_MainTable!$K$2:$K$2001,_MainTable!$F$2:$F$2001,$B18,_MainTable!$G$2:$G$2001,"&gt;="&amp;E$4,_MainTable!$G$2:$G$2001,"&lt;="&amp;EOMONTH(E$4,0)))</f>
        <v>0</v>
      </c>
      <c r="F18" s="19" t="n">
        <f aca="false">IF($B18="","",SUMIFS(_MainTable!$K$2:$K$2001,_MainTable!$F$2:$F$2001,$B18,_MainTable!$G$2:$G$2001,"&gt;="&amp;F$4,_MainTable!$G$2:$G$2001,"&lt;="&amp;EOMONTH(F$4,0)))</f>
        <v>0</v>
      </c>
      <c r="G18" s="19" t="n">
        <f aca="false">IF($B18="","",SUMIFS(_MainTable!$K$2:$K$2001,_MainTable!$F$2:$F$2001,$B18,_MainTable!$G$2:$G$2001,"&gt;="&amp;G$4,_MainTable!$G$2:$G$2001,"&lt;="&amp;EOMONTH(G$4,0)))</f>
        <v>662551.31</v>
      </c>
      <c r="H18" s="19" t="n">
        <f aca="false">IF($B18="","",SUMIFS(_MainTable!$K$2:$K$2001,_MainTable!$F$2:$F$2001,$B18,_MainTable!$G$2:$G$2001,"&gt;="&amp;H$4,_MainTable!$G$2:$G$2001,"&lt;="&amp;EOMONTH(H$4,0)))</f>
        <v>981797.8</v>
      </c>
      <c r="I18" s="19" t="n">
        <f aca="false">IF($B18="","",SUMIFS(_MainTable!$K$2:$K$2001,_MainTable!$F$2:$F$2001,$B18,_MainTable!$G$2:$G$2001,"&gt;="&amp;I$4,_MainTable!$G$2:$G$2001,"&lt;="&amp;EOMONTH(I$4,0)))</f>
        <v>779519.69</v>
      </c>
      <c r="J18" s="19" t="n">
        <f aca="false">IF($B18="","",SUMIFS(_MainTable!$K$2:$K$2001,_MainTable!$F$2:$F$2001,$B18,_MainTable!$G$2:$G$2001,"&gt;="&amp;J$4,_MainTable!$G$2:$G$2001,"&lt;="&amp;EOMONTH(J$4,0)))</f>
        <v>762727.05</v>
      </c>
      <c r="K18" s="19" t="n">
        <f aca="false">IF($B18="","",SUMIFS(_MainTable!$K$2:$K$2001,_MainTable!$F$2:$F$2001,$B18,_MainTable!$G$2:$G$2001,"&gt;="&amp;K$4,_MainTable!$G$2:$G$2001,"&lt;="&amp;EOMONTH(K$4,0)))</f>
        <v>932768.21</v>
      </c>
      <c r="L18" s="19" t="n">
        <f aca="false">IF($B18="","",SUMIFS(_MainTable!$K$2:$K$2001,_MainTable!$F$2:$F$2001,$B18,_MainTable!$G$2:$G$2001,"&gt;="&amp;L$4,_MainTable!$G$2:$G$2001,"&lt;="&amp;EOMONTH(L$4,0)))</f>
        <v>0</v>
      </c>
      <c r="M18" s="19" t="n">
        <f aca="false">IF($B18="","",SUMIFS(_MainTable!$K$2:$K$2001,_MainTable!$F$2:$F$2001,$B18,_MainTable!$G$2:$G$2001,"&gt;="&amp;M$4,_MainTable!$G$2:$G$2001,"&lt;="&amp;EOMONTH(M$4,0)))</f>
        <v>0</v>
      </c>
      <c r="N18" s="19" t="n">
        <f aca="false">IF($B18="","",SUMIFS(_MainTable!$K$2:$K$2001,_MainTable!$F$2:$F$2001,$B18,_MainTable!$G$2:$G$2001,"&gt;="&amp;N$4,_MainTable!$G$2:$G$2001,"&lt;="&amp;EOMONTH(N$4,0)))</f>
        <v>0</v>
      </c>
      <c r="O18" s="30" t="n">
        <f aca="false">IF($B18="","",SUM(C18:N18))</f>
        <v>4119364.06</v>
      </c>
    </row>
    <row r="19" customFormat="false" ht="15" hidden="false" customHeight="false" outlineLevel="0" collapsed="false">
      <c r="A19" s="17" t="str">
        <f aca="false">IF('PO Tracker'!$A19="","",'PO Tracker'!$A19)</f>
        <v>FINTHRIVE HEALTHCARE INC</v>
      </c>
      <c r="B19" s="29" t="n">
        <f aca="false">IF('PO Tracker'!$B19="","",'PO Tracker'!$B19)</f>
        <v>10406</v>
      </c>
      <c r="C19" s="19" t="n">
        <f aca="false">IF($B19="","",SUMIFS(_MainTable!$K$2:$K$2001,_MainTable!$F$2:$F$2001,$B19,_MainTable!$G$2:$G$2001,"&gt;="&amp;C$4,_MainTable!$G$2:$G$2001,"&lt;="&amp;EOMONTH(C$4,0)))</f>
        <v>0</v>
      </c>
      <c r="D19" s="19" t="n">
        <f aca="false">IF($B19="","",SUMIFS(_MainTable!$K$2:$K$2001,_MainTable!$F$2:$F$2001,$B19,_MainTable!$G$2:$G$2001,"&gt;="&amp;D$4,_MainTable!$G$2:$G$2001,"&lt;="&amp;EOMONTH(D$4,0)))</f>
        <v>0</v>
      </c>
      <c r="E19" s="19" t="n">
        <f aca="false">IF($B19="","",SUMIFS(_MainTable!$K$2:$K$2001,_MainTable!$F$2:$F$2001,$B19,_MainTable!$G$2:$G$2001,"&gt;="&amp;E$4,_MainTable!$G$2:$G$2001,"&lt;="&amp;EOMONTH(E$4,0)))</f>
        <v>0</v>
      </c>
      <c r="F19" s="19" t="n">
        <f aca="false">IF($B19="","",SUMIFS(_MainTable!$K$2:$K$2001,_MainTable!$F$2:$F$2001,$B19,_MainTable!$G$2:$G$2001,"&gt;="&amp;F$4,_MainTable!$G$2:$G$2001,"&lt;="&amp;EOMONTH(F$4,0)))</f>
        <v>0</v>
      </c>
      <c r="G19" s="19" t="n">
        <f aca="false">IF($B19="","",SUMIFS(_MainTable!$K$2:$K$2001,_MainTable!$F$2:$F$2001,$B19,_MainTable!$G$2:$G$2001,"&gt;="&amp;G$4,_MainTable!$G$2:$G$2001,"&lt;="&amp;EOMONTH(G$4,0)))</f>
        <v>0</v>
      </c>
      <c r="H19" s="19" t="n">
        <f aca="false">IF($B19="","",SUMIFS(_MainTable!$K$2:$K$2001,_MainTable!$F$2:$F$2001,$B19,_MainTable!$G$2:$G$2001,"&gt;="&amp;H$4,_MainTable!$G$2:$G$2001,"&lt;="&amp;EOMONTH(H$4,0)))</f>
        <v>841.27</v>
      </c>
      <c r="I19" s="19" t="n">
        <f aca="false">IF($B19="","",SUMIFS(_MainTable!$K$2:$K$2001,_MainTable!$F$2:$F$2001,$B19,_MainTable!$G$2:$G$2001,"&gt;="&amp;I$4,_MainTable!$G$2:$G$2001,"&lt;="&amp;EOMONTH(I$4,0)))</f>
        <v>712.43</v>
      </c>
      <c r="J19" s="19" t="n">
        <f aca="false">IF($B19="","",SUMIFS(_MainTable!$K$2:$K$2001,_MainTable!$F$2:$F$2001,$B19,_MainTable!$G$2:$G$2001,"&gt;="&amp;J$4,_MainTable!$G$2:$G$2001,"&lt;="&amp;EOMONTH(J$4,0)))</f>
        <v>755.86</v>
      </c>
      <c r="K19" s="19" t="n">
        <f aca="false">IF($B19="","",SUMIFS(_MainTable!$K$2:$K$2001,_MainTable!$F$2:$F$2001,$B19,_MainTable!$G$2:$G$2001,"&gt;="&amp;K$4,_MainTable!$G$2:$G$2001,"&lt;="&amp;EOMONTH(K$4,0)))</f>
        <v>945.62</v>
      </c>
      <c r="L19" s="19" t="n">
        <f aca="false">IF($B19="","",SUMIFS(_MainTable!$K$2:$K$2001,_MainTable!$F$2:$F$2001,$B19,_MainTable!$G$2:$G$2001,"&gt;="&amp;L$4,_MainTable!$G$2:$G$2001,"&lt;="&amp;EOMONTH(L$4,0)))</f>
        <v>840.45</v>
      </c>
      <c r="M19" s="19" t="n">
        <f aca="false">IF($B19="","",SUMIFS(_MainTable!$K$2:$K$2001,_MainTable!$F$2:$F$2001,$B19,_MainTable!$G$2:$G$2001,"&gt;="&amp;M$4,_MainTable!$G$2:$G$2001,"&lt;="&amp;EOMONTH(M$4,0)))</f>
        <v>0</v>
      </c>
      <c r="N19" s="19" t="n">
        <f aca="false">IF($B19="","",SUMIFS(_MainTable!$K$2:$K$2001,_MainTable!$F$2:$F$2001,$B19,_MainTable!$G$2:$G$2001,"&gt;="&amp;N$4,_MainTable!$G$2:$G$2001,"&lt;="&amp;EOMONTH(N$4,0)))</f>
        <v>0</v>
      </c>
      <c r="O19" s="30" t="n">
        <f aca="false">IF($B19="","",SUM(C19:N19))</f>
        <v>4095.63</v>
      </c>
    </row>
    <row r="20" customFormat="false" ht="15" hidden="false" customHeight="false" outlineLevel="0" collapsed="false">
      <c r="A20" s="17" t="str">
        <f aca="false">IF('PO Tracker'!$A20="","",'PO Tracker'!$A20)</f>
        <v>FMS INC</v>
      </c>
      <c r="B20" s="29" t="n">
        <f aca="false">IF('PO Tracker'!$B20="","",'PO Tracker'!$B20)</f>
        <v>10407</v>
      </c>
      <c r="C20" s="19" t="n">
        <f aca="false">IF($B20="","",SUMIFS(_MainTable!$K$2:$K$2001,_MainTable!$F$2:$F$2001,$B20,_MainTable!$G$2:$G$2001,"&gt;="&amp;C$4,_MainTable!$G$2:$G$2001,"&lt;="&amp;EOMONTH(C$4,0)))</f>
        <v>0</v>
      </c>
      <c r="D20" s="19" t="n">
        <f aca="false">IF($B20="","",SUMIFS(_MainTable!$K$2:$K$2001,_MainTable!$F$2:$F$2001,$B20,_MainTable!$G$2:$G$2001,"&gt;="&amp;D$4,_MainTable!$G$2:$G$2001,"&lt;="&amp;EOMONTH(D$4,0)))</f>
        <v>0</v>
      </c>
      <c r="E20" s="19" t="n">
        <f aca="false">IF($B20="","",SUMIFS(_MainTable!$K$2:$K$2001,_MainTable!$F$2:$F$2001,$B20,_MainTable!$G$2:$G$2001,"&gt;="&amp;E$4,_MainTable!$G$2:$G$2001,"&lt;="&amp;EOMONTH(E$4,0)))</f>
        <v>0</v>
      </c>
      <c r="F20" s="19" t="n">
        <f aca="false">IF($B20="","",SUMIFS(_MainTable!$K$2:$K$2001,_MainTable!$F$2:$F$2001,$B20,_MainTable!$G$2:$G$2001,"&gt;="&amp;F$4,_MainTable!$G$2:$G$2001,"&lt;="&amp;EOMONTH(F$4,0)))</f>
        <v>0</v>
      </c>
      <c r="G20" s="19" t="n">
        <f aca="false">IF($B20="","",SUMIFS(_MainTable!$K$2:$K$2001,_MainTable!$F$2:$F$2001,$B20,_MainTable!$G$2:$G$2001,"&gt;="&amp;G$4,_MainTable!$G$2:$G$2001,"&lt;="&amp;EOMONTH(G$4,0)))</f>
        <v>0</v>
      </c>
      <c r="H20" s="19" t="n">
        <f aca="false">IF($B20="","",SUMIFS(_MainTable!$K$2:$K$2001,_MainTable!$F$2:$F$2001,$B20,_MainTable!$G$2:$G$2001,"&gt;="&amp;H$4,_MainTable!$G$2:$G$2001,"&lt;="&amp;EOMONTH(H$4,0)))</f>
        <v>47338.49</v>
      </c>
      <c r="I20" s="19" t="n">
        <f aca="false">IF($B20="","",SUMIFS(_MainTable!$K$2:$K$2001,_MainTable!$F$2:$F$2001,$B20,_MainTable!$G$2:$G$2001,"&gt;="&amp;I$4,_MainTable!$G$2:$G$2001,"&lt;="&amp;EOMONTH(I$4,0)))</f>
        <v>198514.52</v>
      </c>
      <c r="J20" s="19" t="n">
        <f aca="false">IF($B20="","",SUMIFS(_MainTable!$K$2:$K$2001,_MainTable!$F$2:$F$2001,$B20,_MainTable!$G$2:$G$2001,"&gt;="&amp;J$4,_MainTable!$G$2:$G$2001,"&lt;="&amp;EOMONTH(J$4,0)))</f>
        <v>223357.08</v>
      </c>
      <c r="K20" s="19" t="n">
        <f aca="false">IF($B20="","",SUMIFS(_MainTable!$K$2:$K$2001,_MainTable!$F$2:$F$2001,$B20,_MainTable!$G$2:$G$2001,"&gt;="&amp;K$4,_MainTable!$G$2:$G$2001,"&lt;="&amp;EOMONTH(K$4,0)))</f>
        <v>181462.49</v>
      </c>
      <c r="L20" s="19" t="n">
        <f aca="false">IF($B20="","",SUMIFS(_MainTable!$K$2:$K$2001,_MainTable!$F$2:$F$2001,$B20,_MainTable!$G$2:$G$2001,"&gt;="&amp;L$4,_MainTable!$G$2:$G$2001,"&lt;="&amp;EOMONTH(L$4,0)))</f>
        <v>250145.24</v>
      </c>
      <c r="M20" s="19" t="n">
        <f aca="false">IF($B20="","",SUMIFS(_MainTable!$K$2:$K$2001,_MainTable!$F$2:$F$2001,$B20,_MainTable!$G$2:$G$2001,"&gt;="&amp;M$4,_MainTable!$G$2:$G$2001,"&lt;="&amp;EOMONTH(M$4,0)))</f>
        <v>72313.42</v>
      </c>
      <c r="N20" s="19" t="n">
        <f aca="false">IF($B20="","",SUMIFS(_MainTable!$K$2:$K$2001,_MainTable!$F$2:$F$2001,$B20,_MainTable!$G$2:$G$2001,"&gt;="&amp;N$4,_MainTable!$G$2:$G$2001,"&lt;="&amp;EOMONTH(N$4,0)))</f>
        <v>0</v>
      </c>
      <c r="O20" s="30" t="n">
        <f aca="false">IF($B20="","",SUM(C20:N20))</f>
        <v>973131.24</v>
      </c>
    </row>
    <row r="21" customFormat="false" ht="15" hidden="false" customHeight="false" outlineLevel="0" collapsed="false">
      <c r="A21" s="17" t="str">
        <f aca="false">IF('PO Tracker'!$A21="","",'PO Tracker'!$A21)</f>
        <v>FMS INC</v>
      </c>
      <c r="B21" s="29" t="n">
        <f aca="false">IF('PO Tracker'!$B21="","",'PO Tracker'!$B21)</f>
        <v>10410</v>
      </c>
      <c r="C21" s="19" t="n">
        <f aca="false">IF($B21="","",SUMIFS(_MainTable!$K$2:$K$2001,_MainTable!$F$2:$F$2001,$B21,_MainTable!$G$2:$G$2001,"&gt;="&amp;C$4,_MainTable!$G$2:$G$2001,"&lt;="&amp;EOMONTH(C$4,0)))</f>
        <v>0</v>
      </c>
      <c r="D21" s="19" t="n">
        <f aca="false">IF($B21="","",SUMIFS(_MainTable!$K$2:$K$2001,_MainTable!$F$2:$F$2001,$B21,_MainTable!$G$2:$G$2001,"&gt;="&amp;D$4,_MainTable!$G$2:$G$2001,"&lt;="&amp;EOMONTH(D$4,0)))</f>
        <v>0</v>
      </c>
      <c r="E21" s="19" t="n">
        <f aca="false">IF($B21="","",SUMIFS(_MainTable!$K$2:$K$2001,_MainTable!$F$2:$F$2001,$B21,_MainTable!$G$2:$G$2001,"&gt;="&amp;E$4,_MainTable!$G$2:$G$2001,"&lt;="&amp;EOMONTH(E$4,0)))</f>
        <v>0</v>
      </c>
      <c r="F21" s="19" t="n">
        <f aca="false">IF($B21="","",SUMIFS(_MainTable!$K$2:$K$2001,_MainTable!$F$2:$F$2001,$B21,_MainTable!$G$2:$G$2001,"&gt;="&amp;F$4,_MainTable!$G$2:$G$2001,"&lt;="&amp;EOMONTH(F$4,0)))</f>
        <v>0</v>
      </c>
      <c r="G21" s="19" t="n">
        <f aca="false">IF($B21="","",SUMIFS(_MainTable!$K$2:$K$2001,_MainTable!$F$2:$F$2001,$B21,_MainTable!$G$2:$G$2001,"&gt;="&amp;G$4,_MainTable!$G$2:$G$2001,"&lt;="&amp;EOMONTH(G$4,0)))</f>
        <v>0</v>
      </c>
      <c r="H21" s="19" t="n">
        <f aca="false">IF($B21="","",SUMIFS(_MainTable!$K$2:$K$2001,_MainTable!$F$2:$F$2001,$B21,_MainTable!$G$2:$G$2001,"&gt;="&amp;H$4,_MainTable!$G$2:$G$2001,"&lt;="&amp;EOMONTH(H$4,0)))</f>
        <v>18631.9</v>
      </c>
      <c r="I21" s="19" t="n">
        <f aca="false">IF($B21="","",SUMIFS(_MainTable!$K$2:$K$2001,_MainTable!$F$2:$F$2001,$B21,_MainTable!$G$2:$G$2001,"&gt;="&amp;I$4,_MainTable!$G$2:$G$2001,"&lt;="&amp;EOMONTH(I$4,0)))</f>
        <v>67033.59</v>
      </c>
      <c r="J21" s="19" t="n">
        <f aca="false">IF($B21="","",SUMIFS(_MainTable!$K$2:$K$2001,_MainTable!$F$2:$F$2001,$B21,_MainTable!$G$2:$G$2001,"&gt;="&amp;J$4,_MainTable!$G$2:$G$2001,"&lt;="&amp;EOMONTH(J$4,0)))</f>
        <v>73074.71</v>
      </c>
      <c r="K21" s="19" t="n">
        <f aca="false">IF($B21="","",SUMIFS(_MainTable!$K$2:$K$2001,_MainTable!$F$2:$F$2001,$B21,_MainTable!$G$2:$G$2001,"&gt;="&amp;K$4,_MainTable!$G$2:$G$2001,"&lt;="&amp;EOMONTH(K$4,0)))</f>
        <v>71696.26</v>
      </c>
      <c r="L21" s="19" t="n">
        <f aca="false">IF($B21="","",SUMIFS(_MainTable!$K$2:$K$2001,_MainTable!$F$2:$F$2001,$B21,_MainTable!$G$2:$G$2001,"&gt;="&amp;L$4,_MainTable!$G$2:$G$2001,"&lt;="&amp;EOMONTH(L$4,0)))</f>
        <v>69886.44</v>
      </c>
      <c r="M21" s="19" t="n">
        <f aca="false">IF($B21="","",SUMIFS(_MainTable!$K$2:$K$2001,_MainTable!$F$2:$F$2001,$B21,_MainTable!$G$2:$G$2001,"&gt;="&amp;M$4,_MainTable!$G$2:$G$2001,"&lt;="&amp;EOMONTH(M$4,0)))</f>
        <v>12699.84</v>
      </c>
      <c r="N21" s="19" t="n">
        <f aca="false">IF($B21="","",SUMIFS(_MainTable!$K$2:$K$2001,_MainTable!$F$2:$F$2001,$B21,_MainTable!$G$2:$G$2001,"&gt;="&amp;N$4,_MainTable!$G$2:$G$2001,"&lt;="&amp;EOMONTH(N$4,0)))</f>
        <v>0</v>
      </c>
      <c r="O21" s="30" t="n">
        <f aca="false">IF($B21="","",SUM(C21:N21))</f>
        <v>313022.74</v>
      </c>
    </row>
    <row r="22" customFormat="false" ht="15" hidden="false" customHeight="false" outlineLevel="0" collapsed="false">
      <c r="A22" s="17" t="str">
        <f aca="false">IF('PO Tracker'!$A22="","",'PO Tracker'!$A22)</f>
        <v>RMP LLC</v>
      </c>
      <c r="B22" s="29" t="n">
        <f aca="false">IF('PO Tracker'!$B22="","",'PO Tracker'!$B22)</f>
        <v>10415</v>
      </c>
      <c r="C22" s="19" t="n">
        <f aca="false">IF($B22="","",SUMIFS(_MainTable!$K$2:$K$2001,_MainTable!$F$2:$F$2001,$B22,_MainTable!$G$2:$G$2001,"&gt;="&amp;C$4,_MainTable!$G$2:$G$2001,"&lt;="&amp;EOMONTH(C$4,0)))</f>
        <v>0</v>
      </c>
      <c r="D22" s="19" t="n">
        <f aca="false">IF($B22="","",SUMIFS(_MainTable!$K$2:$K$2001,_MainTable!$F$2:$F$2001,$B22,_MainTable!$G$2:$G$2001,"&gt;="&amp;D$4,_MainTable!$G$2:$G$2001,"&lt;="&amp;EOMONTH(D$4,0)))</f>
        <v>0</v>
      </c>
      <c r="E22" s="19" t="n">
        <f aca="false">IF($B22="","",SUMIFS(_MainTable!$K$2:$K$2001,_MainTable!$F$2:$F$2001,$B22,_MainTable!$G$2:$G$2001,"&gt;="&amp;E$4,_MainTable!$G$2:$G$2001,"&lt;="&amp;EOMONTH(E$4,0)))</f>
        <v>0</v>
      </c>
      <c r="F22" s="19" t="n">
        <f aca="false">IF($B22="","",SUMIFS(_MainTable!$K$2:$K$2001,_MainTable!$F$2:$F$2001,$B22,_MainTable!$G$2:$G$2001,"&gt;="&amp;F$4,_MainTable!$G$2:$G$2001,"&lt;="&amp;EOMONTH(F$4,0)))</f>
        <v>0</v>
      </c>
      <c r="G22" s="19" t="n">
        <f aca="false">IF($B22="","",SUMIFS(_MainTable!$K$2:$K$2001,_MainTable!$F$2:$F$2001,$B22,_MainTable!$G$2:$G$2001,"&gt;="&amp;G$4,_MainTable!$G$2:$G$2001,"&lt;="&amp;EOMONTH(G$4,0)))</f>
        <v>0</v>
      </c>
      <c r="H22" s="19" t="n">
        <f aca="false">IF($B22="","",SUMIFS(_MainTable!$K$2:$K$2001,_MainTable!$F$2:$F$2001,$B22,_MainTable!$G$2:$G$2001,"&gt;="&amp;H$4,_MainTable!$G$2:$G$2001,"&lt;="&amp;EOMONTH(H$4,0)))</f>
        <v>21148.49</v>
      </c>
      <c r="I22" s="19" t="n">
        <f aca="false">IF($B22="","",SUMIFS(_MainTable!$K$2:$K$2001,_MainTable!$F$2:$F$2001,$B22,_MainTable!$G$2:$G$2001,"&gt;="&amp;I$4,_MainTable!$G$2:$G$2001,"&lt;="&amp;EOMONTH(I$4,0)))</f>
        <v>57245.4</v>
      </c>
      <c r="J22" s="19" t="n">
        <f aca="false">IF($B22="","",SUMIFS(_MainTable!$K$2:$K$2001,_MainTable!$F$2:$F$2001,$B22,_MainTable!$G$2:$G$2001,"&gt;="&amp;J$4,_MainTable!$G$2:$G$2001,"&lt;="&amp;EOMONTH(J$4,0)))</f>
        <v>43360.26</v>
      </c>
      <c r="K22" s="19" t="n">
        <f aca="false">IF($B22="","",SUMIFS(_MainTable!$K$2:$K$2001,_MainTable!$F$2:$F$2001,$B22,_MainTable!$G$2:$G$2001,"&gt;="&amp;K$4,_MainTable!$G$2:$G$2001,"&lt;="&amp;EOMONTH(K$4,0)))</f>
        <v>42837.5</v>
      </c>
      <c r="L22" s="19" t="n">
        <f aca="false">IF($B22="","",SUMIFS(_MainTable!$K$2:$K$2001,_MainTable!$F$2:$F$2001,$B22,_MainTable!$G$2:$G$2001,"&gt;="&amp;L$4,_MainTable!$G$2:$G$2001,"&lt;="&amp;EOMONTH(L$4,0)))</f>
        <v>62935.98</v>
      </c>
      <c r="M22" s="19" t="n">
        <f aca="false">IF($B22="","",SUMIFS(_MainTable!$K$2:$K$2001,_MainTable!$F$2:$F$2001,$B22,_MainTable!$G$2:$G$2001,"&gt;="&amp;M$4,_MainTable!$G$2:$G$2001,"&lt;="&amp;EOMONTH(M$4,0)))</f>
        <v>33747.57</v>
      </c>
      <c r="N22" s="19" t="n">
        <f aca="false">IF($B22="","",SUMIFS(_MainTable!$K$2:$K$2001,_MainTable!$F$2:$F$2001,$B22,_MainTable!$G$2:$G$2001,"&gt;="&amp;N$4,_MainTable!$G$2:$G$2001,"&lt;="&amp;EOMONTH(N$4,0)))</f>
        <v>0</v>
      </c>
      <c r="O22" s="30" t="n">
        <f aca="false">IF($B22="","",SUM(C22:N22))</f>
        <v>261275.2</v>
      </c>
    </row>
    <row r="23" customFormat="false" ht="15" hidden="false" customHeight="false" outlineLevel="0" collapsed="false">
      <c r="A23" s="17" t="str">
        <f aca="false">IF('PO Tracker'!$A23="","",'PO Tracker'!$A23)</f>
        <v>RMP LLC</v>
      </c>
      <c r="B23" s="29" t="n">
        <f aca="false">IF('PO Tracker'!$B23="","",'PO Tracker'!$B23)</f>
        <v>10417</v>
      </c>
      <c r="C23" s="19" t="n">
        <f aca="false">IF($B23="","",SUMIFS(_MainTable!$K$2:$K$2001,_MainTable!$F$2:$F$2001,$B23,_MainTable!$G$2:$G$2001,"&gt;="&amp;C$4,_MainTable!$G$2:$G$2001,"&lt;="&amp;EOMONTH(C$4,0)))</f>
        <v>0</v>
      </c>
      <c r="D23" s="19" t="n">
        <f aca="false">IF($B23="","",SUMIFS(_MainTable!$K$2:$K$2001,_MainTable!$F$2:$F$2001,$B23,_MainTable!$G$2:$G$2001,"&gt;="&amp;D$4,_MainTable!$G$2:$G$2001,"&lt;="&amp;EOMONTH(D$4,0)))</f>
        <v>0</v>
      </c>
      <c r="E23" s="19" t="n">
        <f aca="false">IF($B23="","",SUMIFS(_MainTable!$K$2:$K$2001,_MainTable!$F$2:$F$2001,$B23,_MainTable!$G$2:$G$2001,"&gt;="&amp;E$4,_MainTable!$G$2:$G$2001,"&lt;="&amp;EOMONTH(E$4,0)))</f>
        <v>0</v>
      </c>
      <c r="F23" s="19" t="n">
        <f aca="false">IF($B23="","",SUMIFS(_MainTable!$K$2:$K$2001,_MainTable!$F$2:$F$2001,$B23,_MainTable!$G$2:$G$2001,"&gt;="&amp;F$4,_MainTable!$G$2:$G$2001,"&lt;="&amp;EOMONTH(F$4,0)))</f>
        <v>0</v>
      </c>
      <c r="G23" s="19" t="n">
        <f aca="false">IF($B23="","",SUMIFS(_MainTable!$K$2:$K$2001,_MainTable!$F$2:$F$2001,$B23,_MainTable!$G$2:$G$2001,"&gt;="&amp;G$4,_MainTable!$G$2:$G$2001,"&lt;="&amp;EOMONTH(G$4,0)))</f>
        <v>0</v>
      </c>
      <c r="H23" s="19" t="n">
        <f aca="false">IF($B23="","",SUMIFS(_MainTable!$K$2:$K$2001,_MainTable!$F$2:$F$2001,$B23,_MainTable!$G$2:$G$2001,"&gt;="&amp;H$4,_MainTable!$G$2:$G$2001,"&lt;="&amp;EOMONTH(H$4,0)))</f>
        <v>55534.24</v>
      </c>
      <c r="I23" s="19" t="n">
        <f aca="false">IF($B23="","",SUMIFS(_MainTable!$K$2:$K$2001,_MainTable!$F$2:$F$2001,$B23,_MainTable!$G$2:$G$2001,"&gt;="&amp;I$4,_MainTable!$G$2:$G$2001,"&lt;="&amp;EOMONTH(I$4,0)))</f>
        <v>152903.94</v>
      </c>
      <c r="J23" s="19" t="n">
        <f aca="false">IF($B23="","",SUMIFS(_MainTable!$K$2:$K$2001,_MainTable!$F$2:$F$2001,$B23,_MainTable!$G$2:$G$2001,"&gt;="&amp;J$4,_MainTable!$G$2:$G$2001,"&lt;="&amp;EOMONTH(J$4,0)))</f>
        <v>173335.93</v>
      </c>
      <c r="K23" s="19" t="n">
        <f aca="false">IF($B23="","",SUMIFS(_MainTable!$K$2:$K$2001,_MainTable!$F$2:$F$2001,$B23,_MainTable!$G$2:$G$2001,"&gt;="&amp;K$4,_MainTable!$G$2:$G$2001,"&lt;="&amp;EOMONTH(K$4,0)))</f>
        <v>153798.01</v>
      </c>
      <c r="L23" s="19" t="n">
        <f aca="false">IF($B23="","",SUMIFS(_MainTable!$K$2:$K$2001,_MainTable!$F$2:$F$2001,$B23,_MainTable!$G$2:$G$2001,"&gt;="&amp;L$4,_MainTable!$G$2:$G$2001,"&lt;="&amp;EOMONTH(L$4,0)))</f>
        <v>140385.77</v>
      </c>
      <c r="M23" s="19" t="n">
        <f aca="false">IF($B23="","",SUMIFS(_MainTable!$K$2:$K$2001,_MainTable!$F$2:$F$2001,$B23,_MainTable!$G$2:$G$2001,"&gt;="&amp;M$4,_MainTable!$G$2:$G$2001,"&lt;="&amp;EOMONTH(M$4,0)))</f>
        <v>61831.56</v>
      </c>
      <c r="N23" s="19" t="n">
        <f aca="false">IF($B23="","",SUMIFS(_MainTable!$K$2:$K$2001,_MainTable!$F$2:$F$2001,$B23,_MainTable!$G$2:$G$2001,"&gt;="&amp;N$4,_MainTable!$G$2:$G$2001,"&lt;="&amp;EOMONTH(N$4,0)))</f>
        <v>0</v>
      </c>
      <c r="O23" s="30" t="n">
        <f aca="false">IF($B23="","",SUM(C23:N23))</f>
        <v>737789.45</v>
      </c>
    </row>
    <row r="24" customFormat="false" ht="15" hidden="false" customHeight="false" outlineLevel="0" collapsed="false">
      <c r="A24" s="17" t="str">
        <f aca="false">IF('PO Tracker'!$A24="","",'PO Tracker'!$A24)</f>
        <v>RMP LLC</v>
      </c>
      <c r="B24" s="29" t="n">
        <f aca="false">IF('PO Tracker'!$B24="","",'PO Tracker'!$B24)</f>
        <v>10418</v>
      </c>
      <c r="C24" s="19" t="n">
        <f aca="false">IF($B24="","",SUMIFS(_MainTable!$K$2:$K$2001,_MainTable!$F$2:$F$2001,$B24,_MainTable!$G$2:$G$2001,"&gt;="&amp;C$4,_MainTable!$G$2:$G$2001,"&lt;="&amp;EOMONTH(C$4,0)))</f>
        <v>0</v>
      </c>
      <c r="D24" s="19" t="n">
        <f aca="false">IF($B24="","",SUMIFS(_MainTable!$K$2:$K$2001,_MainTable!$F$2:$F$2001,$B24,_MainTable!$G$2:$G$2001,"&gt;="&amp;D$4,_MainTable!$G$2:$G$2001,"&lt;="&amp;EOMONTH(D$4,0)))</f>
        <v>0</v>
      </c>
      <c r="E24" s="19" t="n">
        <f aca="false">IF($B24="","",SUMIFS(_MainTable!$K$2:$K$2001,_MainTable!$F$2:$F$2001,$B24,_MainTable!$G$2:$G$2001,"&gt;="&amp;E$4,_MainTable!$G$2:$G$2001,"&lt;="&amp;EOMONTH(E$4,0)))</f>
        <v>0</v>
      </c>
      <c r="F24" s="19" t="n">
        <f aca="false">IF($B24="","",SUMIFS(_MainTable!$K$2:$K$2001,_MainTable!$F$2:$F$2001,$B24,_MainTable!$G$2:$G$2001,"&gt;="&amp;F$4,_MainTable!$G$2:$G$2001,"&lt;="&amp;EOMONTH(F$4,0)))</f>
        <v>0</v>
      </c>
      <c r="G24" s="19" t="n">
        <f aca="false">IF($B24="","",SUMIFS(_MainTable!$K$2:$K$2001,_MainTable!$F$2:$F$2001,$B24,_MainTable!$G$2:$G$2001,"&gt;="&amp;G$4,_MainTable!$G$2:$G$2001,"&lt;="&amp;EOMONTH(G$4,0)))</f>
        <v>0</v>
      </c>
      <c r="H24" s="19" t="n">
        <f aca="false">IF($B24="","",SUMIFS(_MainTable!$K$2:$K$2001,_MainTable!$F$2:$F$2001,$B24,_MainTable!$G$2:$G$2001,"&gt;="&amp;H$4,_MainTable!$G$2:$G$2001,"&lt;="&amp;EOMONTH(H$4,0)))</f>
        <v>0</v>
      </c>
      <c r="I24" s="19" t="n">
        <f aca="false">IF($B24="","",SUMIFS(_MainTable!$K$2:$K$2001,_MainTable!$F$2:$F$2001,$B24,_MainTable!$G$2:$G$2001,"&gt;="&amp;I$4,_MainTable!$G$2:$G$2001,"&lt;="&amp;EOMONTH(I$4,0)))</f>
        <v>0</v>
      </c>
      <c r="J24" s="19" t="n">
        <f aca="false">IF($B24="","",SUMIFS(_MainTable!$K$2:$K$2001,_MainTable!$F$2:$F$2001,$B24,_MainTable!$G$2:$G$2001,"&gt;="&amp;J$4,_MainTable!$G$2:$G$2001,"&lt;="&amp;EOMONTH(J$4,0)))</f>
        <v>195240.36</v>
      </c>
      <c r="K24" s="19" t="n">
        <f aca="false">IF($B24="","",SUMIFS(_MainTable!$K$2:$K$2001,_MainTable!$F$2:$F$2001,$B24,_MainTable!$G$2:$G$2001,"&gt;="&amp;K$4,_MainTable!$G$2:$G$2001,"&lt;="&amp;EOMONTH(K$4,0)))</f>
        <v>64794.28</v>
      </c>
      <c r="L24" s="19" t="n">
        <f aca="false">IF($B24="","",SUMIFS(_MainTable!$K$2:$K$2001,_MainTable!$F$2:$F$2001,$B24,_MainTable!$G$2:$G$2001,"&gt;="&amp;L$4,_MainTable!$G$2:$G$2001,"&lt;="&amp;EOMONTH(L$4,0)))</f>
        <v>73168.98</v>
      </c>
      <c r="M24" s="19" t="n">
        <f aca="false">IF($B24="","",SUMIFS(_MainTable!$K$2:$K$2001,_MainTable!$F$2:$F$2001,$B24,_MainTable!$G$2:$G$2001,"&gt;="&amp;M$4,_MainTable!$G$2:$G$2001,"&lt;="&amp;EOMONTH(M$4,0)))</f>
        <v>0</v>
      </c>
      <c r="N24" s="19" t="n">
        <f aca="false">IF($B24="","",SUMIFS(_MainTable!$K$2:$K$2001,_MainTable!$F$2:$F$2001,$B24,_MainTable!$G$2:$G$2001,"&gt;="&amp;N$4,_MainTable!$G$2:$G$2001,"&lt;="&amp;EOMONTH(N$4,0)))</f>
        <v>0</v>
      </c>
      <c r="O24" s="30" t="n">
        <f aca="false">IF($B24="","",SUM(C24:N24))</f>
        <v>333203.62</v>
      </c>
    </row>
    <row r="25" customFormat="false" ht="15" hidden="false" customHeight="false" outlineLevel="0" collapsed="false">
      <c r="A25" s="17" t="str">
        <f aca="false">IF('PO Tracker'!$A25="","",'PO Tracker'!$A25)</f>
        <v>RMP LLC</v>
      </c>
      <c r="B25" s="29" t="n">
        <f aca="false">IF('PO Tracker'!$B25="","",'PO Tracker'!$B25)</f>
        <v>10419</v>
      </c>
      <c r="C25" s="19" t="n">
        <f aca="false">IF($B25="","",SUMIFS(_MainTable!$K$2:$K$2001,_MainTable!$F$2:$F$2001,$B25,_MainTable!$G$2:$G$2001,"&gt;="&amp;C$4,_MainTable!$G$2:$G$2001,"&lt;="&amp;EOMONTH(C$4,0)))</f>
        <v>0</v>
      </c>
      <c r="D25" s="19" t="n">
        <f aca="false">IF($B25="","",SUMIFS(_MainTable!$K$2:$K$2001,_MainTable!$F$2:$F$2001,$B25,_MainTable!$G$2:$G$2001,"&gt;="&amp;D$4,_MainTable!$G$2:$G$2001,"&lt;="&amp;EOMONTH(D$4,0)))</f>
        <v>0</v>
      </c>
      <c r="E25" s="19" t="n">
        <f aca="false">IF($B25="","",SUMIFS(_MainTable!$K$2:$K$2001,_MainTable!$F$2:$F$2001,$B25,_MainTable!$G$2:$G$2001,"&gt;="&amp;E$4,_MainTable!$G$2:$G$2001,"&lt;="&amp;EOMONTH(E$4,0)))</f>
        <v>0</v>
      </c>
      <c r="F25" s="19" t="n">
        <f aca="false">IF($B25="","",SUMIFS(_MainTable!$K$2:$K$2001,_MainTable!$F$2:$F$2001,$B25,_MainTable!$G$2:$G$2001,"&gt;="&amp;F$4,_MainTable!$G$2:$G$2001,"&lt;="&amp;EOMONTH(F$4,0)))</f>
        <v>0</v>
      </c>
      <c r="G25" s="19" t="n">
        <f aca="false">IF($B25="","",SUMIFS(_MainTable!$K$2:$K$2001,_MainTable!$F$2:$F$2001,$B25,_MainTable!$G$2:$G$2001,"&gt;="&amp;G$4,_MainTable!$G$2:$G$2001,"&lt;="&amp;EOMONTH(G$4,0)))</f>
        <v>0</v>
      </c>
      <c r="H25" s="19" t="n">
        <f aca="false">IF($B25="","",SUMIFS(_MainTable!$K$2:$K$2001,_MainTable!$F$2:$F$2001,$B25,_MainTable!$G$2:$G$2001,"&gt;="&amp;H$4,_MainTable!$G$2:$G$2001,"&lt;="&amp;EOMONTH(H$4,0)))</f>
        <v>0</v>
      </c>
      <c r="I25" s="19" t="n">
        <f aca="false">IF($B25="","",SUMIFS(_MainTable!$K$2:$K$2001,_MainTable!$F$2:$F$2001,$B25,_MainTable!$G$2:$G$2001,"&gt;="&amp;I$4,_MainTable!$G$2:$G$2001,"&lt;="&amp;EOMONTH(I$4,0)))</f>
        <v>0</v>
      </c>
      <c r="J25" s="19" t="n">
        <f aca="false">IF($B25="","",SUMIFS(_MainTable!$K$2:$K$2001,_MainTable!$F$2:$F$2001,$B25,_MainTable!$G$2:$G$2001,"&gt;="&amp;J$4,_MainTable!$G$2:$G$2001,"&lt;="&amp;EOMONTH(J$4,0)))</f>
        <v>82886.1</v>
      </c>
      <c r="K25" s="19" t="n">
        <f aca="false">IF($B25="","",SUMIFS(_MainTable!$K$2:$K$2001,_MainTable!$F$2:$F$2001,$B25,_MainTable!$G$2:$G$2001,"&gt;="&amp;K$4,_MainTable!$G$2:$G$2001,"&lt;="&amp;EOMONTH(K$4,0)))</f>
        <v>31231.82</v>
      </c>
      <c r="L25" s="19" t="n">
        <f aca="false">IF($B25="","",SUMIFS(_MainTable!$K$2:$K$2001,_MainTable!$F$2:$F$2001,$B25,_MainTable!$G$2:$G$2001,"&gt;="&amp;L$4,_MainTable!$G$2:$G$2001,"&lt;="&amp;EOMONTH(L$4,0)))</f>
        <v>30828.16</v>
      </c>
      <c r="M25" s="19" t="n">
        <f aca="false">IF($B25="","",SUMIFS(_MainTable!$K$2:$K$2001,_MainTable!$F$2:$F$2001,$B25,_MainTable!$G$2:$G$2001,"&gt;="&amp;M$4,_MainTable!$G$2:$G$2001,"&lt;="&amp;EOMONTH(M$4,0)))</f>
        <v>0</v>
      </c>
      <c r="N25" s="19" t="n">
        <f aca="false">IF($B25="","",SUMIFS(_MainTable!$K$2:$K$2001,_MainTable!$F$2:$F$2001,$B25,_MainTable!$G$2:$G$2001,"&gt;="&amp;N$4,_MainTable!$G$2:$G$2001,"&lt;="&amp;EOMONTH(N$4,0)))</f>
        <v>0</v>
      </c>
      <c r="O25" s="30" t="n">
        <f aca="false">IF($B25="","",SUM(C25:N25))</f>
        <v>144946.08</v>
      </c>
    </row>
    <row r="26" customFormat="false" ht="15" hidden="false" customHeight="false" outlineLevel="0" collapsed="false">
      <c r="A26" s="17" t="str">
        <f aca="false">IF('PO Tracker'!$A26="","",'PO Tracker'!$A26)</f>
        <v>RMP LLC</v>
      </c>
      <c r="B26" s="29" t="n">
        <f aca="false">IF('PO Tracker'!$B26="","",'PO Tracker'!$B26)</f>
        <v>10420</v>
      </c>
      <c r="C26" s="19" t="n">
        <f aca="false">IF($B26="","",SUMIFS(_MainTable!$K$2:$K$2001,_MainTable!$F$2:$F$2001,$B26,_MainTable!$G$2:$G$2001,"&gt;="&amp;C$4,_MainTable!$G$2:$G$2001,"&lt;="&amp;EOMONTH(C$4,0)))</f>
        <v>0</v>
      </c>
      <c r="D26" s="19" t="n">
        <f aca="false">IF($B26="","",SUMIFS(_MainTable!$K$2:$K$2001,_MainTable!$F$2:$F$2001,$B26,_MainTable!$G$2:$G$2001,"&gt;="&amp;D$4,_MainTable!$G$2:$G$2001,"&lt;="&amp;EOMONTH(D$4,0)))</f>
        <v>0</v>
      </c>
      <c r="E26" s="19" t="n">
        <f aca="false">IF($B26="","",SUMIFS(_MainTable!$K$2:$K$2001,_MainTable!$F$2:$F$2001,$B26,_MainTable!$G$2:$G$2001,"&gt;="&amp;E$4,_MainTable!$G$2:$G$2001,"&lt;="&amp;EOMONTH(E$4,0)))</f>
        <v>0</v>
      </c>
      <c r="F26" s="19" t="n">
        <f aca="false">IF($B26="","",SUMIFS(_MainTable!$K$2:$K$2001,_MainTable!$F$2:$F$2001,$B26,_MainTable!$G$2:$G$2001,"&gt;="&amp;F$4,_MainTable!$G$2:$G$2001,"&lt;="&amp;EOMONTH(F$4,0)))</f>
        <v>0</v>
      </c>
      <c r="G26" s="19" t="n">
        <f aca="false">IF($B26="","",SUMIFS(_MainTable!$K$2:$K$2001,_MainTable!$F$2:$F$2001,$B26,_MainTable!$G$2:$G$2001,"&gt;="&amp;G$4,_MainTable!$G$2:$G$2001,"&lt;="&amp;EOMONTH(G$4,0)))</f>
        <v>0</v>
      </c>
      <c r="H26" s="19" t="n">
        <f aca="false">IF($B26="","",SUMIFS(_MainTable!$K$2:$K$2001,_MainTable!$F$2:$F$2001,$B26,_MainTable!$G$2:$G$2001,"&gt;="&amp;H$4,_MainTable!$G$2:$G$2001,"&lt;="&amp;EOMONTH(H$4,0)))</f>
        <v>0</v>
      </c>
      <c r="I26" s="19" t="n">
        <f aca="false">IF($B26="","",SUMIFS(_MainTable!$K$2:$K$2001,_MainTable!$F$2:$F$2001,$B26,_MainTable!$G$2:$G$2001,"&gt;="&amp;I$4,_MainTable!$G$2:$G$2001,"&lt;="&amp;EOMONTH(I$4,0)))</f>
        <v>0</v>
      </c>
      <c r="J26" s="19" t="n">
        <f aca="false">IF($B26="","",SUMIFS(_MainTable!$K$2:$K$2001,_MainTable!$F$2:$F$2001,$B26,_MainTable!$G$2:$G$2001,"&gt;="&amp;J$4,_MainTable!$G$2:$G$2001,"&lt;="&amp;EOMONTH(J$4,0)))</f>
        <v>480</v>
      </c>
      <c r="K26" s="19" t="n">
        <f aca="false">IF($B26="","",SUMIFS(_MainTable!$K$2:$K$2001,_MainTable!$F$2:$F$2001,$B26,_MainTable!$G$2:$G$2001,"&gt;="&amp;K$4,_MainTable!$G$2:$G$2001,"&lt;="&amp;EOMONTH(K$4,0)))</f>
        <v>60</v>
      </c>
      <c r="L26" s="19" t="n">
        <f aca="false">IF($B26="","",SUMIFS(_MainTable!$K$2:$K$2001,_MainTable!$F$2:$F$2001,$B26,_MainTable!$G$2:$G$2001,"&gt;="&amp;L$4,_MainTable!$G$2:$G$2001,"&lt;="&amp;EOMONTH(L$4,0)))</f>
        <v>60</v>
      </c>
      <c r="M26" s="19" t="n">
        <f aca="false">IF($B26="","",SUMIFS(_MainTable!$K$2:$K$2001,_MainTable!$F$2:$F$2001,$B26,_MainTable!$G$2:$G$2001,"&gt;="&amp;M$4,_MainTable!$G$2:$G$2001,"&lt;="&amp;EOMONTH(M$4,0)))</f>
        <v>0</v>
      </c>
      <c r="N26" s="19" t="n">
        <f aca="false">IF($B26="","",SUMIFS(_MainTable!$K$2:$K$2001,_MainTable!$F$2:$F$2001,$B26,_MainTable!$G$2:$G$2001,"&gt;="&amp;N$4,_MainTable!$G$2:$G$2001,"&lt;="&amp;EOMONTH(N$4,0)))</f>
        <v>0</v>
      </c>
      <c r="O26" s="30" t="n">
        <f aca="false">IF($B26="","",SUM(C26:N26))</f>
        <v>600</v>
      </c>
    </row>
    <row r="27" customFormat="false" ht="15" hidden="false" customHeight="false" outlineLevel="0" collapsed="false">
      <c r="A27" s="17" t="str">
        <f aca="false">IF('PO Tracker'!$A27="","",'PO Tracker'!$A27)</f>
        <v>REVSPRING INC</v>
      </c>
      <c r="B27" s="29" t="n">
        <f aca="false">IF('PO Tracker'!$B27="","",'PO Tracker'!$B27)</f>
        <v>10423</v>
      </c>
      <c r="C27" s="19" t="n">
        <f aca="false">IF($B27="","",SUMIFS(_MainTable!$K$2:$K$2001,_MainTable!$F$2:$F$2001,$B27,_MainTable!$G$2:$G$2001,"&gt;="&amp;C$4,_MainTable!$G$2:$G$2001,"&lt;="&amp;EOMONTH(C$4,0)))</f>
        <v>0</v>
      </c>
      <c r="D27" s="19" t="n">
        <f aca="false">IF($B27="","",SUMIFS(_MainTable!$K$2:$K$2001,_MainTable!$F$2:$F$2001,$B27,_MainTable!$G$2:$G$2001,"&gt;="&amp;D$4,_MainTable!$G$2:$G$2001,"&lt;="&amp;EOMONTH(D$4,0)))</f>
        <v>0</v>
      </c>
      <c r="E27" s="19" t="n">
        <f aca="false">IF($B27="","",SUMIFS(_MainTable!$K$2:$K$2001,_MainTable!$F$2:$F$2001,$B27,_MainTable!$G$2:$G$2001,"&gt;="&amp;E$4,_MainTable!$G$2:$G$2001,"&lt;="&amp;EOMONTH(E$4,0)))</f>
        <v>0</v>
      </c>
      <c r="F27" s="19" t="n">
        <f aca="false">IF($B27="","",SUMIFS(_MainTable!$K$2:$K$2001,_MainTable!$F$2:$F$2001,$B27,_MainTable!$G$2:$G$2001,"&gt;="&amp;F$4,_MainTable!$G$2:$G$2001,"&lt;="&amp;EOMONTH(F$4,0)))</f>
        <v>0</v>
      </c>
      <c r="G27" s="19" t="n">
        <f aca="false">IF($B27="","",SUMIFS(_MainTable!$K$2:$K$2001,_MainTable!$F$2:$F$2001,$B27,_MainTable!$G$2:$G$2001,"&gt;="&amp;G$4,_MainTable!$G$2:$G$2001,"&lt;="&amp;EOMONTH(G$4,0)))</f>
        <v>0</v>
      </c>
      <c r="H27" s="19" t="n">
        <f aca="false">IF($B27="","",SUMIFS(_MainTable!$K$2:$K$2001,_MainTable!$F$2:$F$2001,$B27,_MainTable!$G$2:$G$2001,"&gt;="&amp;H$4,_MainTable!$G$2:$G$2001,"&lt;="&amp;EOMONTH(H$4,0)))</f>
        <v>0</v>
      </c>
      <c r="I27" s="19" t="n">
        <f aca="false">IF($B27="","",SUMIFS(_MainTable!$K$2:$K$2001,_MainTable!$F$2:$F$2001,$B27,_MainTable!$G$2:$G$2001,"&gt;="&amp;I$4,_MainTable!$G$2:$G$2001,"&lt;="&amp;EOMONTH(I$4,0)))</f>
        <v>9107.25</v>
      </c>
      <c r="J27" s="19" t="n">
        <f aca="false">IF($B27="","",SUMIFS(_MainTable!$K$2:$K$2001,_MainTable!$F$2:$F$2001,$B27,_MainTable!$G$2:$G$2001,"&gt;="&amp;J$4,_MainTable!$G$2:$G$2001,"&lt;="&amp;EOMONTH(J$4,0)))</f>
        <v>9116.33</v>
      </c>
      <c r="K27" s="19" t="n">
        <f aca="false">IF($B27="","",SUMIFS(_MainTable!$K$2:$K$2001,_MainTable!$F$2:$F$2001,$B27,_MainTable!$G$2:$G$2001,"&gt;="&amp;K$4,_MainTable!$G$2:$G$2001,"&lt;="&amp;EOMONTH(K$4,0)))</f>
        <v>9111.67</v>
      </c>
      <c r="L27" s="19" t="n">
        <f aca="false">IF($B27="","",SUMIFS(_MainTable!$K$2:$K$2001,_MainTable!$F$2:$F$2001,$B27,_MainTable!$G$2:$G$2001,"&gt;="&amp;L$4,_MainTable!$G$2:$G$2001,"&lt;="&amp;EOMONTH(L$4,0)))</f>
        <v>20892.1</v>
      </c>
      <c r="M27" s="19" t="n">
        <f aca="false">IF($B27="","",SUMIFS(_MainTable!$K$2:$K$2001,_MainTable!$F$2:$F$2001,$B27,_MainTable!$G$2:$G$2001,"&gt;="&amp;M$4,_MainTable!$G$2:$G$2001,"&lt;="&amp;EOMONTH(M$4,0)))</f>
        <v>0</v>
      </c>
      <c r="N27" s="19" t="n">
        <f aca="false">IF($B27="","",SUMIFS(_MainTable!$K$2:$K$2001,_MainTable!$F$2:$F$2001,$B27,_MainTable!$G$2:$G$2001,"&gt;="&amp;N$4,_MainTable!$G$2:$G$2001,"&lt;="&amp;EOMONTH(N$4,0)))</f>
        <v>0</v>
      </c>
      <c r="O27" s="30" t="n">
        <f aca="false">IF($B27="","",SUM(C27:N27))</f>
        <v>48227.35</v>
      </c>
    </row>
    <row r="28" customFormat="false" ht="15" hidden="false" customHeight="false" outlineLevel="0" collapsed="false">
      <c r="A28" s="17" t="str">
        <f aca="false">IF('PO Tracker'!$A28="","",'PO Tracker'!$A28)</f>
        <v>REVSPRING INC</v>
      </c>
      <c r="B28" s="29" t="n">
        <f aca="false">IF('PO Tracker'!$B28="","",'PO Tracker'!$B28)</f>
        <v>10424</v>
      </c>
      <c r="C28" s="19" t="n">
        <f aca="false">IF($B28="","",SUMIFS(_MainTable!$K$2:$K$2001,_MainTable!$F$2:$F$2001,$B28,_MainTable!$G$2:$G$2001,"&gt;="&amp;C$4,_MainTable!$G$2:$G$2001,"&lt;="&amp;EOMONTH(C$4,0)))</f>
        <v>0</v>
      </c>
      <c r="D28" s="19" t="n">
        <f aca="false">IF($B28="","",SUMIFS(_MainTable!$K$2:$K$2001,_MainTable!$F$2:$F$2001,$B28,_MainTable!$G$2:$G$2001,"&gt;="&amp;D$4,_MainTable!$G$2:$G$2001,"&lt;="&amp;EOMONTH(D$4,0)))</f>
        <v>0</v>
      </c>
      <c r="E28" s="19" t="n">
        <f aca="false">IF($B28="","",SUMIFS(_MainTable!$K$2:$K$2001,_MainTable!$F$2:$F$2001,$B28,_MainTable!$G$2:$G$2001,"&gt;="&amp;E$4,_MainTable!$G$2:$G$2001,"&lt;="&amp;EOMONTH(E$4,0)))</f>
        <v>0</v>
      </c>
      <c r="F28" s="19" t="n">
        <f aca="false">IF($B28="","",SUMIFS(_MainTable!$K$2:$K$2001,_MainTable!$F$2:$F$2001,$B28,_MainTable!$G$2:$G$2001,"&gt;="&amp;F$4,_MainTable!$G$2:$G$2001,"&lt;="&amp;EOMONTH(F$4,0)))</f>
        <v>0</v>
      </c>
      <c r="G28" s="19" t="n">
        <f aca="false">IF($B28="","",SUMIFS(_MainTable!$K$2:$K$2001,_MainTable!$F$2:$F$2001,$B28,_MainTable!$G$2:$G$2001,"&gt;="&amp;G$4,_MainTable!$G$2:$G$2001,"&lt;="&amp;EOMONTH(G$4,0)))</f>
        <v>0</v>
      </c>
      <c r="H28" s="19" t="n">
        <f aca="false">IF($B28="","",SUMIFS(_MainTable!$K$2:$K$2001,_MainTable!$F$2:$F$2001,$B28,_MainTable!$G$2:$G$2001,"&gt;="&amp;H$4,_MainTable!$G$2:$G$2001,"&lt;="&amp;EOMONTH(H$4,0)))</f>
        <v>0</v>
      </c>
      <c r="I28" s="19" t="n">
        <f aca="false">IF($B28="","",SUMIFS(_MainTable!$K$2:$K$2001,_MainTable!$F$2:$F$2001,$B28,_MainTable!$G$2:$G$2001,"&gt;="&amp;I$4,_MainTable!$G$2:$G$2001,"&lt;="&amp;EOMONTH(I$4,0)))</f>
        <v>11769.02</v>
      </c>
      <c r="J28" s="19" t="n">
        <f aca="false">IF($B28="","",SUMIFS(_MainTable!$K$2:$K$2001,_MainTable!$F$2:$F$2001,$B28,_MainTable!$G$2:$G$2001,"&gt;="&amp;J$4,_MainTable!$G$2:$G$2001,"&lt;="&amp;EOMONTH(J$4,0)))</f>
        <v>11769.02</v>
      </c>
      <c r="K28" s="19" t="n">
        <f aca="false">IF($B28="","",SUMIFS(_MainTable!$K$2:$K$2001,_MainTable!$F$2:$F$2001,$B28,_MainTable!$G$2:$G$2001,"&gt;="&amp;K$4,_MainTable!$G$2:$G$2001,"&lt;="&amp;EOMONTH(K$4,0)))</f>
        <v>11769.02</v>
      </c>
      <c r="L28" s="19" t="n">
        <f aca="false">IF($B28="","",SUMIFS(_MainTable!$K$2:$K$2001,_MainTable!$F$2:$F$2001,$B28,_MainTable!$G$2:$G$2001,"&gt;="&amp;L$4,_MainTable!$G$2:$G$2001,"&lt;="&amp;EOMONTH(L$4,0)))</f>
        <v>0</v>
      </c>
      <c r="M28" s="19" t="n">
        <f aca="false">IF($B28="","",SUMIFS(_MainTable!$K$2:$K$2001,_MainTable!$F$2:$F$2001,$B28,_MainTable!$G$2:$G$2001,"&gt;="&amp;M$4,_MainTable!$G$2:$G$2001,"&lt;="&amp;EOMONTH(M$4,0)))</f>
        <v>0</v>
      </c>
      <c r="N28" s="19" t="n">
        <f aca="false">IF($B28="","",SUMIFS(_MainTable!$K$2:$K$2001,_MainTable!$F$2:$F$2001,$B28,_MainTable!$G$2:$G$2001,"&gt;="&amp;N$4,_MainTable!$G$2:$G$2001,"&lt;="&amp;EOMONTH(N$4,0)))</f>
        <v>0</v>
      </c>
      <c r="O28" s="30" t="n">
        <f aca="false">IF($B28="","",SUM(C28:N28))</f>
        <v>35307.06</v>
      </c>
    </row>
    <row r="29" customFormat="false" ht="15" hidden="false" customHeight="false" outlineLevel="0" collapsed="false">
      <c r="A29" s="17" t="str">
        <f aca="false">IF('PO Tracker'!$A29="","",'PO Tracker'!$A29)</f>
        <v>EXPERIAN HEALTH</v>
      </c>
      <c r="B29" s="29" t="n">
        <f aca="false">IF('PO Tracker'!$B29="","",'PO Tracker'!$B29)</f>
        <v>10473</v>
      </c>
      <c r="C29" s="19" t="n">
        <f aca="false">IF($B29="","",SUMIFS(_MainTable!$K$2:$K$2001,_MainTable!$F$2:$F$2001,$B29,_MainTable!$G$2:$G$2001,"&gt;="&amp;C$4,_MainTable!$G$2:$G$2001,"&lt;="&amp;EOMONTH(C$4,0)))</f>
        <v>0</v>
      </c>
      <c r="D29" s="19" t="n">
        <f aca="false">IF($B29="","",SUMIFS(_MainTable!$K$2:$K$2001,_MainTable!$F$2:$F$2001,$B29,_MainTable!$G$2:$G$2001,"&gt;="&amp;D$4,_MainTable!$G$2:$G$2001,"&lt;="&amp;EOMONTH(D$4,0)))</f>
        <v>0</v>
      </c>
      <c r="E29" s="19" t="n">
        <f aca="false">IF($B29="","",SUMIFS(_MainTable!$K$2:$K$2001,_MainTable!$F$2:$F$2001,$B29,_MainTable!$G$2:$G$2001,"&gt;="&amp;E$4,_MainTable!$G$2:$G$2001,"&lt;="&amp;EOMONTH(E$4,0)))</f>
        <v>0</v>
      </c>
      <c r="F29" s="19" t="n">
        <f aca="false">IF($B29="","",SUMIFS(_MainTable!$K$2:$K$2001,_MainTable!$F$2:$F$2001,$B29,_MainTable!$G$2:$G$2001,"&gt;="&amp;F$4,_MainTable!$G$2:$G$2001,"&lt;="&amp;EOMONTH(F$4,0)))</f>
        <v>0</v>
      </c>
      <c r="G29" s="19" t="n">
        <f aca="false">IF($B29="","",SUMIFS(_MainTable!$K$2:$K$2001,_MainTable!$F$2:$F$2001,$B29,_MainTable!$G$2:$G$2001,"&gt;="&amp;G$4,_MainTable!$G$2:$G$2001,"&lt;="&amp;EOMONTH(G$4,0)))</f>
        <v>0</v>
      </c>
      <c r="H29" s="19" t="n">
        <f aca="false">IF($B29="","",SUMIFS(_MainTable!$K$2:$K$2001,_MainTable!$F$2:$F$2001,$B29,_MainTable!$G$2:$G$2001,"&gt;="&amp;H$4,_MainTable!$G$2:$G$2001,"&lt;="&amp;EOMONTH(H$4,0)))</f>
        <v>164395.9</v>
      </c>
      <c r="I29" s="19" t="n">
        <f aca="false">IF($B29="","",SUMIFS(_MainTable!$K$2:$K$2001,_MainTable!$F$2:$F$2001,$B29,_MainTable!$G$2:$G$2001,"&gt;="&amp;I$4,_MainTable!$G$2:$G$2001,"&lt;="&amp;EOMONTH(I$4,0)))</f>
        <v>164231.07</v>
      </c>
      <c r="J29" s="19" t="n">
        <f aca="false">IF($B29="","",SUMIFS(_MainTable!$K$2:$K$2001,_MainTable!$F$2:$F$2001,$B29,_MainTable!$G$2:$G$2001,"&gt;="&amp;J$4,_MainTable!$G$2:$G$2001,"&lt;="&amp;EOMONTH(J$4,0)))</f>
        <v>163831.63</v>
      </c>
      <c r="K29" s="19" t="n">
        <f aca="false">IF($B29="","",SUMIFS(_MainTable!$K$2:$K$2001,_MainTable!$F$2:$F$2001,$B29,_MainTable!$G$2:$G$2001,"&gt;="&amp;K$4,_MainTable!$G$2:$G$2001,"&lt;="&amp;EOMONTH(K$4,0)))</f>
        <v>164160.43</v>
      </c>
      <c r="L29" s="19" t="n">
        <f aca="false">IF($B29="","",SUMIFS(_MainTable!$K$2:$K$2001,_MainTable!$F$2:$F$2001,$B29,_MainTable!$G$2:$G$2001,"&gt;="&amp;L$4,_MainTable!$G$2:$G$2001,"&lt;="&amp;EOMONTH(L$4,0)))</f>
        <v>30297.05</v>
      </c>
      <c r="M29" s="19" t="n">
        <f aca="false">IF($B29="","",SUMIFS(_MainTable!$K$2:$K$2001,_MainTable!$F$2:$F$2001,$B29,_MainTable!$G$2:$G$2001,"&gt;="&amp;M$4,_MainTable!$G$2:$G$2001,"&lt;="&amp;EOMONTH(M$4,0)))</f>
        <v>0</v>
      </c>
      <c r="N29" s="19" t="n">
        <f aca="false">IF($B29="","",SUMIFS(_MainTable!$K$2:$K$2001,_MainTable!$F$2:$F$2001,$B29,_MainTable!$G$2:$G$2001,"&gt;="&amp;N$4,_MainTable!$G$2:$G$2001,"&lt;="&amp;EOMONTH(N$4,0)))</f>
        <v>0</v>
      </c>
      <c r="O29" s="30" t="n">
        <f aca="false">IF($B29="","",SUM(C29:N29))</f>
        <v>686916.08</v>
      </c>
    </row>
    <row r="30" customFormat="false" ht="15" hidden="false" customHeight="false" outlineLevel="0" collapsed="false">
      <c r="A30" s="17" t="str">
        <f aca="false">IF('PO Tracker'!$A30="","",'PO Tracker'!$A30)</f>
        <v>MCBEE ASSOCIATES INC</v>
      </c>
      <c r="B30" s="29" t="n">
        <f aca="false">IF('PO Tracker'!$B30="","",'PO Tracker'!$B30)</f>
        <v>10479</v>
      </c>
      <c r="C30" s="19" t="n">
        <f aca="false">IF($B30="","",SUMIFS(_MainTable!$K$2:$K$2001,_MainTable!$F$2:$F$2001,$B30,_MainTable!$G$2:$G$2001,"&gt;="&amp;C$4,_MainTable!$G$2:$G$2001,"&lt;="&amp;EOMONTH(C$4,0)))</f>
        <v>0</v>
      </c>
      <c r="D30" s="19" t="n">
        <f aca="false">IF($B30="","",SUMIFS(_MainTable!$K$2:$K$2001,_MainTable!$F$2:$F$2001,$B30,_MainTable!$G$2:$G$2001,"&gt;="&amp;D$4,_MainTable!$G$2:$G$2001,"&lt;="&amp;EOMONTH(D$4,0)))</f>
        <v>0</v>
      </c>
      <c r="E30" s="19" t="n">
        <f aca="false">IF($B30="","",SUMIFS(_MainTable!$K$2:$K$2001,_MainTable!$F$2:$F$2001,$B30,_MainTable!$G$2:$G$2001,"&gt;="&amp;E$4,_MainTable!$G$2:$G$2001,"&lt;="&amp;EOMONTH(E$4,0)))</f>
        <v>0</v>
      </c>
      <c r="F30" s="19" t="n">
        <f aca="false">IF($B30="","",SUMIFS(_MainTable!$K$2:$K$2001,_MainTable!$F$2:$F$2001,$B30,_MainTable!$G$2:$G$2001,"&gt;="&amp;F$4,_MainTable!$G$2:$G$2001,"&lt;="&amp;EOMONTH(F$4,0)))</f>
        <v>0</v>
      </c>
      <c r="G30" s="19" t="n">
        <f aca="false">IF($B30="","",SUMIFS(_MainTable!$K$2:$K$2001,_MainTable!$F$2:$F$2001,$B30,_MainTable!$G$2:$G$2001,"&gt;="&amp;G$4,_MainTable!$G$2:$G$2001,"&lt;="&amp;EOMONTH(G$4,0)))</f>
        <v>0</v>
      </c>
      <c r="H30" s="19" t="n">
        <f aca="false">IF($B30="","",SUMIFS(_MainTable!$K$2:$K$2001,_MainTable!$F$2:$F$2001,$B30,_MainTable!$G$2:$G$2001,"&gt;="&amp;H$4,_MainTable!$G$2:$G$2001,"&lt;="&amp;EOMONTH(H$4,0)))</f>
        <v>0</v>
      </c>
      <c r="I30" s="19" t="n">
        <f aca="false">IF($B30="","",SUMIFS(_MainTable!$K$2:$K$2001,_MainTable!$F$2:$F$2001,$B30,_MainTable!$G$2:$G$2001,"&gt;="&amp;I$4,_MainTable!$G$2:$G$2001,"&lt;="&amp;EOMONTH(I$4,0)))</f>
        <v>0</v>
      </c>
      <c r="J30" s="19" t="n">
        <f aca="false">IF($B30="","",SUMIFS(_MainTable!$K$2:$K$2001,_MainTable!$F$2:$F$2001,$B30,_MainTable!$G$2:$G$2001,"&gt;="&amp;J$4,_MainTable!$G$2:$G$2001,"&lt;="&amp;EOMONTH(J$4,0)))</f>
        <v>11939.88</v>
      </c>
      <c r="K30" s="19" t="n">
        <f aca="false">IF($B30="","",SUMIFS(_MainTable!$K$2:$K$2001,_MainTable!$F$2:$F$2001,$B30,_MainTable!$G$2:$G$2001,"&gt;="&amp;K$4,_MainTable!$G$2:$G$2001,"&lt;="&amp;EOMONTH(K$4,0)))</f>
        <v>0</v>
      </c>
      <c r="L30" s="19" t="n">
        <f aca="false">IF($B30="","",SUMIFS(_MainTable!$K$2:$K$2001,_MainTable!$F$2:$F$2001,$B30,_MainTable!$G$2:$G$2001,"&gt;="&amp;L$4,_MainTable!$G$2:$G$2001,"&lt;="&amp;EOMONTH(L$4,0)))</f>
        <v>14680.63</v>
      </c>
      <c r="M30" s="19" t="n">
        <f aca="false">IF($B30="","",SUMIFS(_MainTable!$K$2:$K$2001,_MainTable!$F$2:$F$2001,$B30,_MainTable!$G$2:$G$2001,"&gt;="&amp;M$4,_MainTable!$G$2:$G$2001,"&lt;="&amp;EOMONTH(M$4,0)))</f>
        <v>0</v>
      </c>
      <c r="N30" s="19" t="n">
        <f aca="false">IF($B30="","",SUMIFS(_MainTable!$K$2:$K$2001,_MainTable!$F$2:$F$2001,$B30,_MainTable!$G$2:$G$2001,"&gt;="&amp;N$4,_MainTable!$G$2:$G$2001,"&lt;="&amp;EOMONTH(N$4,0)))</f>
        <v>0</v>
      </c>
      <c r="O30" s="30" t="n">
        <f aca="false">IF($B30="","",SUM(C30:N30))</f>
        <v>26620.51</v>
      </c>
    </row>
    <row r="31" customFormat="false" ht="15" hidden="false" customHeight="false" outlineLevel="0" collapsed="false">
      <c r="A31" s="17" t="str">
        <f aca="false">IF('PO Tracker'!$A31="","",'PO Tracker'!$A31)</f>
        <v>GUIDEHOUSE INC</v>
      </c>
      <c r="B31" s="29" t="n">
        <f aca="false">IF('PO Tracker'!$B31="","",'PO Tracker'!$B31)</f>
        <v>10782</v>
      </c>
      <c r="C31" s="19" t="n">
        <f aca="false">IF($B31="","",SUMIFS(_MainTable!$K$2:$K$2001,_MainTable!$F$2:$F$2001,$B31,_MainTable!$G$2:$G$2001,"&gt;="&amp;C$4,_MainTable!$G$2:$G$2001,"&lt;="&amp;EOMONTH(C$4,0)))</f>
        <v>0</v>
      </c>
      <c r="D31" s="19" t="n">
        <f aca="false">IF($B31="","",SUMIFS(_MainTable!$K$2:$K$2001,_MainTable!$F$2:$F$2001,$B31,_MainTable!$G$2:$G$2001,"&gt;="&amp;D$4,_MainTable!$G$2:$G$2001,"&lt;="&amp;EOMONTH(D$4,0)))</f>
        <v>0</v>
      </c>
      <c r="E31" s="19" t="n">
        <f aca="false">IF($B31="","",SUMIFS(_MainTable!$K$2:$K$2001,_MainTable!$F$2:$F$2001,$B31,_MainTable!$G$2:$G$2001,"&gt;="&amp;E$4,_MainTable!$G$2:$G$2001,"&lt;="&amp;EOMONTH(E$4,0)))</f>
        <v>0</v>
      </c>
      <c r="F31" s="19" t="n">
        <f aca="false">IF($B31="","",SUMIFS(_MainTable!$K$2:$K$2001,_MainTable!$F$2:$F$2001,$B31,_MainTable!$G$2:$G$2001,"&gt;="&amp;F$4,_MainTable!$G$2:$G$2001,"&lt;="&amp;EOMONTH(F$4,0)))</f>
        <v>0</v>
      </c>
      <c r="G31" s="19" t="n">
        <f aca="false">IF($B31="","",SUMIFS(_MainTable!$K$2:$K$2001,_MainTable!$F$2:$F$2001,$B31,_MainTable!$G$2:$G$2001,"&gt;="&amp;G$4,_MainTable!$G$2:$G$2001,"&lt;="&amp;EOMONTH(G$4,0)))</f>
        <v>0</v>
      </c>
      <c r="H31" s="19" t="n">
        <f aca="false">IF($B31="","",SUMIFS(_MainTable!$K$2:$K$2001,_MainTable!$F$2:$F$2001,$B31,_MainTable!$G$2:$G$2001,"&gt;="&amp;H$4,_MainTable!$G$2:$G$2001,"&lt;="&amp;EOMONTH(H$4,0)))</f>
        <v>0</v>
      </c>
      <c r="I31" s="19" t="n">
        <f aca="false">IF($B31="","",SUMIFS(_MainTable!$K$2:$K$2001,_MainTable!$F$2:$F$2001,$B31,_MainTable!$G$2:$G$2001,"&gt;="&amp;I$4,_MainTable!$G$2:$G$2001,"&lt;="&amp;EOMONTH(I$4,0)))</f>
        <v>144005.65</v>
      </c>
      <c r="J31" s="19" t="n">
        <f aca="false">IF($B31="","",SUMIFS(_MainTable!$K$2:$K$2001,_MainTable!$F$2:$F$2001,$B31,_MainTable!$G$2:$G$2001,"&gt;="&amp;J$4,_MainTable!$G$2:$G$2001,"&lt;="&amp;EOMONTH(J$4,0)))</f>
        <v>129493.92</v>
      </c>
      <c r="K31" s="19" t="n">
        <f aca="false">IF($B31="","",SUMIFS(_MainTable!$K$2:$K$2001,_MainTable!$F$2:$F$2001,$B31,_MainTable!$G$2:$G$2001,"&gt;="&amp;K$4,_MainTable!$G$2:$G$2001,"&lt;="&amp;EOMONTH(K$4,0)))</f>
        <v>141573.77</v>
      </c>
      <c r="L31" s="19" t="n">
        <f aca="false">IF($B31="","",SUMIFS(_MainTable!$K$2:$K$2001,_MainTable!$F$2:$F$2001,$B31,_MainTable!$G$2:$G$2001,"&gt;="&amp;L$4,_MainTable!$G$2:$G$2001,"&lt;="&amp;EOMONTH(L$4,0)))</f>
        <v>148112.25</v>
      </c>
      <c r="M31" s="19" t="n">
        <f aca="false">IF($B31="","",SUMIFS(_MainTable!$K$2:$K$2001,_MainTable!$F$2:$F$2001,$B31,_MainTable!$G$2:$G$2001,"&gt;="&amp;M$4,_MainTable!$G$2:$G$2001,"&lt;="&amp;EOMONTH(M$4,0)))</f>
        <v>0</v>
      </c>
      <c r="N31" s="19" t="n">
        <f aca="false">IF($B31="","",SUMIFS(_MainTable!$K$2:$K$2001,_MainTable!$F$2:$F$2001,$B31,_MainTable!$G$2:$G$2001,"&gt;="&amp;N$4,_MainTable!$G$2:$G$2001,"&lt;="&amp;EOMONTH(N$4,0)))</f>
        <v>0</v>
      </c>
      <c r="O31" s="30" t="n">
        <f aca="false">IF($B31="","",SUM(C31:N31))</f>
        <v>563185.59</v>
      </c>
    </row>
    <row r="32" customFormat="false" ht="15" hidden="false" customHeight="false" outlineLevel="0" collapsed="false">
      <c r="A32" s="17" t="str">
        <f aca="false">IF('PO Tracker'!$A32="","",'PO Tracker'!$A32)</f>
        <v>GUIDEHOUSE INC</v>
      </c>
      <c r="B32" s="29" t="n">
        <f aca="false">IF('PO Tracker'!$B32="","",'PO Tracker'!$B32)</f>
        <v>10783</v>
      </c>
      <c r="C32" s="19" t="n">
        <f aca="false">IF($B32="","",SUMIFS(_MainTable!$K$2:$K$2001,_MainTable!$F$2:$F$2001,$B32,_MainTable!$G$2:$G$2001,"&gt;="&amp;C$4,_MainTable!$G$2:$G$2001,"&lt;="&amp;EOMONTH(C$4,0)))</f>
        <v>0</v>
      </c>
      <c r="D32" s="19" t="n">
        <f aca="false">IF($B32="","",SUMIFS(_MainTable!$K$2:$K$2001,_MainTable!$F$2:$F$2001,$B32,_MainTable!$G$2:$G$2001,"&gt;="&amp;D$4,_MainTable!$G$2:$G$2001,"&lt;="&amp;EOMONTH(D$4,0)))</f>
        <v>0</v>
      </c>
      <c r="E32" s="19" t="n">
        <f aca="false">IF($B32="","",SUMIFS(_MainTable!$K$2:$K$2001,_MainTable!$F$2:$F$2001,$B32,_MainTable!$G$2:$G$2001,"&gt;="&amp;E$4,_MainTable!$G$2:$G$2001,"&lt;="&amp;EOMONTH(E$4,0)))</f>
        <v>0</v>
      </c>
      <c r="F32" s="19" t="n">
        <f aca="false">IF($B32="","",SUMIFS(_MainTable!$K$2:$K$2001,_MainTable!$F$2:$F$2001,$B32,_MainTable!$G$2:$G$2001,"&gt;="&amp;F$4,_MainTable!$G$2:$G$2001,"&lt;="&amp;EOMONTH(F$4,0)))</f>
        <v>0</v>
      </c>
      <c r="G32" s="19" t="n">
        <f aca="false">IF($B32="","",SUMIFS(_MainTable!$K$2:$K$2001,_MainTable!$F$2:$F$2001,$B32,_MainTable!$G$2:$G$2001,"&gt;="&amp;G$4,_MainTable!$G$2:$G$2001,"&lt;="&amp;EOMONTH(G$4,0)))</f>
        <v>0</v>
      </c>
      <c r="H32" s="19" t="n">
        <f aca="false">IF($B32="","",SUMIFS(_MainTable!$K$2:$K$2001,_MainTable!$F$2:$F$2001,$B32,_MainTable!$G$2:$G$2001,"&gt;="&amp;H$4,_MainTable!$G$2:$G$2001,"&lt;="&amp;EOMONTH(H$4,0)))</f>
        <v>34125</v>
      </c>
      <c r="I32" s="19" t="n">
        <f aca="false">IF($B32="","",SUMIFS(_MainTable!$K$2:$K$2001,_MainTable!$F$2:$F$2001,$B32,_MainTable!$G$2:$G$2001,"&gt;="&amp;I$4,_MainTable!$G$2:$G$2001,"&lt;="&amp;EOMONTH(I$4,0)))</f>
        <v>36234.81</v>
      </c>
      <c r="J32" s="19" t="n">
        <f aca="false">IF($B32="","",SUMIFS(_MainTable!$K$2:$K$2001,_MainTable!$F$2:$F$2001,$B32,_MainTable!$G$2:$G$2001,"&gt;="&amp;J$4,_MainTable!$G$2:$G$2001,"&lt;="&amp;EOMONTH(J$4,0)))</f>
        <v>35248.77</v>
      </c>
      <c r="K32" s="19" t="n">
        <f aca="false">IF($B32="","",SUMIFS(_MainTable!$K$2:$K$2001,_MainTable!$F$2:$F$2001,$B32,_MainTable!$G$2:$G$2001,"&gt;="&amp;K$4,_MainTable!$G$2:$G$2001,"&lt;="&amp;EOMONTH(K$4,0)))</f>
        <v>35317.59</v>
      </c>
      <c r="L32" s="19" t="n">
        <f aca="false">IF($B32="","",SUMIFS(_MainTable!$K$2:$K$2001,_MainTable!$F$2:$F$2001,$B32,_MainTable!$G$2:$G$2001,"&gt;="&amp;L$4,_MainTable!$G$2:$G$2001,"&lt;="&amp;EOMONTH(L$4,0)))</f>
        <v>35181.55</v>
      </c>
      <c r="M32" s="19" t="n">
        <f aca="false">IF($B32="","",SUMIFS(_MainTable!$K$2:$K$2001,_MainTable!$F$2:$F$2001,$B32,_MainTable!$G$2:$G$2001,"&gt;="&amp;M$4,_MainTable!$G$2:$G$2001,"&lt;="&amp;EOMONTH(M$4,0)))</f>
        <v>0</v>
      </c>
      <c r="N32" s="19" t="n">
        <f aca="false">IF($B32="","",SUMIFS(_MainTable!$K$2:$K$2001,_MainTable!$F$2:$F$2001,$B32,_MainTable!$G$2:$G$2001,"&gt;="&amp;N$4,_MainTable!$G$2:$G$2001,"&lt;="&amp;EOMONTH(N$4,0)))</f>
        <v>0</v>
      </c>
      <c r="O32" s="30" t="n">
        <f aca="false">IF($B32="","",SUM(C32:N32))</f>
        <v>176107.72</v>
      </c>
    </row>
    <row r="33" customFormat="false" ht="15" hidden="false" customHeight="false" outlineLevel="0" collapsed="false">
      <c r="A33" s="17" t="str">
        <f aca="false">IF('PO Tracker'!$A33="","",'PO Tracker'!$A33)</f>
        <v>CLOUDMED</v>
      </c>
      <c r="B33" s="29" t="n">
        <f aca="false">IF('PO Tracker'!$B33="","",'PO Tracker'!$B33)</f>
        <v>10798</v>
      </c>
      <c r="C33" s="19" t="n">
        <f aca="false">IF($B33="","",SUMIFS(_MainTable!$K$2:$K$2001,_MainTable!$F$2:$F$2001,$B33,_MainTable!$G$2:$G$2001,"&gt;="&amp;C$4,_MainTable!$G$2:$G$2001,"&lt;="&amp;EOMONTH(C$4,0)))</f>
        <v>0</v>
      </c>
      <c r="D33" s="19" t="n">
        <f aca="false">IF($B33="","",SUMIFS(_MainTable!$K$2:$K$2001,_MainTable!$F$2:$F$2001,$B33,_MainTable!$G$2:$G$2001,"&gt;="&amp;D$4,_MainTable!$G$2:$G$2001,"&lt;="&amp;EOMONTH(D$4,0)))</f>
        <v>0</v>
      </c>
      <c r="E33" s="19" t="n">
        <f aca="false">IF($B33="","",SUMIFS(_MainTable!$K$2:$K$2001,_MainTable!$F$2:$F$2001,$B33,_MainTable!$G$2:$G$2001,"&gt;="&amp;E$4,_MainTable!$G$2:$G$2001,"&lt;="&amp;EOMONTH(E$4,0)))</f>
        <v>0</v>
      </c>
      <c r="F33" s="19" t="n">
        <f aca="false">IF($B33="","",SUMIFS(_MainTable!$K$2:$K$2001,_MainTable!$F$2:$F$2001,$B33,_MainTable!$G$2:$G$2001,"&gt;="&amp;F$4,_MainTable!$G$2:$G$2001,"&lt;="&amp;EOMONTH(F$4,0)))</f>
        <v>0</v>
      </c>
      <c r="G33" s="19" t="n">
        <f aca="false">IF($B33="","",SUMIFS(_MainTable!$K$2:$K$2001,_MainTable!$F$2:$F$2001,$B33,_MainTable!$G$2:$G$2001,"&gt;="&amp;G$4,_MainTable!$G$2:$G$2001,"&lt;="&amp;EOMONTH(G$4,0)))</f>
        <v>0</v>
      </c>
      <c r="H33" s="19" t="n">
        <f aca="false">IF($B33="","",SUMIFS(_MainTable!$K$2:$K$2001,_MainTable!$F$2:$F$2001,$B33,_MainTable!$G$2:$G$2001,"&gt;="&amp;H$4,_MainTable!$G$2:$G$2001,"&lt;="&amp;EOMONTH(H$4,0)))</f>
        <v>0</v>
      </c>
      <c r="I33" s="19" t="n">
        <f aca="false">IF($B33="","",SUMIFS(_MainTable!$K$2:$K$2001,_MainTable!$F$2:$F$2001,$B33,_MainTable!$G$2:$G$2001,"&gt;="&amp;I$4,_MainTable!$G$2:$G$2001,"&lt;="&amp;EOMONTH(I$4,0)))</f>
        <v>145160.18</v>
      </c>
      <c r="J33" s="19" t="n">
        <f aca="false">IF($B33="","",SUMIFS(_MainTable!$K$2:$K$2001,_MainTable!$F$2:$F$2001,$B33,_MainTable!$G$2:$G$2001,"&gt;="&amp;J$4,_MainTable!$G$2:$G$2001,"&lt;="&amp;EOMONTH(J$4,0)))</f>
        <v>114832.75</v>
      </c>
      <c r="K33" s="19" t="n">
        <f aca="false">IF($B33="","",SUMIFS(_MainTable!$K$2:$K$2001,_MainTable!$F$2:$F$2001,$B33,_MainTable!$G$2:$G$2001,"&gt;="&amp;K$4,_MainTable!$G$2:$G$2001,"&lt;="&amp;EOMONTH(K$4,0)))</f>
        <v>17000</v>
      </c>
      <c r="L33" s="19" t="n">
        <f aca="false">IF($B33="","",SUMIFS(_MainTable!$K$2:$K$2001,_MainTable!$F$2:$F$2001,$B33,_MainTable!$G$2:$G$2001,"&gt;="&amp;L$4,_MainTable!$G$2:$G$2001,"&lt;="&amp;EOMONTH(L$4,0)))</f>
        <v>66951.06</v>
      </c>
      <c r="M33" s="19" t="n">
        <f aca="false">IF($B33="","",SUMIFS(_MainTable!$K$2:$K$2001,_MainTable!$F$2:$F$2001,$B33,_MainTable!$G$2:$G$2001,"&gt;="&amp;M$4,_MainTable!$G$2:$G$2001,"&lt;="&amp;EOMONTH(M$4,0)))</f>
        <v>43096.79</v>
      </c>
      <c r="N33" s="19" t="n">
        <f aca="false">IF($B33="","",SUMIFS(_MainTable!$K$2:$K$2001,_MainTable!$F$2:$F$2001,$B33,_MainTable!$G$2:$G$2001,"&gt;="&amp;N$4,_MainTable!$G$2:$G$2001,"&lt;="&amp;EOMONTH(N$4,0)))</f>
        <v>0</v>
      </c>
      <c r="O33" s="30" t="n">
        <f aca="false">IF($B33="","",SUM(C33:N33))</f>
        <v>387040.78</v>
      </c>
    </row>
    <row r="34" customFormat="false" ht="15" hidden="false" customHeight="false" outlineLevel="0" collapsed="false">
      <c r="A34" s="17" t="str">
        <f aca="false">IF('PO Tracker'!$A34="","",'PO Tracker'!$A34)</f>
        <v>HIMAGINE SOLUTIONS INC</v>
      </c>
      <c r="B34" s="29" t="n">
        <f aca="false">IF('PO Tracker'!$B34="","",'PO Tracker'!$B34)</f>
        <v>10800</v>
      </c>
      <c r="C34" s="19" t="n">
        <f aca="false">IF($B34="","",SUMIFS(_MainTable!$K$2:$K$2001,_MainTable!$F$2:$F$2001,$B34,_MainTable!$G$2:$G$2001,"&gt;="&amp;C$4,_MainTable!$G$2:$G$2001,"&lt;="&amp;EOMONTH(C$4,0)))</f>
        <v>0</v>
      </c>
      <c r="D34" s="19" t="n">
        <f aca="false">IF($B34="","",SUMIFS(_MainTable!$K$2:$K$2001,_MainTable!$F$2:$F$2001,$B34,_MainTable!$G$2:$G$2001,"&gt;="&amp;D$4,_MainTable!$G$2:$G$2001,"&lt;="&amp;EOMONTH(D$4,0)))</f>
        <v>0</v>
      </c>
      <c r="E34" s="19" t="n">
        <f aca="false">IF($B34="","",SUMIFS(_MainTable!$K$2:$K$2001,_MainTable!$F$2:$F$2001,$B34,_MainTable!$G$2:$G$2001,"&gt;="&amp;E$4,_MainTable!$G$2:$G$2001,"&lt;="&amp;EOMONTH(E$4,0)))</f>
        <v>0</v>
      </c>
      <c r="F34" s="19" t="n">
        <f aca="false">IF($B34="","",SUMIFS(_MainTable!$K$2:$K$2001,_MainTable!$F$2:$F$2001,$B34,_MainTable!$G$2:$G$2001,"&gt;="&amp;F$4,_MainTable!$G$2:$G$2001,"&lt;="&amp;EOMONTH(F$4,0)))</f>
        <v>0</v>
      </c>
      <c r="G34" s="19" t="n">
        <f aca="false">IF($B34="","",SUMIFS(_MainTable!$K$2:$K$2001,_MainTable!$F$2:$F$2001,$B34,_MainTable!$G$2:$G$2001,"&gt;="&amp;G$4,_MainTable!$G$2:$G$2001,"&lt;="&amp;EOMONTH(G$4,0)))</f>
        <v>0</v>
      </c>
      <c r="H34" s="19" t="n">
        <f aca="false">IF($B34="","",SUMIFS(_MainTable!$K$2:$K$2001,_MainTable!$F$2:$F$2001,$B34,_MainTable!$G$2:$G$2001,"&gt;="&amp;H$4,_MainTable!$G$2:$G$2001,"&lt;="&amp;EOMONTH(H$4,0)))</f>
        <v>0</v>
      </c>
      <c r="I34" s="19" t="n">
        <f aca="false">IF($B34="","",SUMIFS(_MainTable!$K$2:$K$2001,_MainTable!$F$2:$F$2001,$B34,_MainTable!$G$2:$G$2001,"&gt;="&amp;I$4,_MainTable!$G$2:$G$2001,"&lt;="&amp;EOMONTH(I$4,0)))</f>
        <v>11173.33</v>
      </c>
      <c r="J34" s="19" t="n">
        <f aca="false">IF($B34="","",SUMIFS(_MainTable!$K$2:$K$2001,_MainTable!$F$2:$F$2001,$B34,_MainTable!$G$2:$G$2001,"&gt;="&amp;J$4,_MainTable!$G$2:$G$2001,"&lt;="&amp;EOMONTH(J$4,0)))</f>
        <v>0</v>
      </c>
      <c r="K34" s="19" t="n">
        <f aca="false">IF($B34="","",SUMIFS(_MainTable!$K$2:$K$2001,_MainTable!$F$2:$F$2001,$B34,_MainTable!$G$2:$G$2001,"&gt;="&amp;K$4,_MainTable!$G$2:$G$2001,"&lt;="&amp;EOMONTH(K$4,0)))</f>
        <v>0</v>
      </c>
      <c r="L34" s="19" t="n">
        <f aca="false">IF($B34="","",SUMIFS(_MainTable!$K$2:$K$2001,_MainTable!$F$2:$F$2001,$B34,_MainTable!$G$2:$G$2001,"&gt;="&amp;L$4,_MainTable!$G$2:$G$2001,"&lt;="&amp;EOMONTH(L$4,0)))</f>
        <v>0</v>
      </c>
      <c r="M34" s="19" t="n">
        <f aca="false">IF($B34="","",SUMIFS(_MainTable!$K$2:$K$2001,_MainTable!$F$2:$F$2001,$B34,_MainTable!$G$2:$G$2001,"&gt;="&amp;M$4,_MainTable!$G$2:$G$2001,"&lt;="&amp;EOMONTH(M$4,0)))</f>
        <v>0</v>
      </c>
      <c r="N34" s="19" t="n">
        <f aca="false">IF($B34="","",SUMIFS(_MainTable!$K$2:$K$2001,_MainTable!$F$2:$F$2001,$B34,_MainTable!$G$2:$G$2001,"&gt;="&amp;N$4,_MainTable!$G$2:$G$2001,"&lt;="&amp;EOMONTH(N$4,0)))</f>
        <v>0</v>
      </c>
      <c r="O34" s="30" t="n">
        <f aca="false">IF($B34="","",SUM(C34:N34))</f>
        <v>11173.33</v>
      </c>
    </row>
    <row r="35" customFormat="false" ht="15" hidden="false" customHeight="false" outlineLevel="0" collapsed="false">
      <c r="A35" s="17" t="str">
        <f aca="false">IF('PO Tracker'!$A35="","",'PO Tracker'!$A35)</f>
        <v>UNIFIED HEALTH SERVICES LLC</v>
      </c>
      <c r="B35" s="29" t="n">
        <f aca="false">IF('PO Tracker'!$B35="","",'PO Tracker'!$B35)</f>
        <v>10824</v>
      </c>
      <c r="C35" s="19" t="n">
        <f aca="false">IF($B35="","",SUMIFS(_MainTable!$K$2:$K$2001,_MainTable!$F$2:$F$2001,$B35,_MainTable!$G$2:$G$2001,"&gt;="&amp;C$4,_MainTable!$G$2:$G$2001,"&lt;="&amp;EOMONTH(C$4,0)))</f>
        <v>0</v>
      </c>
      <c r="D35" s="19" t="n">
        <f aca="false">IF($B35="","",SUMIFS(_MainTable!$K$2:$K$2001,_MainTable!$F$2:$F$2001,$B35,_MainTable!$G$2:$G$2001,"&gt;="&amp;D$4,_MainTable!$G$2:$G$2001,"&lt;="&amp;EOMONTH(D$4,0)))</f>
        <v>0</v>
      </c>
      <c r="E35" s="19" t="n">
        <f aca="false">IF($B35="","",SUMIFS(_MainTable!$K$2:$K$2001,_MainTable!$F$2:$F$2001,$B35,_MainTable!$G$2:$G$2001,"&gt;="&amp;E$4,_MainTable!$G$2:$G$2001,"&lt;="&amp;EOMONTH(E$4,0)))</f>
        <v>0</v>
      </c>
      <c r="F35" s="19" t="n">
        <f aca="false">IF($B35="","",SUMIFS(_MainTable!$K$2:$K$2001,_MainTable!$F$2:$F$2001,$B35,_MainTable!$G$2:$G$2001,"&gt;="&amp;F$4,_MainTable!$G$2:$G$2001,"&lt;="&amp;EOMONTH(F$4,0)))</f>
        <v>0</v>
      </c>
      <c r="G35" s="19" t="n">
        <f aca="false">IF($B35="","",SUMIFS(_MainTable!$K$2:$K$2001,_MainTable!$F$2:$F$2001,$B35,_MainTable!$G$2:$G$2001,"&gt;="&amp;G$4,_MainTable!$G$2:$G$2001,"&lt;="&amp;EOMONTH(G$4,0)))</f>
        <v>0</v>
      </c>
      <c r="H35" s="19" t="n">
        <f aca="false">IF($B35="","",SUMIFS(_MainTable!$K$2:$K$2001,_MainTable!$F$2:$F$2001,$B35,_MainTable!$G$2:$G$2001,"&gt;="&amp;H$4,_MainTable!$G$2:$G$2001,"&lt;="&amp;EOMONTH(H$4,0)))</f>
        <v>139797.53</v>
      </c>
      <c r="I35" s="19" t="n">
        <f aca="false">IF($B35="","",SUMIFS(_MainTable!$K$2:$K$2001,_MainTable!$F$2:$F$2001,$B35,_MainTable!$G$2:$G$2001,"&gt;="&amp;I$4,_MainTable!$G$2:$G$2001,"&lt;="&amp;EOMONTH(I$4,0)))</f>
        <v>108938.8</v>
      </c>
      <c r="J35" s="19" t="n">
        <f aca="false">IF($B35="","",SUMIFS(_MainTable!$K$2:$K$2001,_MainTable!$F$2:$F$2001,$B35,_MainTable!$G$2:$G$2001,"&gt;="&amp;J$4,_MainTable!$G$2:$G$2001,"&lt;="&amp;EOMONTH(J$4,0)))</f>
        <v>171942.78</v>
      </c>
      <c r="K35" s="19" t="n">
        <f aca="false">IF($B35="","",SUMIFS(_MainTable!$K$2:$K$2001,_MainTable!$F$2:$F$2001,$B35,_MainTable!$G$2:$G$2001,"&gt;="&amp;K$4,_MainTable!$G$2:$G$2001,"&lt;="&amp;EOMONTH(K$4,0)))</f>
        <v>110049.96</v>
      </c>
      <c r="L35" s="19" t="n">
        <f aca="false">IF($B35="","",SUMIFS(_MainTable!$K$2:$K$2001,_MainTable!$F$2:$F$2001,$B35,_MainTable!$G$2:$G$2001,"&gt;="&amp;L$4,_MainTable!$G$2:$G$2001,"&lt;="&amp;EOMONTH(L$4,0)))</f>
        <v>137208.3</v>
      </c>
      <c r="M35" s="19" t="n">
        <f aca="false">IF($B35="","",SUMIFS(_MainTable!$K$2:$K$2001,_MainTable!$F$2:$F$2001,$B35,_MainTable!$G$2:$G$2001,"&gt;="&amp;M$4,_MainTable!$G$2:$G$2001,"&lt;="&amp;EOMONTH(M$4,0)))</f>
        <v>118608.31</v>
      </c>
      <c r="N35" s="19" t="n">
        <f aca="false">IF($B35="","",SUMIFS(_MainTable!$K$2:$K$2001,_MainTable!$F$2:$F$2001,$B35,_MainTable!$G$2:$G$2001,"&gt;="&amp;N$4,_MainTable!$G$2:$G$2001,"&lt;="&amp;EOMONTH(N$4,0)))</f>
        <v>0</v>
      </c>
      <c r="O35" s="30" t="n">
        <f aca="false">IF($B35="","",SUM(C35:N35))</f>
        <v>786545.68</v>
      </c>
    </row>
    <row r="36" customFormat="false" ht="15" hidden="false" customHeight="false" outlineLevel="0" collapsed="false">
      <c r="A36" s="17" t="str">
        <f aca="false">IF('PO Tracker'!$A36="","",'PO Tracker'!$A36)</f>
        <v>WAYSTAR HEALTH</v>
      </c>
      <c r="B36" s="29" t="n">
        <f aca="false">IF('PO Tracker'!$B36="","",'PO Tracker'!$B36)</f>
        <v>10833</v>
      </c>
      <c r="C36" s="19" t="n">
        <f aca="false">IF($B36="","",SUMIFS(_MainTable!$K$2:$K$2001,_MainTable!$F$2:$F$2001,$B36,_MainTable!$G$2:$G$2001,"&gt;="&amp;C$4,_MainTable!$G$2:$G$2001,"&lt;="&amp;EOMONTH(C$4,0)))</f>
        <v>0</v>
      </c>
      <c r="D36" s="19" t="n">
        <f aca="false">IF($B36="","",SUMIFS(_MainTable!$K$2:$K$2001,_MainTable!$F$2:$F$2001,$B36,_MainTable!$G$2:$G$2001,"&gt;="&amp;D$4,_MainTable!$G$2:$G$2001,"&lt;="&amp;EOMONTH(D$4,0)))</f>
        <v>0</v>
      </c>
      <c r="E36" s="19" t="n">
        <f aca="false">IF($B36="","",SUMIFS(_MainTable!$K$2:$K$2001,_MainTable!$F$2:$F$2001,$B36,_MainTable!$G$2:$G$2001,"&gt;="&amp;E$4,_MainTable!$G$2:$G$2001,"&lt;="&amp;EOMONTH(E$4,0)))</f>
        <v>0</v>
      </c>
      <c r="F36" s="19" t="n">
        <f aca="false">IF($B36="","",SUMIFS(_MainTable!$K$2:$K$2001,_MainTable!$F$2:$F$2001,$B36,_MainTable!$G$2:$G$2001,"&gt;="&amp;F$4,_MainTable!$G$2:$G$2001,"&lt;="&amp;EOMONTH(F$4,0)))</f>
        <v>0</v>
      </c>
      <c r="G36" s="19" t="n">
        <f aca="false">IF($B36="","",SUMIFS(_MainTable!$K$2:$K$2001,_MainTable!$F$2:$F$2001,$B36,_MainTable!$G$2:$G$2001,"&gt;="&amp;G$4,_MainTable!$G$2:$G$2001,"&lt;="&amp;EOMONTH(G$4,0)))</f>
        <v>0</v>
      </c>
      <c r="H36" s="19" t="n">
        <f aca="false">IF($B36="","",SUMIFS(_MainTable!$K$2:$K$2001,_MainTable!$F$2:$F$2001,$B36,_MainTable!$G$2:$G$2001,"&gt;="&amp;H$4,_MainTable!$G$2:$G$2001,"&lt;="&amp;EOMONTH(H$4,0)))</f>
        <v>0</v>
      </c>
      <c r="I36" s="19" t="n">
        <f aca="false">IF($B36="","",SUMIFS(_MainTable!$K$2:$K$2001,_MainTable!$F$2:$F$2001,$B36,_MainTable!$G$2:$G$2001,"&gt;="&amp;I$4,_MainTable!$G$2:$G$2001,"&lt;="&amp;EOMONTH(I$4,0)))</f>
        <v>27727.2</v>
      </c>
      <c r="J36" s="19" t="n">
        <f aca="false">IF($B36="","",SUMIFS(_MainTable!$K$2:$K$2001,_MainTable!$F$2:$F$2001,$B36,_MainTable!$G$2:$G$2001,"&gt;="&amp;J$4,_MainTable!$G$2:$G$2001,"&lt;="&amp;EOMONTH(J$4,0)))</f>
        <v>27727.2</v>
      </c>
      <c r="K36" s="19" t="n">
        <f aca="false">IF($B36="","",SUMIFS(_MainTable!$K$2:$K$2001,_MainTable!$F$2:$F$2001,$B36,_MainTable!$G$2:$G$2001,"&gt;="&amp;K$4,_MainTable!$G$2:$G$2001,"&lt;="&amp;EOMONTH(K$4,0)))</f>
        <v>27727.2</v>
      </c>
      <c r="L36" s="19" t="n">
        <f aca="false">IF($B36="","",SUMIFS(_MainTable!$K$2:$K$2001,_MainTable!$F$2:$F$2001,$B36,_MainTable!$G$2:$G$2001,"&gt;="&amp;L$4,_MainTable!$G$2:$G$2001,"&lt;="&amp;EOMONTH(L$4,0)))</f>
        <v>27727.2</v>
      </c>
      <c r="M36" s="19" t="n">
        <f aca="false">IF($B36="","",SUMIFS(_MainTable!$K$2:$K$2001,_MainTable!$F$2:$F$2001,$B36,_MainTable!$G$2:$G$2001,"&gt;="&amp;M$4,_MainTable!$G$2:$G$2001,"&lt;="&amp;EOMONTH(M$4,0)))</f>
        <v>27727.2</v>
      </c>
      <c r="N36" s="19" t="n">
        <f aca="false">IF($B36="","",SUMIFS(_MainTable!$K$2:$K$2001,_MainTable!$F$2:$F$2001,$B36,_MainTable!$G$2:$G$2001,"&gt;="&amp;N$4,_MainTable!$G$2:$G$2001,"&lt;="&amp;EOMONTH(N$4,0)))</f>
        <v>0</v>
      </c>
      <c r="O36" s="30" t="n">
        <f aca="false">IF($B36="","",SUM(C36:N36))</f>
        <v>138636</v>
      </c>
    </row>
    <row r="37" customFormat="false" ht="15" hidden="false" customHeight="false" outlineLevel="0" collapsed="false">
      <c r="A37" s="17" t="str">
        <f aca="false">IF('PO Tracker'!$A37="","",'PO Tracker'!$A37)</f>
        <v>ACCESSONE</v>
      </c>
      <c r="B37" s="29" t="n">
        <f aca="false">IF('PO Tracker'!$B37="","",'PO Tracker'!$B37)</f>
        <v>10891</v>
      </c>
      <c r="C37" s="19" t="n">
        <f aca="false">IF($B37="","",SUMIFS(_MainTable!$K$2:$K$2001,_MainTable!$F$2:$F$2001,$B37,_MainTable!$G$2:$G$2001,"&gt;="&amp;C$4,_MainTable!$G$2:$G$2001,"&lt;="&amp;EOMONTH(C$4,0)))</f>
        <v>0</v>
      </c>
      <c r="D37" s="19" t="n">
        <f aca="false">IF($B37="","",SUMIFS(_MainTable!$K$2:$K$2001,_MainTable!$F$2:$F$2001,$B37,_MainTable!$G$2:$G$2001,"&gt;="&amp;D$4,_MainTable!$G$2:$G$2001,"&lt;="&amp;EOMONTH(D$4,0)))</f>
        <v>0</v>
      </c>
      <c r="E37" s="19" t="n">
        <f aca="false">IF($B37="","",SUMIFS(_MainTable!$K$2:$K$2001,_MainTable!$F$2:$F$2001,$B37,_MainTable!$G$2:$G$2001,"&gt;="&amp;E$4,_MainTable!$G$2:$G$2001,"&lt;="&amp;EOMONTH(E$4,0)))</f>
        <v>0</v>
      </c>
      <c r="F37" s="19" t="n">
        <f aca="false">IF($B37="","",SUMIFS(_MainTable!$K$2:$K$2001,_MainTable!$F$2:$F$2001,$B37,_MainTable!$G$2:$G$2001,"&gt;="&amp;F$4,_MainTable!$G$2:$G$2001,"&lt;="&amp;EOMONTH(F$4,0)))</f>
        <v>0</v>
      </c>
      <c r="G37" s="19" t="n">
        <f aca="false">IF($B37="","",SUMIFS(_MainTable!$K$2:$K$2001,_MainTable!$F$2:$F$2001,$B37,_MainTable!$G$2:$G$2001,"&gt;="&amp;G$4,_MainTable!$G$2:$G$2001,"&lt;="&amp;EOMONTH(G$4,0)))</f>
        <v>0</v>
      </c>
      <c r="H37" s="19" t="n">
        <f aca="false">IF($B37="","",SUMIFS(_MainTable!$K$2:$K$2001,_MainTable!$F$2:$F$2001,$B37,_MainTable!$G$2:$G$2001,"&gt;="&amp;H$4,_MainTable!$G$2:$G$2001,"&lt;="&amp;EOMONTH(H$4,0)))</f>
        <v>0</v>
      </c>
      <c r="I37" s="19" t="n">
        <f aca="false">IF($B37="","",SUMIFS(_MainTable!$K$2:$K$2001,_MainTable!$F$2:$F$2001,$B37,_MainTable!$G$2:$G$2001,"&gt;="&amp;I$4,_MainTable!$G$2:$G$2001,"&lt;="&amp;EOMONTH(I$4,0)))</f>
        <v>1904.78</v>
      </c>
      <c r="J37" s="19" t="n">
        <f aca="false">IF($B37="","",SUMIFS(_MainTable!$K$2:$K$2001,_MainTable!$F$2:$F$2001,$B37,_MainTable!$G$2:$G$2001,"&gt;="&amp;J$4,_MainTable!$G$2:$G$2001,"&lt;="&amp;EOMONTH(J$4,0)))</f>
        <v>0</v>
      </c>
      <c r="K37" s="19" t="n">
        <f aca="false">IF($B37="","",SUMIFS(_MainTable!$K$2:$K$2001,_MainTable!$F$2:$F$2001,$B37,_MainTable!$G$2:$G$2001,"&gt;="&amp;K$4,_MainTable!$G$2:$G$2001,"&lt;="&amp;EOMONTH(K$4,0)))</f>
        <v>0</v>
      </c>
      <c r="L37" s="19" t="n">
        <f aca="false">IF($B37="","",SUMIFS(_MainTable!$K$2:$K$2001,_MainTable!$F$2:$F$2001,$B37,_MainTable!$G$2:$G$2001,"&gt;="&amp;L$4,_MainTable!$G$2:$G$2001,"&lt;="&amp;EOMONTH(L$4,0)))</f>
        <v>1791.22</v>
      </c>
      <c r="M37" s="19" t="n">
        <f aca="false">IF($B37="","",SUMIFS(_MainTable!$K$2:$K$2001,_MainTable!$F$2:$F$2001,$B37,_MainTable!$G$2:$G$2001,"&gt;="&amp;M$4,_MainTable!$G$2:$G$2001,"&lt;="&amp;EOMONTH(M$4,0)))</f>
        <v>0</v>
      </c>
      <c r="N37" s="19" t="n">
        <f aca="false">IF($B37="","",SUMIFS(_MainTable!$K$2:$K$2001,_MainTable!$F$2:$F$2001,$B37,_MainTable!$G$2:$G$2001,"&gt;="&amp;N$4,_MainTable!$G$2:$G$2001,"&lt;="&amp;EOMONTH(N$4,0)))</f>
        <v>0</v>
      </c>
      <c r="O37" s="30" t="n">
        <f aca="false">IF($B37="","",SUM(C37:N37))</f>
        <v>3696</v>
      </c>
    </row>
    <row r="38" customFormat="false" ht="15" hidden="false" customHeight="false" outlineLevel="0" collapsed="false">
      <c r="A38" s="17" t="str">
        <f aca="false">IF('PO Tracker'!$A38="","",'PO Tracker'!$A38)</f>
        <v>CIOX HEALTH LLC</v>
      </c>
      <c r="B38" s="29" t="n">
        <f aca="false">IF('PO Tracker'!$B38="","",'PO Tracker'!$B38)</f>
        <v>11023</v>
      </c>
      <c r="C38" s="19" t="n">
        <f aca="false">IF($B38="","",SUMIFS(_MainTable!$K$2:$K$2001,_MainTable!$F$2:$F$2001,$B38,_MainTable!$G$2:$G$2001,"&gt;="&amp;C$4,_MainTable!$G$2:$G$2001,"&lt;="&amp;EOMONTH(C$4,0)))</f>
        <v>0</v>
      </c>
      <c r="D38" s="19" t="n">
        <f aca="false">IF($B38="","",SUMIFS(_MainTable!$K$2:$K$2001,_MainTable!$F$2:$F$2001,$B38,_MainTable!$G$2:$G$2001,"&gt;="&amp;D$4,_MainTable!$G$2:$G$2001,"&lt;="&amp;EOMONTH(D$4,0)))</f>
        <v>0</v>
      </c>
      <c r="E38" s="19" t="n">
        <f aca="false">IF($B38="","",SUMIFS(_MainTable!$K$2:$K$2001,_MainTable!$F$2:$F$2001,$B38,_MainTable!$G$2:$G$2001,"&gt;="&amp;E$4,_MainTable!$G$2:$G$2001,"&lt;="&amp;EOMONTH(E$4,0)))</f>
        <v>0</v>
      </c>
      <c r="F38" s="19" t="n">
        <f aca="false">IF($B38="","",SUMIFS(_MainTable!$K$2:$K$2001,_MainTable!$F$2:$F$2001,$B38,_MainTable!$G$2:$G$2001,"&gt;="&amp;F$4,_MainTable!$G$2:$G$2001,"&lt;="&amp;EOMONTH(F$4,0)))</f>
        <v>0</v>
      </c>
      <c r="G38" s="19" t="n">
        <f aca="false">IF($B38="","",SUMIFS(_MainTable!$K$2:$K$2001,_MainTable!$F$2:$F$2001,$B38,_MainTable!$G$2:$G$2001,"&gt;="&amp;G$4,_MainTable!$G$2:$G$2001,"&lt;="&amp;EOMONTH(G$4,0)))</f>
        <v>0</v>
      </c>
      <c r="H38" s="19" t="n">
        <f aca="false">IF($B38="","",SUMIFS(_MainTable!$K$2:$K$2001,_MainTable!$F$2:$F$2001,$B38,_MainTable!$G$2:$G$2001,"&gt;="&amp;H$4,_MainTable!$G$2:$G$2001,"&lt;="&amp;EOMONTH(H$4,0)))</f>
        <v>0</v>
      </c>
      <c r="I38" s="19" t="n">
        <f aca="false">IF($B38="","",SUMIFS(_MainTable!$K$2:$K$2001,_MainTable!$F$2:$F$2001,$B38,_MainTable!$G$2:$G$2001,"&gt;="&amp;I$4,_MainTable!$G$2:$G$2001,"&lt;="&amp;EOMONTH(I$4,0)))</f>
        <v>14306.25</v>
      </c>
      <c r="J38" s="19" t="n">
        <f aca="false">IF($B38="","",SUMIFS(_MainTable!$K$2:$K$2001,_MainTable!$F$2:$F$2001,$B38,_MainTable!$G$2:$G$2001,"&gt;="&amp;J$4,_MainTable!$G$2:$G$2001,"&lt;="&amp;EOMONTH(J$4,0)))</f>
        <v>13247.5</v>
      </c>
      <c r="K38" s="19" t="n">
        <f aca="false">IF($B38="","",SUMIFS(_MainTable!$K$2:$K$2001,_MainTable!$F$2:$F$2001,$B38,_MainTable!$G$2:$G$2001,"&gt;="&amp;K$4,_MainTable!$G$2:$G$2001,"&lt;="&amp;EOMONTH(K$4,0)))</f>
        <v>14385</v>
      </c>
      <c r="L38" s="19" t="n">
        <f aca="false">IF($B38="","",SUMIFS(_MainTable!$K$2:$K$2001,_MainTable!$F$2:$F$2001,$B38,_MainTable!$G$2:$G$2001,"&gt;="&amp;L$4,_MainTable!$G$2:$G$2001,"&lt;="&amp;EOMONTH(L$4,0)))</f>
        <v>0</v>
      </c>
      <c r="M38" s="19" t="n">
        <f aca="false">IF($B38="","",SUMIFS(_MainTable!$K$2:$K$2001,_MainTable!$F$2:$F$2001,$B38,_MainTable!$G$2:$G$2001,"&gt;="&amp;M$4,_MainTable!$G$2:$G$2001,"&lt;="&amp;EOMONTH(M$4,0)))</f>
        <v>0</v>
      </c>
      <c r="N38" s="19" t="n">
        <f aca="false">IF($B38="","",SUMIFS(_MainTable!$K$2:$K$2001,_MainTable!$F$2:$F$2001,$B38,_MainTable!$G$2:$G$2001,"&gt;="&amp;N$4,_MainTable!$G$2:$G$2001,"&lt;="&amp;EOMONTH(N$4,0)))</f>
        <v>0</v>
      </c>
      <c r="O38" s="30" t="n">
        <f aca="false">IF($B38="","",SUM(C38:N38))</f>
        <v>41938.75</v>
      </c>
    </row>
    <row r="39" customFormat="false" ht="15" hidden="false" customHeight="false" outlineLevel="0" collapsed="false">
      <c r="A39" s="17" t="str">
        <f aca="false">IF('PO Tracker'!$A39="","",'PO Tracker'!$A39)</f>
        <v>WAYSTAR HEALTH</v>
      </c>
      <c r="B39" s="29" t="n">
        <f aca="false">IF('PO Tracker'!$B39="","",'PO Tracker'!$B39)</f>
        <v>11053</v>
      </c>
      <c r="C39" s="19" t="n">
        <f aca="false">IF($B39="","",SUMIFS(_MainTable!$K$2:$K$2001,_MainTable!$F$2:$F$2001,$B39,_MainTable!$G$2:$G$2001,"&gt;="&amp;C$4,_MainTable!$G$2:$G$2001,"&lt;="&amp;EOMONTH(C$4,0)))</f>
        <v>0</v>
      </c>
      <c r="D39" s="19" t="n">
        <f aca="false">IF($B39="","",SUMIFS(_MainTable!$K$2:$K$2001,_MainTable!$F$2:$F$2001,$B39,_MainTable!$G$2:$G$2001,"&gt;="&amp;D$4,_MainTable!$G$2:$G$2001,"&lt;="&amp;EOMONTH(D$4,0)))</f>
        <v>0</v>
      </c>
      <c r="E39" s="19" t="n">
        <f aca="false">IF($B39="","",SUMIFS(_MainTable!$K$2:$K$2001,_MainTable!$F$2:$F$2001,$B39,_MainTable!$G$2:$G$2001,"&gt;="&amp;E$4,_MainTable!$G$2:$G$2001,"&lt;="&amp;EOMONTH(E$4,0)))</f>
        <v>0</v>
      </c>
      <c r="F39" s="19" t="n">
        <f aca="false">IF($B39="","",SUMIFS(_MainTable!$K$2:$K$2001,_MainTable!$F$2:$F$2001,$B39,_MainTable!$G$2:$G$2001,"&gt;="&amp;F$4,_MainTable!$G$2:$G$2001,"&lt;="&amp;EOMONTH(F$4,0)))</f>
        <v>0</v>
      </c>
      <c r="G39" s="19" t="n">
        <f aca="false">IF($B39="","",SUMIFS(_MainTable!$K$2:$K$2001,_MainTable!$F$2:$F$2001,$B39,_MainTable!$G$2:$G$2001,"&gt;="&amp;G$4,_MainTable!$G$2:$G$2001,"&lt;="&amp;EOMONTH(G$4,0)))</f>
        <v>0</v>
      </c>
      <c r="H39" s="19" t="n">
        <f aca="false">IF($B39="","",SUMIFS(_MainTable!$K$2:$K$2001,_MainTable!$F$2:$F$2001,$B39,_MainTable!$G$2:$G$2001,"&gt;="&amp;H$4,_MainTable!$G$2:$G$2001,"&lt;="&amp;EOMONTH(H$4,0)))</f>
        <v>0</v>
      </c>
      <c r="I39" s="19" t="n">
        <f aca="false">IF($B39="","",SUMIFS(_MainTable!$K$2:$K$2001,_MainTable!$F$2:$F$2001,$B39,_MainTable!$G$2:$G$2001,"&gt;="&amp;I$4,_MainTable!$G$2:$G$2001,"&lt;="&amp;EOMONTH(I$4,0)))</f>
        <v>0</v>
      </c>
      <c r="J39" s="19" t="n">
        <f aca="false">IF($B39="","",SUMIFS(_MainTable!$K$2:$K$2001,_MainTable!$F$2:$F$2001,$B39,_MainTable!$G$2:$G$2001,"&gt;="&amp;J$4,_MainTable!$G$2:$G$2001,"&lt;="&amp;EOMONTH(J$4,0)))</f>
        <v>134554.86</v>
      </c>
      <c r="K39" s="19" t="n">
        <f aca="false">IF($B39="","",SUMIFS(_MainTable!$K$2:$K$2001,_MainTable!$F$2:$F$2001,$B39,_MainTable!$G$2:$G$2001,"&gt;="&amp;K$4,_MainTable!$G$2:$G$2001,"&lt;="&amp;EOMONTH(K$4,0)))</f>
        <v>106898.15</v>
      </c>
      <c r="L39" s="19" t="n">
        <f aca="false">IF($B39="","",SUMIFS(_MainTable!$K$2:$K$2001,_MainTable!$F$2:$F$2001,$B39,_MainTable!$G$2:$G$2001,"&gt;="&amp;L$4,_MainTable!$G$2:$G$2001,"&lt;="&amp;EOMONTH(L$4,0)))</f>
        <v>125852.62</v>
      </c>
      <c r="M39" s="19" t="n">
        <f aca="false">IF($B39="","",SUMIFS(_MainTable!$K$2:$K$2001,_MainTable!$F$2:$F$2001,$B39,_MainTable!$G$2:$G$2001,"&gt;="&amp;M$4,_MainTable!$G$2:$G$2001,"&lt;="&amp;EOMONTH(M$4,0)))</f>
        <v>193584.56</v>
      </c>
      <c r="N39" s="19" t="n">
        <f aca="false">IF($B39="","",SUMIFS(_MainTable!$K$2:$K$2001,_MainTable!$F$2:$F$2001,$B39,_MainTable!$G$2:$G$2001,"&gt;="&amp;N$4,_MainTable!$G$2:$G$2001,"&lt;="&amp;EOMONTH(N$4,0)))</f>
        <v>0</v>
      </c>
      <c r="O39" s="30" t="n">
        <f aca="false">IF($B39="","",SUM(C39:N39))</f>
        <v>560890.19</v>
      </c>
    </row>
    <row r="40" customFormat="false" ht="15" hidden="false" customHeight="false" outlineLevel="0" collapsed="false">
      <c r="A40" s="17" t="str">
        <f aca="false">IF('PO Tracker'!$A40="","",'PO Tracker'!$A40)</f>
        <v>CLOUDMED</v>
      </c>
      <c r="B40" s="29" t="n">
        <f aca="false">IF('PO Tracker'!$B40="","",'PO Tracker'!$B40)</f>
        <v>11172</v>
      </c>
      <c r="C40" s="19" t="n">
        <f aca="false">IF($B40="","",SUMIFS(_MainTable!$K$2:$K$2001,_MainTable!$F$2:$F$2001,$B40,_MainTable!$G$2:$G$2001,"&gt;="&amp;C$4,_MainTable!$G$2:$G$2001,"&lt;="&amp;EOMONTH(C$4,0)))</f>
        <v>0</v>
      </c>
      <c r="D40" s="19" t="n">
        <f aca="false">IF($B40="","",SUMIFS(_MainTable!$K$2:$K$2001,_MainTable!$F$2:$F$2001,$B40,_MainTable!$G$2:$G$2001,"&gt;="&amp;D$4,_MainTable!$G$2:$G$2001,"&lt;="&amp;EOMONTH(D$4,0)))</f>
        <v>0</v>
      </c>
      <c r="E40" s="19" t="n">
        <f aca="false">IF($B40="","",SUMIFS(_MainTable!$K$2:$K$2001,_MainTable!$F$2:$F$2001,$B40,_MainTable!$G$2:$G$2001,"&gt;="&amp;E$4,_MainTable!$G$2:$G$2001,"&lt;="&amp;EOMONTH(E$4,0)))</f>
        <v>0</v>
      </c>
      <c r="F40" s="19" t="n">
        <f aca="false">IF($B40="","",SUMIFS(_MainTable!$K$2:$K$2001,_MainTable!$F$2:$F$2001,$B40,_MainTable!$G$2:$G$2001,"&gt;="&amp;F$4,_MainTable!$G$2:$G$2001,"&lt;="&amp;EOMONTH(F$4,0)))</f>
        <v>0</v>
      </c>
      <c r="G40" s="19" t="n">
        <f aca="false">IF($B40="","",SUMIFS(_MainTable!$K$2:$K$2001,_MainTable!$F$2:$F$2001,$B40,_MainTable!$G$2:$G$2001,"&gt;="&amp;G$4,_MainTable!$G$2:$G$2001,"&lt;="&amp;EOMONTH(G$4,0)))</f>
        <v>0</v>
      </c>
      <c r="H40" s="19" t="n">
        <f aca="false">IF($B40="","",SUMIFS(_MainTable!$K$2:$K$2001,_MainTable!$F$2:$F$2001,$B40,_MainTable!$G$2:$G$2001,"&gt;="&amp;H$4,_MainTable!$G$2:$G$2001,"&lt;="&amp;EOMONTH(H$4,0)))</f>
        <v>0</v>
      </c>
      <c r="I40" s="19" t="n">
        <f aca="false">IF($B40="","",SUMIFS(_MainTable!$K$2:$K$2001,_MainTable!$F$2:$F$2001,$B40,_MainTable!$G$2:$G$2001,"&gt;="&amp;I$4,_MainTable!$G$2:$G$2001,"&lt;="&amp;EOMONTH(I$4,0)))</f>
        <v>190948.15</v>
      </c>
      <c r="J40" s="19" t="n">
        <f aca="false">IF($B40="","",SUMIFS(_MainTable!$K$2:$K$2001,_MainTable!$F$2:$F$2001,$B40,_MainTable!$G$2:$G$2001,"&gt;="&amp;J$4,_MainTable!$G$2:$G$2001,"&lt;="&amp;EOMONTH(J$4,0)))</f>
        <v>157981.27</v>
      </c>
      <c r="K40" s="19" t="n">
        <f aca="false">IF($B40="","",SUMIFS(_MainTable!$K$2:$K$2001,_MainTable!$F$2:$F$2001,$B40,_MainTable!$G$2:$G$2001,"&gt;="&amp;K$4,_MainTable!$G$2:$G$2001,"&lt;="&amp;EOMONTH(K$4,0)))</f>
        <v>187972.25</v>
      </c>
      <c r="L40" s="19" t="n">
        <f aca="false">IF($B40="","",SUMIFS(_MainTable!$K$2:$K$2001,_MainTable!$F$2:$F$2001,$B40,_MainTable!$G$2:$G$2001,"&gt;="&amp;L$4,_MainTable!$G$2:$G$2001,"&lt;="&amp;EOMONTH(L$4,0)))</f>
        <v>210347.36</v>
      </c>
      <c r="M40" s="19" t="n">
        <f aca="false">IF($B40="","",SUMIFS(_MainTable!$K$2:$K$2001,_MainTable!$F$2:$F$2001,$B40,_MainTable!$G$2:$G$2001,"&gt;="&amp;M$4,_MainTable!$G$2:$G$2001,"&lt;="&amp;EOMONTH(M$4,0)))</f>
        <v>86217.18</v>
      </c>
      <c r="N40" s="19" t="n">
        <f aca="false">IF($B40="","",SUMIFS(_MainTable!$K$2:$K$2001,_MainTable!$F$2:$F$2001,$B40,_MainTable!$G$2:$G$2001,"&gt;="&amp;N$4,_MainTable!$G$2:$G$2001,"&lt;="&amp;EOMONTH(N$4,0)))</f>
        <v>0</v>
      </c>
      <c r="O40" s="30" t="n">
        <f aca="false">IF($B40="","",SUM(C40:N40))</f>
        <v>833466.21</v>
      </c>
    </row>
    <row r="41" customFormat="false" ht="15" hidden="false" customHeight="false" outlineLevel="0" collapsed="false">
      <c r="A41" s="17" t="str">
        <f aca="false">IF('PO Tracker'!$A41="","",'PO Tracker'!$A41)</f>
        <v>SOLVENTUM HEALTH INFO SYSTEM</v>
      </c>
      <c r="B41" s="29" t="n">
        <f aca="false">IF('PO Tracker'!$B41="","",'PO Tracker'!$B41)</f>
        <v>11217</v>
      </c>
      <c r="C41" s="19" t="n">
        <f aca="false">IF($B41="","",SUMIFS(_MainTable!$K$2:$K$2001,_MainTable!$F$2:$F$2001,$B41,_MainTable!$G$2:$G$2001,"&gt;="&amp;C$4,_MainTable!$G$2:$G$2001,"&lt;="&amp;EOMONTH(C$4,0)))</f>
        <v>0</v>
      </c>
      <c r="D41" s="19" t="n">
        <f aca="false">IF($B41="","",SUMIFS(_MainTable!$K$2:$K$2001,_MainTable!$F$2:$F$2001,$B41,_MainTable!$G$2:$G$2001,"&gt;="&amp;D$4,_MainTable!$G$2:$G$2001,"&lt;="&amp;EOMONTH(D$4,0)))</f>
        <v>0</v>
      </c>
      <c r="E41" s="19" t="n">
        <f aca="false">IF($B41="","",SUMIFS(_MainTable!$K$2:$K$2001,_MainTable!$F$2:$F$2001,$B41,_MainTable!$G$2:$G$2001,"&gt;="&amp;E$4,_MainTable!$G$2:$G$2001,"&lt;="&amp;EOMONTH(E$4,0)))</f>
        <v>0</v>
      </c>
      <c r="F41" s="19" t="n">
        <f aca="false">IF($B41="","",SUMIFS(_MainTable!$K$2:$K$2001,_MainTable!$F$2:$F$2001,$B41,_MainTable!$G$2:$G$2001,"&gt;="&amp;F$4,_MainTable!$G$2:$G$2001,"&lt;="&amp;EOMONTH(F$4,0)))</f>
        <v>0</v>
      </c>
      <c r="G41" s="19" t="n">
        <f aca="false">IF($B41="","",SUMIFS(_MainTable!$K$2:$K$2001,_MainTable!$F$2:$F$2001,$B41,_MainTable!$G$2:$G$2001,"&gt;="&amp;G$4,_MainTable!$G$2:$G$2001,"&lt;="&amp;EOMONTH(G$4,0)))</f>
        <v>0</v>
      </c>
      <c r="H41" s="19" t="n">
        <f aca="false">IF($B41="","",SUMIFS(_MainTable!$K$2:$K$2001,_MainTable!$F$2:$F$2001,$B41,_MainTable!$G$2:$G$2001,"&gt;="&amp;H$4,_MainTable!$G$2:$G$2001,"&lt;="&amp;EOMONTH(H$4,0)))</f>
        <v>0</v>
      </c>
      <c r="I41" s="19" t="n">
        <f aca="false">IF($B41="","",SUMIFS(_MainTable!$K$2:$K$2001,_MainTable!$F$2:$F$2001,$B41,_MainTable!$G$2:$G$2001,"&gt;="&amp;I$4,_MainTable!$G$2:$G$2001,"&lt;="&amp;EOMONTH(I$4,0)))</f>
        <v>0</v>
      </c>
      <c r="J41" s="19" t="n">
        <f aca="false">IF($B41="","",SUMIFS(_MainTable!$K$2:$K$2001,_MainTable!$F$2:$F$2001,$B41,_MainTable!$G$2:$G$2001,"&gt;="&amp;J$4,_MainTable!$G$2:$G$2001,"&lt;="&amp;EOMONTH(J$4,0)))</f>
        <v>83205</v>
      </c>
      <c r="K41" s="19" t="n">
        <f aca="false">IF($B41="","",SUMIFS(_MainTable!$K$2:$K$2001,_MainTable!$F$2:$F$2001,$B41,_MainTable!$G$2:$G$2001,"&gt;="&amp;K$4,_MainTable!$G$2:$G$2001,"&lt;="&amp;EOMONTH(K$4,0)))</f>
        <v>265676.25</v>
      </c>
      <c r="L41" s="19" t="n">
        <f aca="false">IF($B41="","",SUMIFS(_MainTable!$K$2:$K$2001,_MainTable!$F$2:$F$2001,$B41,_MainTable!$G$2:$G$2001,"&gt;="&amp;L$4,_MainTable!$G$2:$G$2001,"&lt;="&amp;EOMONTH(L$4,0)))</f>
        <v>92260.01</v>
      </c>
      <c r="M41" s="19" t="n">
        <f aca="false">IF($B41="","",SUMIFS(_MainTable!$K$2:$K$2001,_MainTable!$F$2:$F$2001,$B41,_MainTable!$G$2:$G$2001,"&gt;="&amp;M$4,_MainTable!$G$2:$G$2001,"&lt;="&amp;EOMONTH(M$4,0)))</f>
        <v>0</v>
      </c>
      <c r="N41" s="19" t="n">
        <f aca="false">IF($B41="","",SUMIFS(_MainTable!$K$2:$K$2001,_MainTable!$F$2:$F$2001,$B41,_MainTable!$G$2:$G$2001,"&gt;="&amp;N$4,_MainTable!$G$2:$G$2001,"&lt;="&amp;EOMONTH(N$4,0)))</f>
        <v>0</v>
      </c>
      <c r="O41" s="30" t="n">
        <f aca="false">IF($B41="","",SUM(C41:N41))</f>
        <v>441141.26</v>
      </c>
    </row>
    <row r="42" customFormat="false" ht="15" hidden="false" customHeight="false" outlineLevel="0" collapsed="false">
      <c r="A42" s="17" t="str">
        <f aca="false">IF('PO Tracker'!$A42="","",'PO Tracker'!$A42)</f>
        <v>GUIDEHOUSE INC</v>
      </c>
      <c r="B42" s="29" t="n">
        <f aca="false">IF('PO Tracker'!$B42="","",'PO Tracker'!$B42)</f>
        <v>11587</v>
      </c>
      <c r="C42" s="19" t="n">
        <f aca="false">IF($B42="","",SUMIFS(_MainTable!$K$2:$K$2001,_MainTable!$F$2:$F$2001,$B42,_MainTable!$G$2:$G$2001,"&gt;="&amp;C$4,_MainTable!$G$2:$G$2001,"&lt;="&amp;EOMONTH(C$4,0)))</f>
        <v>0</v>
      </c>
      <c r="D42" s="19" t="n">
        <f aca="false">IF($B42="","",SUMIFS(_MainTable!$K$2:$K$2001,_MainTable!$F$2:$F$2001,$B42,_MainTable!$G$2:$G$2001,"&gt;="&amp;D$4,_MainTable!$G$2:$G$2001,"&lt;="&amp;EOMONTH(D$4,0)))</f>
        <v>0</v>
      </c>
      <c r="E42" s="19" t="n">
        <f aca="false">IF($B42="","",SUMIFS(_MainTable!$K$2:$K$2001,_MainTable!$F$2:$F$2001,$B42,_MainTable!$G$2:$G$2001,"&gt;="&amp;E$4,_MainTable!$G$2:$G$2001,"&lt;="&amp;EOMONTH(E$4,0)))</f>
        <v>0</v>
      </c>
      <c r="F42" s="19" t="n">
        <f aca="false">IF($B42="","",SUMIFS(_MainTable!$K$2:$K$2001,_MainTable!$F$2:$F$2001,$B42,_MainTable!$G$2:$G$2001,"&gt;="&amp;F$4,_MainTable!$G$2:$G$2001,"&lt;="&amp;EOMONTH(F$4,0)))</f>
        <v>0</v>
      </c>
      <c r="G42" s="19" t="n">
        <f aca="false">IF($B42="","",SUMIFS(_MainTable!$K$2:$K$2001,_MainTable!$F$2:$F$2001,$B42,_MainTable!$G$2:$G$2001,"&gt;="&amp;G$4,_MainTable!$G$2:$G$2001,"&lt;="&amp;EOMONTH(G$4,0)))</f>
        <v>0</v>
      </c>
      <c r="H42" s="19" t="n">
        <f aca="false">IF($B42="","",SUMIFS(_MainTable!$K$2:$K$2001,_MainTable!$F$2:$F$2001,$B42,_MainTable!$G$2:$G$2001,"&gt;="&amp;H$4,_MainTable!$G$2:$G$2001,"&lt;="&amp;EOMONTH(H$4,0)))</f>
        <v>0</v>
      </c>
      <c r="I42" s="19" t="n">
        <f aca="false">IF($B42="","",SUMIFS(_MainTable!$K$2:$K$2001,_MainTable!$F$2:$F$2001,$B42,_MainTable!$G$2:$G$2001,"&gt;="&amp;I$4,_MainTable!$G$2:$G$2001,"&lt;="&amp;EOMONTH(I$4,0)))</f>
        <v>12950</v>
      </c>
      <c r="J42" s="19" t="n">
        <f aca="false">IF($B42="","",SUMIFS(_MainTable!$K$2:$K$2001,_MainTable!$F$2:$F$2001,$B42,_MainTable!$G$2:$G$2001,"&gt;="&amp;J$4,_MainTable!$G$2:$G$2001,"&lt;="&amp;EOMONTH(J$4,0)))</f>
        <v>12950</v>
      </c>
      <c r="K42" s="19" t="n">
        <f aca="false">IF($B42="","",SUMIFS(_MainTable!$K$2:$K$2001,_MainTable!$F$2:$F$2001,$B42,_MainTable!$G$2:$G$2001,"&gt;="&amp;K$4,_MainTable!$G$2:$G$2001,"&lt;="&amp;EOMONTH(K$4,0)))</f>
        <v>12950</v>
      </c>
      <c r="L42" s="19" t="n">
        <f aca="false">IF($B42="","",SUMIFS(_MainTable!$K$2:$K$2001,_MainTable!$F$2:$F$2001,$B42,_MainTable!$G$2:$G$2001,"&gt;="&amp;L$4,_MainTable!$G$2:$G$2001,"&lt;="&amp;EOMONTH(L$4,0)))</f>
        <v>12950</v>
      </c>
      <c r="M42" s="19" t="n">
        <f aca="false">IF($B42="","",SUMIFS(_MainTable!$K$2:$K$2001,_MainTable!$F$2:$F$2001,$B42,_MainTable!$G$2:$G$2001,"&gt;="&amp;M$4,_MainTable!$G$2:$G$2001,"&lt;="&amp;EOMONTH(M$4,0)))</f>
        <v>12950</v>
      </c>
      <c r="N42" s="19" t="n">
        <f aca="false">IF($B42="","",SUMIFS(_MainTable!$K$2:$K$2001,_MainTable!$F$2:$F$2001,$B42,_MainTable!$G$2:$G$2001,"&gt;="&amp;N$4,_MainTable!$G$2:$G$2001,"&lt;="&amp;EOMONTH(N$4,0)))</f>
        <v>0</v>
      </c>
      <c r="O42" s="30" t="n">
        <f aca="false">IF($B42="","",SUM(C42:N42))</f>
        <v>64750</v>
      </c>
    </row>
    <row r="43" customFormat="false" ht="15" hidden="false" customHeight="false" outlineLevel="0" collapsed="false">
      <c r="A43" s="17" t="str">
        <f aca="false">IF('PO Tracker'!$A43="","",'PO Tracker'!$A43)</f>
        <v>WAYSTAR HEALTH</v>
      </c>
      <c r="B43" s="29" t="n">
        <f aca="false">IF('PO Tracker'!$B43="","",'PO Tracker'!$B43)</f>
        <v>11631</v>
      </c>
      <c r="C43" s="19" t="n">
        <f aca="false">IF($B43="","",SUMIFS(_MainTable!$K$2:$K$2001,_MainTable!$F$2:$F$2001,$B43,_MainTable!$G$2:$G$2001,"&gt;="&amp;C$4,_MainTable!$G$2:$G$2001,"&lt;="&amp;EOMONTH(C$4,0)))</f>
        <v>0</v>
      </c>
      <c r="D43" s="19" t="n">
        <f aca="false">IF($B43="","",SUMIFS(_MainTable!$K$2:$K$2001,_MainTable!$F$2:$F$2001,$B43,_MainTable!$G$2:$G$2001,"&gt;="&amp;D$4,_MainTable!$G$2:$G$2001,"&lt;="&amp;EOMONTH(D$4,0)))</f>
        <v>0</v>
      </c>
      <c r="E43" s="19" t="n">
        <f aca="false">IF($B43="","",SUMIFS(_MainTable!$K$2:$K$2001,_MainTable!$F$2:$F$2001,$B43,_MainTable!$G$2:$G$2001,"&gt;="&amp;E$4,_MainTable!$G$2:$G$2001,"&lt;="&amp;EOMONTH(E$4,0)))</f>
        <v>0</v>
      </c>
      <c r="F43" s="19" t="n">
        <f aca="false">IF($B43="","",SUMIFS(_MainTable!$K$2:$K$2001,_MainTable!$F$2:$F$2001,$B43,_MainTable!$G$2:$G$2001,"&gt;="&amp;F$4,_MainTable!$G$2:$G$2001,"&lt;="&amp;EOMONTH(F$4,0)))</f>
        <v>0</v>
      </c>
      <c r="G43" s="19" t="n">
        <f aca="false">IF($B43="","",SUMIFS(_MainTable!$K$2:$K$2001,_MainTable!$F$2:$F$2001,$B43,_MainTable!$G$2:$G$2001,"&gt;="&amp;G$4,_MainTable!$G$2:$G$2001,"&lt;="&amp;EOMONTH(G$4,0)))</f>
        <v>132000</v>
      </c>
      <c r="H43" s="19" t="n">
        <f aca="false">IF($B43="","",SUMIFS(_MainTable!$K$2:$K$2001,_MainTable!$F$2:$F$2001,$B43,_MainTable!$G$2:$G$2001,"&gt;="&amp;H$4,_MainTable!$G$2:$G$2001,"&lt;="&amp;EOMONTH(H$4,0)))</f>
        <v>0</v>
      </c>
      <c r="I43" s="19" t="n">
        <f aca="false">IF($B43="","",SUMIFS(_MainTable!$K$2:$K$2001,_MainTable!$F$2:$F$2001,$B43,_MainTable!$G$2:$G$2001,"&gt;="&amp;I$4,_MainTable!$G$2:$G$2001,"&lt;="&amp;EOMONTH(I$4,0)))</f>
        <v>0</v>
      </c>
      <c r="J43" s="19" t="n">
        <f aca="false">IF($B43="","",SUMIFS(_MainTable!$K$2:$K$2001,_MainTable!$F$2:$F$2001,$B43,_MainTable!$G$2:$G$2001,"&gt;="&amp;J$4,_MainTable!$G$2:$G$2001,"&lt;="&amp;EOMONTH(J$4,0)))</f>
        <v>0</v>
      </c>
      <c r="K43" s="19" t="n">
        <f aca="false">IF($B43="","",SUMIFS(_MainTable!$K$2:$K$2001,_MainTable!$F$2:$F$2001,$B43,_MainTable!$G$2:$G$2001,"&gt;="&amp;K$4,_MainTable!$G$2:$G$2001,"&lt;="&amp;EOMONTH(K$4,0)))</f>
        <v>0</v>
      </c>
      <c r="L43" s="19" t="n">
        <f aca="false">IF($B43="","",SUMIFS(_MainTable!$K$2:$K$2001,_MainTable!$F$2:$F$2001,$B43,_MainTable!$G$2:$G$2001,"&gt;="&amp;L$4,_MainTable!$G$2:$G$2001,"&lt;="&amp;EOMONTH(L$4,0)))</f>
        <v>0</v>
      </c>
      <c r="M43" s="19" t="n">
        <f aca="false">IF($B43="","",SUMIFS(_MainTable!$K$2:$K$2001,_MainTable!$F$2:$F$2001,$B43,_MainTable!$G$2:$G$2001,"&gt;="&amp;M$4,_MainTable!$G$2:$G$2001,"&lt;="&amp;EOMONTH(M$4,0)))</f>
        <v>132000</v>
      </c>
      <c r="N43" s="19" t="n">
        <f aca="false">IF($B43="","",SUMIFS(_MainTable!$K$2:$K$2001,_MainTable!$F$2:$F$2001,$B43,_MainTable!$G$2:$G$2001,"&gt;="&amp;N$4,_MainTable!$G$2:$G$2001,"&lt;="&amp;EOMONTH(N$4,0)))</f>
        <v>0</v>
      </c>
      <c r="O43" s="30" t="n">
        <f aca="false">IF($B43="","",SUM(C43:N43))</f>
        <v>264000</v>
      </c>
    </row>
    <row r="44" customFormat="false" ht="15" hidden="false" customHeight="false" outlineLevel="0" collapsed="false">
      <c r="A44" s="17" t="str">
        <f aca="false">IF('PO Tracker'!$A44="","",'PO Tracker'!$A44)</f>
        <v>HEALTHSTREAM</v>
      </c>
      <c r="B44" s="29" t="n">
        <f aca="false">IF('PO Tracker'!$B44="","",'PO Tracker'!$B44)</f>
        <v>11778</v>
      </c>
      <c r="C44" s="19" t="n">
        <f aca="false">IF($B44="","",SUMIFS(_MainTable!$K$2:$K$2001,_MainTable!$F$2:$F$2001,$B44,_MainTable!$G$2:$G$2001,"&gt;="&amp;C$4,_MainTable!$G$2:$G$2001,"&lt;="&amp;EOMONTH(C$4,0)))</f>
        <v>0</v>
      </c>
      <c r="D44" s="19" t="n">
        <f aca="false">IF($B44="","",SUMIFS(_MainTable!$K$2:$K$2001,_MainTable!$F$2:$F$2001,$B44,_MainTable!$G$2:$G$2001,"&gt;="&amp;D$4,_MainTable!$G$2:$G$2001,"&lt;="&amp;EOMONTH(D$4,0)))</f>
        <v>0</v>
      </c>
      <c r="E44" s="19" t="n">
        <f aca="false">IF($B44="","",SUMIFS(_MainTable!$K$2:$K$2001,_MainTable!$F$2:$F$2001,$B44,_MainTable!$G$2:$G$2001,"&gt;="&amp;E$4,_MainTable!$G$2:$G$2001,"&lt;="&amp;EOMONTH(E$4,0)))</f>
        <v>0</v>
      </c>
      <c r="F44" s="19" t="n">
        <f aca="false">IF($B44="","",SUMIFS(_MainTable!$K$2:$K$2001,_MainTable!$F$2:$F$2001,$B44,_MainTable!$G$2:$G$2001,"&gt;="&amp;F$4,_MainTable!$G$2:$G$2001,"&lt;="&amp;EOMONTH(F$4,0)))</f>
        <v>0</v>
      </c>
      <c r="G44" s="19" t="n">
        <f aca="false">IF($B44="","",SUMIFS(_MainTable!$K$2:$K$2001,_MainTable!$F$2:$F$2001,$B44,_MainTable!$G$2:$G$2001,"&gt;="&amp;G$4,_MainTable!$G$2:$G$2001,"&lt;="&amp;EOMONTH(G$4,0)))</f>
        <v>0</v>
      </c>
      <c r="H44" s="19" t="n">
        <f aca="false">IF($B44="","",SUMIFS(_MainTable!$K$2:$K$2001,_MainTable!$F$2:$F$2001,$B44,_MainTable!$G$2:$G$2001,"&gt;="&amp;H$4,_MainTable!$G$2:$G$2001,"&lt;="&amp;EOMONTH(H$4,0)))</f>
        <v>0</v>
      </c>
      <c r="I44" s="19" t="n">
        <f aca="false">IF($B44="","",SUMIFS(_MainTable!$K$2:$K$2001,_MainTable!$F$2:$F$2001,$B44,_MainTable!$G$2:$G$2001,"&gt;="&amp;I$4,_MainTable!$G$2:$G$2001,"&lt;="&amp;EOMONTH(I$4,0)))</f>
        <v>194937.93</v>
      </c>
      <c r="J44" s="19" t="n">
        <f aca="false">IF($B44="","",SUMIFS(_MainTable!$K$2:$K$2001,_MainTable!$F$2:$F$2001,$B44,_MainTable!$G$2:$G$2001,"&gt;="&amp;J$4,_MainTable!$G$2:$G$2001,"&lt;="&amp;EOMONTH(J$4,0)))</f>
        <v>0</v>
      </c>
      <c r="K44" s="19" t="n">
        <f aca="false">IF($B44="","",SUMIFS(_MainTable!$K$2:$K$2001,_MainTable!$F$2:$F$2001,$B44,_MainTable!$G$2:$G$2001,"&gt;="&amp;K$4,_MainTable!$G$2:$G$2001,"&lt;="&amp;EOMONTH(K$4,0)))</f>
        <v>0</v>
      </c>
      <c r="L44" s="19" t="n">
        <f aca="false">IF($B44="","",SUMIFS(_MainTable!$K$2:$K$2001,_MainTable!$F$2:$F$2001,$B44,_MainTable!$G$2:$G$2001,"&gt;="&amp;L$4,_MainTable!$G$2:$G$2001,"&lt;="&amp;EOMONTH(L$4,0)))</f>
        <v>0</v>
      </c>
      <c r="M44" s="19" t="n">
        <f aca="false">IF($B44="","",SUMIFS(_MainTable!$K$2:$K$2001,_MainTable!$F$2:$F$2001,$B44,_MainTable!$G$2:$G$2001,"&gt;="&amp;M$4,_MainTable!$G$2:$G$2001,"&lt;="&amp;EOMONTH(M$4,0)))</f>
        <v>0</v>
      </c>
      <c r="N44" s="19" t="n">
        <f aca="false">IF($B44="","",SUMIFS(_MainTable!$K$2:$K$2001,_MainTable!$F$2:$F$2001,$B44,_MainTable!$G$2:$G$2001,"&gt;="&amp;N$4,_MainTable!$G$2:$G$2001,"&lt;="&amp;EOMONTH(N$4,0)))</f>
        <v>0</v>
      </c>
      <c r="O44" s="30" t="n">
        <f aca="false">IF($B44="","",SUM(C44:N44))</f>
        <v>194937.93</v>
      </c>
    </row>
    <row r="45" customFormat="false" ht="15" hidden="false" customHeight="false" outlineLevel="0" collapsed="false">
      <c r="A45" s="17" t="str">
        <f aca="false">IF('PO Tracker'!$A45="","",'PO Tracker'!$A45)</f>
        <v>MEDLYTIX LLC</v>
      </c>
      <c r="B45" s="29" t="n">
        <f aca="false">IF('PO Tracker'!$B45="","",'PO Tracker'!$B45)</f>
        <v>12088</v>
      </c>
      <c r="C45" s="19" t="n">
        <f aca="false">IF($B45="","",SUMIFS(_MainTable!$K$2:$K$2001,_MainTable!$F$2:$F$2001,$B45,_MainTable!$G$2:$G$2001,"&gt;="&amp;C$4,_MainTable!$G$2:$G$2001,"&lt;="&amp;EOMONTH(C$4,0)))</f>
        <v>0</v>
      </c>
      <c r="D45" s="19" t="n">
        <f aca="false">IF($B45="","",SUMIFS(_MainTable!$K$2:$K$2001,_MainTable!$F$2:$F$2001,$B45,_MainTable!$G$2:$G$2001,"&gt;="&amp;D$4,_MainTable!$G$2:$G$2001,"&lt;="&amp;EOMONTH(D$4,0)))</f>
        <v>0</v>
      </c>
      <c r="E45" s="19" t="n">
        <f aca="false">IF($B45="","",SUMIFS(_MainTable!$K$2:$K$2001,_MainTable!$F$2:$F$2001,$B45,_MainTable!$G$2:$G$2001,"&gt;="&amp;E$4,_MainTable!$G$2:$G$2001,"&lt;="&amp;EOMONTH(E$4,0)))</f>
        <v>0</v>
      </c>
      <c r="F45" s="19" t="n">
        <f aca="false">IF($B45="","",SUMIFS(_MainTable!$K$2:$K$2001,_MainTable!$F$2:$F$2001,$B45,_MainTable!$G$2:$G$2001,"&gt;="&amp;F$4,_MainTable!$G$2:$G$2001,"&lt;="&amp;EOMONTH(F$4,0)))</f>
        <v>0</v>
      </c>
      <c r="G45" s="19" t="n">
        <f aca="false">IF($B45="","",SUMIFS(_MainTable!$K$2:$K$2001,_MainTable!$F$2:$F$2001,$B45,_MainTable!$G$2:$G$2001,"&gt;="&amp;G$4,_MainTable!$G$2:$G$2001,"&lt;="&amp;EOMONTH(G$4,0)))</f>
        <v>0</v>
      </c>
      <c r="H45" s="19" t="n">
        <f aca="false">IF($B45="","",SUMIFS(_MainTable!$K$2:$K$2001,_MainTable!$F$2:$F$2001,$B45,_MainTable!$G$2:$G$2001,"&gt;="&amp;H$4,_MainTable!$G$2:$G$2001,"&lt;="&amp;EOMONTH(H$4,0)))</f>
        <v>0</v>
      </c>
      <c r="I45" s="19" t="n">
        <f aca="false">IF($B45="","",SUMIFS(_MainTable!$K$2:$K$2001,_MainTable!$F$2:$F$2001,$B45,_MainTable!$G$2:$G$2001,"&gt;="&amp;I$4,_MainTable!$G$2:$G$2001,"&lt;="&amp;EOMONTH(I$4,0)))</f>
        <v>0</v>
      </c>
      <c r="J45" s="19" t="n">
        <f aca="false">IF($B45="","",SUMIFS(_MainTable!$K$2:$K$2001,_MainTable!$F$2:$F$2001,$B45,_MainTable!$G$2:$G$2001,"&gt;="&amp;J$4,_MainTable!$G$2:$G$2001,"&lt;="&amp;EOMONTH(J$4,0)))</f>
        <v>0</v>
      </c>
      <c r="K45" s="19" t="n">
        <f aca="false">IF($B45="","",SUMIFS(_MainTable!$K$2:$K$2001,_MainTable!$F$2:$F$2001,$B45,_MainTable!$G$2:$G$2001,"&gt;="&amp;K$4,_MainTable!$G$2:$G$2001,"&lt;="&amp;EOMONTH(K$4,0)))</f>
        <v>0</v>
      </c>
      <c r="L45" s="19" t="n">
        <f aca="false">IF($B45="","",SUMIFS(_MainTable!$K$2:$K$2001,_MainTable!$F$2:$F$2001,$B45,_MainTable!$G$2:$G$2001,"&gt;="&amp;L$4,_MainTable!$G$2:$G$2001,"&lt;="&amp;EOMONTH(L$4,0)))</f>
        <v>66407.26</v>
      </c>
      <c r="M45" s="19" t="n">
        <f aca="false">IF($B45="","",SUMIFS(_MainTable!$K$2:$K$2001,_MainTable!$F$2:$F$2001,$B45,_MainTable!$G$2:$G$2001,"&gt;="&amp;M$4,_MainTable!$G$2:$G$2001,"&lt;="&amp;EOMONTH(M$4,0)))</f>
        <v>0</v>
      </c>
      <c r="N45" s="19" t="n">
        <f aca="false">IF($B45="","",SUMIFS(_MainTable!$K$2:$K$2001,_MainTable!$F$2:$F$2001,$B45,_MainTable!$G$2:$G$2001,"&gt;="&amp;N$4,_MainTable!$G$2:$G$2001,"&lt;="&amp;EOMONTH(N$4,0)))</f>
        <v>0</v>
      </c>
      <c r="O45" s="30" t="n">
        <f aca="false">IF($B45="","",SUM(C45:N45))</f>
        <v>66407.26</v>
      </c>
    </row>
    <row r="46" customFormat="false" ht="15" hidden="false" customHeight="false" outlineLevel="0" collapsed="false">
      <c r="A46" s="17" t="str">
        <f aca="false">IF('PO Tracker'!$A46="","",'PO Tracker'!$A46)</f>
        <v>HYVE HEALTHCARE</v>
      </c>
      <c r="B46" s="29" t="n">
        <f aca="false">IF('PO Tracker'!$B46="","",'PO Tracker'!$B46)</f>
        <v>12263</v>
      </c>
      <c r="C46" s="19" t="n">
        <f aca="false">IF($B46="","",SUMIFS(_MainTable!$K$2:$K$2001,_MainTable!$F$2:$F$2001,$B46,_MainTable!$G$2:$G$2001,"&gt;="&amp;C$4,_MainTable!$G$2:$G$2001,"&lt;="&amp;EOMONTH(C$4,0)))</f>
        <v>0</v>
      </c>
      <c r="D46" s="19" t="n">
        <f aca="false">IF($B46="","",SUMIFS(_MainTable!$K$2:$K$2001,_MainTable!$F$2:$F$2001,$B46,_MainTable!$G$2:$G$2001,"&gt;="&amp;D$4,_MainTable!$G$2:$G$2001,"&lt;="&amp;EOMONTH(D$4,0)))</f>
        <v>0</v>
      </c>
      <c r="E46" s="19" t="n">
        <f aca="false">IF($B46="","",SUMIFS(_MainTable!$K$2:$K$2001,_MainTable!$F$2:$F$2001,$B46,_MainTable!$G$2:$G$2001,"&gt;="&amp;E$4,_MainTable!$G$2:$G$2001,"&lt;="&amp;EOMONTH(E$4,0)))</f>
        <v>0</v>
      </c>
      <c r="F46" s="19" t="n">
        <f aca="false">IF($B46="","",SUMIFS(_MainTable!$K$2:$K$2001,_MainTable!$F$2:$F$2001,$B46,_MainTable!$G$2:$G$2001,"&gt;="&amp;F$4,_MainTable!$G$2:$G$2001,"&lt;="&amp;EOMONTH(F$4,0)))</f>
        <v>0</v>
      </c>
      <c r="G46" s="19" t="n">
        <f aca="false">IF($B46="","",SUMIFS(_MainTable!$K$2:$K$2001,_MainTable!$F$2:$F$2001,$B46,_MainTable!$G$2:$G$2001,"&gt;="&amp;G$4,_MainTable!$G$2:$G$2001,"&lt;="&amp;EOMONTH(G$4,0)))</f>
        <v>0</v>
      </c>
      <c r="H46" s="19" t="n">
        <f aca="false">IF($B46="","",SUMIFS(_MainTable!$K$2:$K$2001,_MainTable!$F$2:$F$2001,$B46,_MainTable!$G$2:$G$2001,"&gt;="&amp;H$4,_MainTable!$G$2:$G$2001,"&lt;="&amp;EOMONTH(H$4,0)))</f>
        <v>0</v>
      </c>
      <c r="I46" s="19" t="n">
        <f aca="false">IF($B46="","",SUMIFS(_MainTable!$K$2:$K$2001,_MainTable!$F$2:$F$2001,$B46,_MainTable!$G$2:$G$2001,"&gt;="&amp;I$4,_MainTable!$G$2:$G$2001,"&lt;="&amp;EOMONTH(I$4,0)))</f>
        <v>0</v>
      </c>
      <c r="J46" s="19" t="n">
        <f aca="false">IF($B46="","",SUMIFS(_MainTable!$K$2:$K$2001,_MainTable!$F$2:$F$2001,$B46,_MainTable!$G$2:$G$2001,"&gt;="&amp;J$4,_MainTable!$G$2:$G$2001,"&lt;="&amp;EOMONTH(J$4,0)))</f>
        <v>0</v>
      </c>
      <c r="K46" s="19" t="n">
        <f aca="false">IF($B46="","",SUMIFS(_MainTable!$K$2:$K$2001,_MainTable!$F$2:$F$2001,$B46,_MainTable!$G$2:$G$2001,"&gt;="&amp;K$4,_MainTable!$G$2:$G$2001,"&lt;="&amp;EOMONTH(K$4,0)))</f>
        <v>0</v>
      </c>
      <c r="L46" s="19" t="n">
        <f aca="false">IF($B46="","",SUMIFS(_MainTable!$K$2:$K$2001,_MainTable!$F$2:$F$2001,$B46,_MainTable!$G$2:$G$2001,"&gt;="&amp;L$4,_MainTable!$G$2:$G$2001,"&lt;="&amp;EOMONTH(L$4,0)))</f>
        <v>0</v>
      </c>
      <c r="M46" s="19" t="n">
        <f aca="false">IF($B46="","",SUMIFS(_MainTable!$K$2:$K$2001,_MainTable!$F$2:$F$2001,$B46,_MainTable!$G$2:$G$2001,"&gt;="&amp;M$4,_MainTable!$G$2:$G$2001,"&lt;="&amp;EOMONTH(M$4,0)))</f>
        <v>0</v>
      </c>
      <c r="N46" s="19" t="n">
        <f aca="false">IF($B46="","",SUMIFS(_MainTable!$K$2:$K$2001,_MainTable!$F$2:$F$2001,$B46,_MainTable!$G$2:$G$2001,"&gt;="&amp;N$4,_MainTable!$G$2:$G$2001,"&lt;="&amp;EOMONTH(N$4,0)))</f>
        <v>0</v>
      </c>
      <c r="O46" s="30" t="n">
        <f aca="false">IF($B46="","",SUM(C46:N46))</f>
        <v>0</v>
      </c>
    </row>
    <row r="47" customFormat="false" ht="15" hidden="false" customHeight="false" outlineLevel="0" collapsed="false">
      <c r="A47" s="17" t="str">
        <f aca="false">IF('PO Tracker'!$A47="","",'PO Tracker'!$A47)</f>
        <v>UNITED AUDIT SYSTEMS INC</v>
      </c>
      <c r="B47" s="29" t="n">
        <f aca="false">IF('PO Tracker'!$B47="","",'PO Tracker'!$B47)</f>
        <v>12584</v>
      </c>
      <c r="C47" s="19" t="n">
        <f aca="false">IF($B47="","",SUMIFS(_MainTable!$K$2:$K$2001,_MainTable!$F$2:$F$2001,$B47,_MainTable!$G$2:$G$2001,"&gt;="&amp;C$4,_MainTable!$G$2:$G$2001,"&lt;="&amp;EOMONTH(C$4,0)))</f>
        <v>0</v>
      </c>
      <c r="D47" s="19" t="n">
        <f aca="false">IF($B47="","",SUMIFS(_MainTable!$K$2:$K$2001,_MainTable!$F$2:$F$2001,$B47,_MainTable!$G$2:$G$2001,"&gt;="&amp;D$4,_MainTable!$G$2:$G$2001,"&lt;="&amp;EOMONTH(D$4,0)))</f>
        <v>0</v>
      </c>
      <c r="E47" s="19" t="n">
        <f aca="false">IF($B47="","",SUMIFS(_MainTable!$K$2:$K$2001,_MainTable!$F$2:$F$2001,$B47,_MainTable!$G$2:$G$2001,"&gt;="&amp;E$4,_MainTable!$G$2:$G$2001,"&lt;="&amp;EOMONTH(E$4,0)))</f>
        <v>0</v>
      </c>
      <c r="F47" s="19" t="n">
        <f aca="false">IF($B47="","",SUMIFS(_MainTable!$K$2:$K$2001,_MainTable!$F$2:$F$2001,$B47,_MainTable!$G$2:$G$2001,"&gt;="&amp;F$4,_MainTable!$G$2:$G$2001,"&lt;="&amp;EOMONTH(F$4,0)))</f>
        <v>0</v>
      </c>
      <c r="G47" s="19" t="n">
        <f aca="false">IF($B47="","",SUMIFS(_MainTable!$K$2:$K$2001,_MainTable!$F$2:$F$2001,$B47,_MainTable!$G$2:$G$2001,"&gt;="&amp;G$4,_MainTable!$G$2:$G$2001,"&lt;="&amp;EOMONTH(G$4,0)))</f>
        <v>0</v>
      </c>
      <c r="H47" s="19" t="n">
        <f aca="false">IF($B47="","",SUMIFS(_MainTable!$K$2:$K$2001,_MainTable!$F$2:$F$2001,$B47,_MainTable!$G$2:$G$2001,"&gt;="&amp;H$4,_MainTable!$G$2:$G$2001,"&lt;="&amp;EOMONTH(H$4,0)))</f>
        <v>0</v>
      </c>
      <c r="I47" s="19" t="n">
        <f aca="false">IF($B47="","",SUMIFS(_MainTable!$K$2:$K$2001,_MainTable!$F$2:$F$2001,$B47,_MainTable!$G$2:$G$2001,"&gt;="&amp;I$4,_MainTable!$G$2:$G$2001,"&lt;="&amp;EOMONTH(I$4,0)))</f>
        <v>0</v>
      </c>
      <c r="J47" s="19" t="n">
        <f aca="false">IF($B47="","",SUMIFS(_MainTable!$K$2:$K$2001,_MainTable!$F$2:$F$2001,$B47,_MainTable!$G$2:$G$2001,"&gt;="&amp;J$4,_MainTable!$G$2:$G$2001,"&lt;="&amp;EOMONTH(J$4,0)))</f>
        <v>0</v>
      </c>
      <c r="K47" s="19" t="n">
        <f aca="false">IF($B47="","",SUMIFS(_MainTable!$K$2:$K$2001,_MainTable!$F$2:$F$2001,$B47,_MainTable!$G$2:$G$2001,"&gt;="&amp;K$4,_MainTable!$G$2:$G$2001,"&lt;="&amp;EOMONTH(K$4,0)))</f>
        <v>0</v>
      </c>
      <c r="L47" s="19" t="n">
        <f aca="false">IF($B47="","",SUMIFS(_MainTable!$K$2:$K$2001,_MainTable!$F$2:$F$2001,$B47,_MainTable!$G$2:$G$2001,"&gt;="&amp;L$4,_MainTable!$G$2:$G$2001,"&lt;="&amp;EOMONTH(L$4,0)))</f>
        <v>3822.5</v>
      </c>
      <c r="M47" s="19" t="n">
        <f aca="false">IF($B47="","",SUMIFS(_MainTable!$K$2:$K$2001,_MainTable!$F$2:$F$2001,$B47,_MainTable!$G$2:$G$2001,"&gt;="&amp;M$4,_MainTable!$G$2:$G$2001,"&lt;="&amp;EOMONTH(M$4,0)))</f>
        <v>0</v>
      </c>
      <c r="N47" s="19" t="n">
        <f aca="false">IF($B47="","",SUMIFS(_MainTable!$K$2:$K$2001,_MainTable!$F$2:$F$2001,$B47,_MainTable!$G$2:$G$2001,"&gt;="&amp;N$4,_MainTable!$G$2:$G$2001,"&lt;="&amp;EOMONTH(N$4,0)))</f>
        <v>0</v>
      </c>
      <c r="O47" s="30" t="n">
        <f aca="false">IF($B47="","",SUM(C47:N47))</f>
        <v>3822.5</v>
      </c>
    </row>
    <row r="48" customFormat="false" ht="15" hidden="false" customHeight="false" outlineLevel="0" collapsed="false">
      <c r="A48" s="17" t="str">
        <f aca="false">IF('PO Tracker'!$A48="","",'PO Tracker'!$A48)</f>
        <v/>
      </c>
      <c r="B48" s="29" t="str">
        <f aca="false">IF('PO Tracker'!$B48="","",'PO Tracker'!$B48)</f>
        <v/>
      </c>
      <c r="C48" s="19" t="str">
        <f aca="false">IF($B48="","",SUMIFS(_MainTable!$K$2:$K$2001,_MainTable!$F$2:$F$2001,$B48,_MainTable!$G$2:$G$2001,"&gt;="&amp;C$4,_MainTable!$G$2:$G$2001,"&lt;="&amp;EOMONTH(C$4,0)))</f>
        <v/>
      </c>
      <c r="D48" s="19" t="str">
        <f aca="false">IF($B48="","",SUMIFS(_MainTable!$K$2:$K$2001,_MainTable!$F$2:$F$2001,$B48,_MainTable!$G$2:$G$2001,"&gt;="&amp;D$4,_MainTable!$G$2:$G$2001,"&lt;="&amp;EOMONTH(D$4,0)))</f>
        <v/>
      </c>
      <c r="E48" s="19" t="str">
        <f aca="false">IF($B48="","",SUMIFS(_MainTable!$K$2:$K$2001,_MainTable!$F$2:$F$2001,$B48,_MainTable!$G$2:$G$2001,"&gt;="&amp;E$4,_MainTable!$G$2:$G$2001,"&lt;="&amp;EOMONTH(E$4,0)))</f>
        <v/>
      </c>
      <c r="F48" s="19" t="str">
        <f aca="false">IF($B48="","",SUMIFS(_MainTable!$K$2:$K$2001,_MainTable!$F$2:$F$2001,$B48,_MainTable!$G$2:$G$2001,"&gt;="&amp;F$4,_MainTable!$G$2:$G$2001,"&lt;="&amp;EOMONTH(F$4,0)))</f>
        <v/>
      </c>
      <c r="G48" s="19" t="str">
        <f aca="false">IF($B48="","",SUMIFS(_MainTable!$K$2:$K$2001,_MainTable!$F$2:$F$2001,$B48,_MainTable!$G$2:$G$2001,"&gt;="&amp;G$4,_MainTable!$G$2:$G$2001,"&lt;="&amp;EOMONTH(G$4,0)))</f>
        <v/>
      </c>
      <c r="H48" s="19" t="str">
        <f aca="false">IF($B48="","",SUMIFS(_MainTable!$K$2:$K$2001,_MainTable!$F$2:$F$2001,$B48,_MainTable!$G$2:$G$2001,"&gt;="&amp;H$4,_MainTable!$G$2:$G$2001,"&lt;="&amp;EOMONTH(H$4,0)))</f>
        <v/>
      </c>
      <c r="I48" s="19" t="str">
        <f aca="false">IF($B48="","",SUMIFS(_MainTable!$K$2:$K$2001,_MainTable!$F$2:$F$2001,$B48,_MainTable!$G$2:$G$2001,"&gt;="&amp;I$4,_MainTable!$G$2:$G$2001,"&lt;="&amp;EOMONTH(I$4,0)))</f>
        <v/>
      </c>
      <c r="J48" s="19" t="str">
        <f aca="false">IF($B48="","",SUMIFS(_MainTable!$K$2:$K$2001,_MainTable!$F$2:$F$2001,$B48,_MainTable!$G$2:$G$2001,"&gt;="&amp;J$4,_MainTable!$G$2:$G$2001,"&lt;="&amp;EOMONTH(J$4,0)))</f>
        <v/>
      </c>
      <c r="K48" s="19" t="str">
        <f aca="false">IF($B48="","",SUMIFS(_MainTable!$K$2:$K$2001,_MainTable!$F$2:$F$2001,$B48,_MainTable!$G$2:$G$2001,"&gt;="&amp;K$4,_MainTable!$G$2:$G$2001,"&lt;="&amp;EOMONTH(K$4,0)))</f>
        <v/>
      </c>
      <c r="L48" s="19" t="str">
        <f aca="false">IF($B48="","",SUMIFS(_MainTable!$K$2:$K$2001,_MainTable!$F$2:$F$2001,$B48,_MainTable!$G$2:$G$2001,"&gt;="&amp;L$4,_MainTable!$G$2:$G$2001,"&lt;="&amp;EOMONTH(L$4,0)))</f>
        <v/>
      </c>
      <c r="M48" s="19" t="str">
        <f aca="false">IF($B48="","",SUMIFS(_MainTable!$K$2:$K$2001,_MainTable!$F$2:$F$2001,$B48,_MainTable!$G$2:$G$2001,"&gt;="&amp;M$4,_MainTable!$G$2:$G$2001,"&lt;="&amp;EOMONTH(M$4,0)))</f>
        <v/>
      </c>
      <c r="N48" s="19" t="str">
        <f aca="false">IF($B48="","",SUMIFS(_MainTable!$K$2:$K$2001,_MainTable!$F$2:$F$2001,$B48,_MainTable!$G$2:$G$2001,"&gt;="&amp;N$4,_MainTable!$G$2:$G$2001,"&lt;="&amp;EOMONTH(N$4,0)))</f>
        <v/>
      </c>
      <c r="O48" s="30" t="str">
        <f aca="false">IF($B48="","",SUM(C48:N48))</f>
        <v/>
      </c>
    </row>
    <row r="49" customFormat="false" ht="15" hidden="false" customHeight="false" outlineLevel="0" collapsed="false">
      <c r="A49" s="17" t="str">
        <f aca="false">IF('PO Tracker'!$A49="","",'PO Tracker'!$A49)</f>
        <v/>
      </c>
      <c r="B49" s="29" t="str">
        <f aca="false">IF('PO Tracker'!$B49="","",'PO Tracker'!$B49)</f>
        <v/>
      </c>
      <c r="C49" s="19" t="str">
        <f aca="false">IF($B49="","",SUMIFS(_MainTable!$K$2:$K$2001,_MainTable!$F$2:$F$2001,$B49,_MainTable!$G$2:$G$2001,"&gt;="&amp;C$4,_MainTable!$G$2:$G$2001,"&lt;="&amp;EOMONTH(C$4,0)))</f>
        <v/>
      </c>
      <c r="D49" s="19" t="str">
        <f aca="false">IF($B49="","",SUMIFS(_MainTable!$K$2:$K$2001,_MainTable!$F$2:$F$2001,$B49,_MainTable!$G$2:$G$2001,"&gt;="&amp;D$4,_MainTable!$G$2:$G$2001,"&lt;="&amp;EOMONTH(D$4,0)))</f>
        <v/>
      </c>
      <c r="E49" s="19" t="str">
        <f aca="false">IF($B49="","",SUMIFS(_MainTable!$K$2:$K$2001,_MainTable!$F$2:$F$2001,$B49,_MainTable!$G$2:$G$2001,"&gt;="&amp;E$4,_MainTable!$G$2:$G$2001,"&lt;="&amp;EOMONTH(E$4,0)))</f>
        <v/>
      </c>
      <c r="F49" s="19" t="str">
        <f aca="false">IF($B49="","",SUMIFS(_MainTable!$K$2:$K$2001,_MainTable!$F$2:$F$2001,$B49,_MainTable!$G$2:$G$2001,"&gt;="&amp;F$4,_MainTable!$G$2:$G$2001,"&lt;="&amp;EOMONTH(F$4,0)))</f>
        <v/>
      </c>
      <c r="G49" s="19" t="str">
        <f aca="false">IF($B49="","",SUMIFS(_MainTable!$K$2:$K$2001,_MainTable!$F$2:$F$2001,$B49,_MainTable!$G$2:$G$2001,"&gt;="&amp;G$4,_MainTable!$G$2:$G$2001,"&lt;="&amp;EOMONTH(G$4,0)))</f>
        <v/>
      </c>
      <c r="H49" s="19" t="str">
        <f aca="false">IF($B49="","",SUMIFS(_MainTable!$K$2:$K$2001,_MainTable!$F$2:$F$2001,$B49,_MainTable!$G$2:$G$2001,"&gt;="&amp;H$4,_MainTable!$G$2:$G$2001,"&lt;="&amp;EOMONTH(H$4,0)))</f>
        <v/>
      </c>
      <c r="I49" s="19" t="str">
        <f aca="false">IF($B49="","",SUMIFS(_MainTable!$K$2:$K$2001,_MainTable!$F$2:$F$2001,$B49,_MainTable!$G$2:$G$2001,"&gt;="&amp;I$4,_MainTable!$G$2:$G$2001,"&lt;="&amp;EOMONTH(I$4,0)))</f>
        <v/>
      </c>
      <c r="J49" s="19" t="str">
        <f aca="false">IF($B49="","",SUMIFS(_MainTable!$K$2:$K$2001,_MainTable!$F$2:$F$2001,$B49,_MainTable!$G$2:$G$2001,"&gt;="&amp;J$4,_MainTable!$G$2:$G$2001,"&lt;="&amp;EOMONTH(J$4,0)))</f>
        <v/>
      </c>
      <c r="K49" s="19" t="str">
        <f aca="false">IF($B49="","",SUMIFS(_MainTable!$K$2:$K$2001,_MainTable!$F$2:$F$2001,$B49,_MainTable!$G$2:$G$2001,"&gt;="&amp;K$4,_MainTable!$G$2:$G$2001,"&lt;="&amp;EOMONTH(K$4,0)))</f>
        <v/>
      </c>
      <c r="L49" s="19" t="str">
        <f aca="false">IF($B49="","",SUMIFS(_MainTable!$K$2:$K$2001,_MainTable!$F$2:$F$2001,$B49,_MainTable!$G$2:$G$2001,"&gt;="&amp;L$4,_MainTable!$G$2:$G$2001,"&lt;="&amp;EOMONTH(L$4,0)))</f>
        <v/>
      </c>
      <c r="M49" s="19" t="str">
        <f aca="false">IF($B49="","",SUMIFS(_MainTable!$K$2:$K$2001,_MainTable!$F$2:$F$2001,$B49,_MainTable!$G$2:$G$2001,"&gt;="&amp;M$4,_MainTable!$G$2:$G$2001,"&lt;="&amp;EOMONTH(M$4,0)))</f>
        <v/>
      </c>
      <c r="N49" s="19" t="str">
        <f aca="false">IF($B49="","",SUMIFS(_MainTable!$K$2:$K$2001,_MainTable!$F$2:$F$2001,$B49,_MainTable!$G$2:$G$2001,"&gt;="&amp;N$4,_MainTable!$G$2:$G$2001,"&lt;="&amp;EOMONTH(N$4,0)))</f>
        <v/>
      </c>
      <c r="O49" s="30" t="str">
        <f aca="false">IF($B49="","",SUM(C49:N49))</f>
        <v/>
      </c>
    </row>
    <row r="50" customFormat="false" ht="15" hidden="false" customHeight="false" outlineLevel="0" collapsed="false">
      <c r="A50" s="17" t="str">
        <f aca="false">IF('PO Tracker'!$A50="","",'PO Tracker'!$A50)</f>
        <v/>
      </c>
      <c r="B50" s="29" t="str">
        <f aca="false">IF('PO Tracker'!$B50="","",'PO Tracker'!$B50)</f>
        <v/>
      </c>
      <c r="C50" s="19" t="str">
        <f aca="false">IF($B50="","",SUMIFS(_MainTable!$K$2:$K$2001,_MainTable!$F$2:$F$2001,$B50,_MainTable!$G$2:$G$2001,"&gt;="&amp;C$4,_MainTable!$G$2:$G$2001,"&lt;="&amp;EOMONTH(C$4,0)))</f>
        <v/>
      </c>
      <c r="D50" s="19" t="str">
        <f aca="false">IF($B50="","",SUMIFS(_MainTable!$K$2:$K$2001,_MainTable!$F$2:$F$2001,$B50,_MainTable!$G$2:$G$2001,"&gt;="&amp;D$4,_MainTable!$G$2:$G$2001,"&lt;="&amp;EOMONTH(D$4,0)))</f>
        <v/>
      </c>
      <c r="E50" s="19" t="str">
        <f aca="false">IF($B50="","",SUMIFS(_MainTable!$K$2:$K$2001,_MainTable!$F$2:$F$2001,$B50,_MainTable!$G$2:$G$2001,"&gt;="&amp;E$4,_MainTable!$G$2:$G$2001,"&lt;="&amp;EOMONTH(E$4,0)))</f>
        <v/>
      </c>
      <c r="F50" s="19" t="str">
        <f aca="false">IF($B50="","",SUMIFS(_MainTable!$K$2:$K$2001,_MainTable!$F$2:$F$2001,$B50,_MainTable!$G$2:$G$2001,"&gt;="&amp;F$4,_MainTable!$G$2:$G$2001,"&lt;="&amp;EOMONTH(F$4,0)))</f>
        <v/>
      </c>
      <c r="G50" s="19" t="str">
        <f aca="false">IF($B50="","",SUMIFS(_MainTable!$K$2:$K$2001,_MainTable!$F$2:$F$2001,$B50,_MainTable!$G$2:$G$2001,"&gt;="&amp;G$4,_MainTable!$G$2:$G$2001,"&lt;="&amp;EOMONTH(G$4,0)))</f>
        <v/>
      </c>
      <c r="H50" s="19" t="str">
        <f aca="false">IF($B50="","",SUMIFS(_MainTable!$K$2:$K$2001,_MainTable!$F$2:$F$2001,$B50,_MainTable!$G$2:$G$2001,"&gt;="&amp;H$4,_MainTable!$G$2:$G$2001,"&lt;="&amp;EOMONTH(H$4,0)))</f>
        <v/>
      </c>
      <c r="I50" s="19" t="str">
        <f aca="false">IF($B50="","",SUMIFS(_MainTable!$K$2:$K$2001,_MainTable!$F$2:$F$2001,$B50,_MainTable!$G$2:$G$2001,"&gt;="&amp;I$4,_MainTable!$G$2:$G$2001,"&lt;="&amp;EOMONTH(I$4,0)))</f>
        <v/>
      </c>
      <c r="J50" s="19" t="str">
        <f aca="false">IF($B50="","",SUMIFS(_MainTable!$K$2:$K$2001,_MainTable!$F$2:$F$2001,$B50,_MainTable!$G$2:$G$2001,"&gt;="&amp;J$4,_MainTable!$G$2:$G$2001,"&lt;="&amp;EOMONTH(J$4,0)))</f>
        <v/>
      </c>
      <c r="K50" s="19" t="str">
        <f aca="false">IF($B50="","",SUMIFS(_MainTable!$K$2:$K$2001,_MainTable!$F$2:$F$2001,$B50,_MainTable!$G$2:$G$2001,"&gt;="&amp;K$4,_MainTable!$G$2:$G$2001,"&lt;="&amp;EOMONTH(K$4,0)))</f>
        <v/>
      </c>
      <c r="L50" s="19" t="str">
        <f aca="false">IF($B50="","",SUMIFS(_MainTable!$K$2:$K$2001,_MainTable!$F$2:$F$2001,$B50,_MainTable!$G$2:$G$2001,"&gt;="&amp;L$4,_MainTable!$G$2:$G$2001,"&lt;="&amp;EOMONTH(L$4,0)))</f>
        <v/>
      </c>
      <c r="M50" s="19" t="str">
        <f aca="false">IF($B50="","",SUMIFS(_MainTable!$K$2:$K$2001,_MainTable!$F$2:$F$2001,$B50,_MainTable!$G$2:$G$2001,"&gt;="&amp;M$4,_MainTable!$G$2:$G$2001,"&lt;="&amp;EOMONTH(M$4,0)))</f>
        <v/>
      </c>
      <c r="N50" s="19" t="str">
        <f aca="false">IF($B50="","",SUMIFS(_MainTable!$K$2:$K$2001,_MainTable!$F$2:$F$2001,$B50,_MainTable!$G$2:$G$2001,"&gt;="&amp;N$4,_MainTable!$G$2:$G$2001,"&lt;="&amp;EOMONTH(N$4,0)))</f>
        <v/>
      </c>
      <c r="O50" s="30" t="str">
        <f aca="false">IF($B50="","",SUM(C50:N50))</f>
        <v/>
      </c>
    </row>
    <row r="51" customFormat="false" ht="15" hidden="false" customHeight="false" outlineLevel="0" collapsed="false">
      <c r="A51" s="17" t="str">
        <f aca="false">IF('PO Tracker'!$A51="","",'PO Tracker'!$A51)</f>
        <v/>
      </c>
      <c r="B51" s="29" t="str">
        <f aca="false">IF('PO Tracker'!$B51="","",'PO Tracker'!$B51)</f>
        <v/>
      </c>
      <c r="C51" s="19" t="str">
        <f aca="false">IF($B51="","",SUMIFS(_MainTable!$K$2:$K$2001,_MainTable!$F$2:$F$2001,$B51,_MainTable!$G$2:$G$2001,"&gt;="&amp;C$4,_MainTable!$G$2:$G$2001,"&lt;="&amp;EOMONTH(C$4,0)))</f>
        <v/>
      </c>
      <c r="D51" s="19" t="str">
        <f aca="false">IF($B51="","",SUMIFS(_MainTable!$K$2:$K$2001,_MainTable!$F$2:$F$2001,$B51,_MainTable!$G$2:$G$2001,"&gt;="&amp;D$4,_MainTable!$G$2:$G$2001,"&lt;="&amp;EOMONTH(D$4,0)))</f>
        <v/>
      </c>
      <c r="E51" s="19" t="str">
        <f aca="false">IF($B51="","",SUMIFS(_MainTable!$K$2:$K$2001,_MainTable!$F$2:$F$2001,$B51,_MainTable!$G$2:$G$2001,"&gt;="&amp;E$4,_MainTable!$G$2:$G$2001,"&lt;="&amp;EOMONTH(E$4,0)))</f>
        <v/>
      </c>
      <c r="F51" s="19" t="str">
        <f aca="false">IF($B51="","",SUMIFS(_MainTable!$K$2:$K$2001,_MainTable!$F$2:$F$2001,$B51,_MainTable!$G$2:$G$2001,"&gt;="&amp;F$4,_MainTable!$G$2:$G$2001,"&lt;="&amp;EOMONTH(F$4,0)))</f>
        <v/>
      </c>
      <c r="G51" s="19" t="str">
        <f aca="false">IF($B51="","",SUMIFS(_MainTable!$K$2:$K$2001,_MainTable!$F$2:$F$2001,$B51,_MainTable!$G$2:$G$2001,"&gt;="&amp;G$4,_MainTable!$G$2:$G$2001,"&lt;="&amp;EOMONTH(G$4,0)))</f>
        <v/>
      </c>
      <c r="H51" s="19" t="str">
        <f aca="false">IF($B51="","",SUMIFS(_MainTable!$K$2:$K$2001,_MainTable!$F$2:$F$2001,$B51,_MainTable!$G$2:$G$2001,"&gt;="&amp;H$4,_MainTable!$G$2:$G$2001,"&lt;="&amp;EOMONTH(H$4,0)))</f>
        <v/>
      </c>
      <c r="I51" s="19" t="str">
        <f aca="false">IF($B51="","",SUMIFS(_MainTable!$K$2:$K$2001,_MainTable!$F$2:$F$2001,$B51,_MainTable!$G$2:$G$2001,"&gt;="&amp;I$4,_MainTable!$G$2:$G$2001,"&lt;="&amp;EOMONTH(I$4,0)))</f>
        <v/>
      </c>
      <c r="J51" s="19" t="str">
        <f aca="false">IF($B51="","",SUMIFS(_MainTable!$K$2:$K$2001,_MainTable!$F$2:$F$2001,$B51,_MainTable!$G$2:$G$2001,"&gt;="&amp;J$4,_MainTable!$G$2:$G$2001,"&lt;="&amp;EOMONTH(J$4,0)))</f>
        <v/>
      </c>
      <c r="K51" s="19" t="str">
        <f aca="false">IF($B51="","",SUMIFS(_MainTable!$K$2:$K$2001,_MainTable!$F$2:$F$2001,$B51,_MainTable!$G$2:$G$2001,"&gt;="&amp;K$4,_MainTable!$G$2:$G$2001,"&lt;="&amp;EOMONTH(K$4,0)))</f>
        <v/>
      </c>
      <c r="L51" s="19" t="str">
        <f aca="false">IF($B51="","",SUMIFS(_MainTable!$K$2:$K$2001,_MainTable!$F$2:$F$2001,$B51,_MainTable!$G$2:$G$2001,"&gt;="&amp;L$4,_MainTable!$G$2:$G$2001,"&lt;="&amp;EOMONTH(L$4,0)))</f>
        <v/>
      </c>
      <c r="M51" s="19" t="str">
        <f aca="false">IF($B51="","",SUMIFS(_MainTable!$K$2:$K$2001,_MainTable!$F$2:$F$2001,$B51,_MainTable!$G$2:$G$2001,"&gt;="&amp;M$4,_MainTable!$G$2:$G$2001,"&lt;="&amp;EOMONTH(M$4,0)))</f>
        <v/>
      </c>
      <c r="N51" s="19" t="str">
        <f aca="false">IF($B51="","",SUMIFS(_MainTable!$K$2:$K$2001,_MainTable!$F$2:$F$2001,$B51,_MainTable!$G$2:$G$2001,"&gt;="&amp;N$4,_MainTable!$G$2:$G$2001,"&lt;="&amp;EOMONTH(N$4,0)))</f>
        <v/>
      </c>
      <c r="O51" s="30" t="str">
        <f aca="false">IF($B51="","",SUM(C51:N51))</f>
        <v/>
      </c>
    </row>
    <row r="52" customFormat="false" ht="15" hidden="false" customHeight="false" outlineLevel="0" collapsed="false">
      <c r="A52" s="17" t="str">
        <f aca="false">IF('PO Tracker'!$A52="","",'PO Tracker'!$A52)</f>
        <v/>
      </c>
      <c r="B52" s="29" t="str">
        <f aca="false">IF('PO Tracker'!$B52="","",'PO Tracker'!$B52)</f>
        <v/>
      </c>
      <c r="C52" s="19" t="str">
        <f aca="false">IF($B52="","",SUMIFS(_MainTable!$K$2:$K$2001,_MainTable!$F$2:$F$2001,$B52,_MainTable!$G$2:$G$2001,"&gt;="&amp;C$4,_MainTable!$G$2:$G$2001,"&lt;="&amp;EOMONTH(C$4,0)))</f>
        <v/>
      </c>
      <c r="D52" s="19" t="str">
        <f aca="false">IF($B52="","",SUMIFS(_MainTable!$K$2:$K$2001,_MainTable!$F$2:$F$2001,$B52,_MainTable!$G$2:$G$2001,"&gt;="&amp;D$4,_MainTable!$G$2:$G$2001,"&lt;="&amp;EOMONTH(D$4,0)))</f>
        <v/>
      </c>
      <c r="E52" s="19" t="str">
        <f aca="false">IF($B52="","",SUMIFS(_MainTable!$K$2:$K$2001,_MainTable!$F$2:$F$2001,$B52,_MainTable!$G$2:$G$2001,"&gt;="&amp;E$4,_MainTable!$G$2:$G$2001,"&lt;="&amp;EOMONTH(E$4,0)))</f>
        <v/>
      </c>
      <c r="F52" s="19" t="str">
        <f aca="false">IF($B52="","",SUMIFS(_MainTable!$K$2:$K$2001,_MainTable!$F$2:$F$2001,$B52,_MainTable!$G$2:$G$2001,"&gt;="&amp;F$4,_MainTable!$G$2:$G$2001,"&lt;="&amp;EOMONTH(F$4,0)))</f>
        <v/>
      </c>
      <c r="G52" s="19" t="str">
        <f aca="false">IF($B52="","",SUMIFS(_MainTable!$K$2:$K$2001,_MainTable!$F$2:$F$2001,$B52,_MainTable!$G$2:$G$2001,"&gt;="&amp;G$4,_MainTable!$G$2:$G$2001,"&lt;="&amp;EOMONTH(G$4,0)))</f>
        <v/>
      </c>
      <c r="H52" s="19" t="str">
        <f aca="false">IF($B52="","",SUMIFS(_MainTable!$K$2:$K$2001,_MainTable!$F$2:$F$2001,$B52,_MainTable!$G$2:$G$2001,"&gt;="&amp;H$4,_MainTable!$G$2:$G$2001,"&lt;="&amp;EOMONTH(H$4,0)))</f>
        <v/>
      </c>
      <c r="I52" s="19" t="str">
        <f aca="false">IF($B52="","",SUMIFS(_MainTable!$K$2:$K$2001,_MainTable!$F$2:$F$2001,$B52,_MainTable!$G$2:$G$2001,"&gt;="&amp;I$4,_MainTable!$G$2:$G$2001,"&lt;="&amp;EOMONTH(I$4,0)))</f>
        <v/>
      </c>
      <c r="J52" s="19" t="str">
        <f aca="false">IF($B52="","",SUMIFS(_MainTable!$K$2:$K$2001,_MainTable!$F$2:$F$2001,$B52,_MainTable!$G$2:$G$2001,"&gt;="&amp;J$4,_MainTable!$G$2:$G$2001,"&lt;="&amp;EOMONTH(J$4,0)))</f>
        <v/>
      </c>
      <c r="K52" s="19" t="str">
        <f aca="false">IF($B52="","",SUMIFS(_MainTable!$K$2:$K$2001,_MainTable!$F$2:$F$2001,$B52,_MainTable!$G$2:$G$2001,"&gt;="&amp;K$4,_MainTable!$G$2:$G$2001,"&lt;="&amp;EOMONTH(K$4,0)))</f>
        <v/>
      </c>
      <c r="L52" s="19" t="str">
        <f aca="false">IF($B52="","",SUMIFS(_MainTable!$K$2:$K$2001,_MainTable!$F$2:$F$2001,$B52,_MainTable!$G$2:$G$2001,"&gt;="&amp;L$4,_MainTable!$G$2:$G$2001,"&lt;="&amp;EOMONTH(L$4,0)))</f>
        <v/>
      </c>
      <c r="M52" s="19" t="str">
        <f aca="false">IF($B52="","",SUMIFS(_MainTable!$K$2:$K$2001,_MainTable!$F$2:$F$2001,$B52,_MainTable!$G$2:$G$2001,"&gt;="&amp;M$4,_MainTable!$G$2:$G$2001,"&lt;="&amp;EOMONTH(M$4,0)))</f>
        <v/>
      </c>
      <c r="N52" s="19" t="str">
        <f aca="false">IF($B52="","",SUMIFS(_MainTable!$K$2:$K$2001,_MainTable!$F$2:$F$2001,$B52,_MainTable!$G$2:$G$2001,"&gt;="&amp;N$4,_MainTable!$G$2:$G$2001,"&lt;="&amp;EOMONTH(N$4,0)))</f>
        <v/>
      </c>
      <c r="O52" s="30" t="str">
        <f aca="false">IF($B52="","",SUM(C52:N52))</f>
        <v/>
      </c>
    </row>
    <row r="53" customFormat="false" ht="15" hidden="false" customHeight="false" outlineLevel="0" collapsed="false">
      <c r="A53" s="17" t="str">
        <f aca="false">IF('PO Tracker'!$A53="","",'PO Tracker'!$A53)</f>
        <v/>
      </c>
      <c r="B53" s="29" t="str">
        <f aca="false">IF('PO Tracker'!$B53="","",'PO Tracker'!$B53)</f>
        <v/>
      </c>
      <c r="C53" s="19" t="str">
        <f aca="false">IF($B53="","",SUMIFS(_MainTable!$K$2:$K$2001,_MainTable!$F$2:$F$2001,$B53,_MainTable!$G$2:$G$2001,"&gt;="&amp;C$4,_MainTable!$G$2:$G$2001,"&lt;="&amp;EOMONTH(C$4,0)))</f>
        <v/>
      </c>
      <c r="D53" s="19" t="str">
        <f aca="false">IF($B53="","",SUMIFS(_MainTable!$K$2:$K$2001,_MainTable!$F$2:$F$2001,$B53,_MainTable!$G$2:$G$2001,"&gt;="&amp;D$4,_MainTable!$G$2:$G$2001,"&lt;="&amp;EOMONTH(D$4,0)))</f>
        <v/>
      </c>
      <c r="E53" s="19" t="str">
        <f aca="false">IF($B53="","",SUMIFS(_MainTable!$K$2:$K$2001,_MainTable!$F$2:$F$2001,$B53,_MainTable!$G$2:$G$2001,"&gt;="&amp;E$4,_MainTable!$G$2:$G$2001,"&lt;="&amp;EOMONTH(E$4,0)))</f>
        <v/>
      </c>
      <c r="F53" s="19" t="str">
        <f aca="false">IF($B53="","",SUMIFS(_MainTable!$K$2:$K$2001,_MainTable!$F$2:$F$2001,$B53,_MainTable!$G$2:$G$2001,"&gt;="&amp;F$4,_MainTable!$G$2:$G$2001,"&lt;="&amp;EOMONTH(F$4,0)))</f>
        <v/>
      </c>
      <c r="G53" s="19" t="str">
        <f aca="false">IF($B53="","",SUMIFS(_MainTable!$K$2:$K$2001,_MainTable!$F$2:$F$2001,$B53,_MainTable!$G$2:$G$2001,"&gt;="&amp;G$4,_MainTable!$G$2:$G$2001,"&lt;="&amp;EOMONTH(G$4,0)))</f>
        <v/>
      </c>
      <c r="H53" s="19" t="str">
        <f aca="false">IF($B53="","",SUMIFS(_MainTable!$K$2:$K$2001,_MainTable!$F$2:$F$2001,$B53,_MainTable!$G$2:$G$2001,"&gt;="&amp;H$4,_MainTable!$G$2:$G$2001,"&lt;="&amp;EOMONTH(H$4,0)))</f>
        <v/>
      </c>
      <c r="I53" s="19" t="str">
        <f aca="false">IF($B53="","",SUMIFS(_MainTable!$K$2:$K$2001,_MainTable!$F$2:$F$2001,$B53,_MainTable!$G$2:$G$2001,"&gt;="&amp;I$4,_MainTable!$G$2:$G$2001,"&lt;="&amp;EOMONTH(I$4,0)))</f>
        <v/>
      </c>
      <c r="J53" s="19" t="str">
        <f aca="false">IF($B53="","",SUMIFS(_MainTable!$K$2:$K$2001,_MainTable!$F$2:$F$2001,$B53,_MainTable!$G$2:$G$2001,"&gt;="&amp;J$4,_MainTable!$G$2:$G$2001,"&lt;="&amp;EOMONTH(J$4,0)))</f>
        <v/>
      </c>
      <c r="K53" s="19" t="str">
        <f aca="false">IF($B53="","",SUMIFS(_MainTable!$K$2:$K$2001,_MainTable!$F$2:$F$2001,$B53,_MainTable!$G$2:$G$2001,"&gt;="&amp;K$4,_MainTable!$G$2:$G$2001,"&lt;="&amp;EOMONTH(K$4,0)))</f>
        <v/>
      </c>
      <c r="L53" s="19" t="str">
        <f aca="false">IF($B53="","",SUMIFS(_MainTable!$K$2:$K$2001,_MainTable!$F$2:$F$2001,$B53,_MainTable!$G$2:$G$2001,"&gt;="&amp;L$4,_MainTable!$G$2:$G$2001,"&lt;="&amp;EOMONTH(L$4,0)))</f>
        <v/>
      </c>
      <c r="M53" s="19" t="str">
        <f aca="false">IF($B53="","",SUMIFS(_MainTable!$K$2:$K$2001,_MainTable!$F$2:$F$2001,$B53,_MainTable!$G$2:$G$2001,"&gt;="&amp;M$4,_MainTable!$G$2:$G$2001,"&lt;="&amp;EOMONTH(M$4,0)))</f>
        <v/>
      </c>
      <c r="N53" s="19" t="str">
        <f aca="false">IF($B53="","",SUMIFS(_MainTable!$K$2:$K$2001,_MainTable!$F$2:$F$2001,$B53,_MainTable!$G$2:$G$2001,"&gt;="&amp;N$4,_MainTable!$G$2:$G$2001,"&lt;="&amp;EOMONTH(N$4,0)))</f>
        <v/>
      </c>
      <c r="O53" s="30" t="str">
        <f aca="false">IF($B53="","",SUM(C53:N53))</f>
        <v/>
      </c>
    </row>
    <row r="54" customFormat="false" ht="15" hidden="false" customHeight="false" outlineLevel="0" collapsed="false">
      <c r="A54" s="17" t="str">
        <f aca="false">IF('PO Tracker'!$A54="","",'PO Tracker'!$A54)</f>
        <v/>
      </c>
      <c r="B54" s="29" t="str">
        <f aca="false">IF('PO Tracker'!$B54="","",'PO Tracker'!$B54)</f>
        <v/>
      </c>
      <c r="C54" s="19" t="str">
        <f aca="false">IF($B54="","",SUMIFS(_MainTable!$K$2:$K$2001,_MainTable!$F$2:$F$2001,$B54,_MainTable!$G$2:$G$2001,"&gt;="&amp;C$4,_MainTable!$G$2:$G$2001,"&lt;="&amp;EOMONTH(C$4,0)))</f>
        <v/>
      </c>
      <c r="D54" s="19" t="str">
        <f aca="false">IF($B54="","",SUMIFS(_MainTable!$K$2:$K$2001,_MainTable!$F$2:$F$2001,$B54,_MainTable!$G$2:$G$2001,"&gt;="&amp;D$4,_MainTable!$G$2:$G$2001,"&lt;="&amp;EOMONTH(D$4,0)))</f>
        <v/>
      </c>
      <c r="E54" s="19" t="str">
        <f aca="false">IF($B54="","",SUMIFS(_MainTable!$K$2:$K$2001,_MainTable!$F$2:$F$2001,$B54,_MainTable!$G$2:$G$2001,"&gt;="&amp;E$4,_MainTable!$G$2:$G$2001,"&lt;="&amp;EOMONTH(E$4,0)))</f>
        <v/>
      </c>
      <c r="F54" s="19" t="str">
        <f aca="false">IF($B54="","",SUMIFS(_MainTable!$K$2:$K$2001,_MainTable!$F$2:$F$2001,$B54,_MainTable!$G$2:$G$2001,"&gt;="&amp;F$4,_MainTable!$G$2:$G$2001,"&lt;="&amp;EOMONTH(F$4,0)))</f>
        <v/>
      </c>
      <c r="G54" s="19" t="str">
        <f aca="false">IF($B54="","",SUMIFS(_MainTable!$K$2:$K$2001,_MainTable!$F$2:$F$2001,$B54,_MainTable!$G$2:$G$2001,"&gt;="&amp;G$4,_MainTable!$G$2:$G$2001,"&lt;="&amp;EOMONTH(G$4,0)))</f>
        <v/>
      </c>
      <c r="H54" s="19" t="str">
        <f aca="false">IF($B54="","",SUMIFS(_MainTable!$K$2:$K$2001,_MainTable!$F$2:$F$2001,$B54,_MainTable!$G$2:$G$2001,"&gt;="&amp;H$4,_MainTable!$G$2:$G$2001,"&lt;="&amp;EOMONTH(H$4,0)))</f>
        <v/>
      </c>
      <c r="I54" s="19" t="str">
        <f aca="false">IF($B54="","",SUMIFS(_MainTable!$K$2:$K$2001,_MainTable!$F$2:$F$2001,$B54,_MainTable!$G$2:$G$2001,"&gt;="&amp;I$4,_MainTable!$G$2:$G$2001,"&lt;="&amp;EOMONTH(I$4,0)))</f>
        <v/>
      </c>
      <c r="J54" s="19" t="str">
        <f aca="false">IF($B54="","",SUMIFS(_MainTable!$K$2:$K$2001,_MainTable!$F$2:$F$2001,$B54,_MainTable!$G$2:$G$2001,"&gt;="&amp;J$4,_MainTable!$G$2:$G$2001,"&lt;="&amp;EOMONTH(J$4,0)))</f>
        <v/>
      </c>
      <c r="K54" s="19" t="str">
        <f aca="false">IF($B54="","",SUMIFS(_MainTable!$K$2:$K$2001,_MainTable!$F$2:$F$2001,$B54,_MainTable!$G$2:$G$2001,"&gt;="&amp;K$4,_MainTable!$G$2:$G$2001,"&lt;="&amp;EOMONTH(K$4,0)))</f>
        <v/>
      </c>
      <c r="L54" s="19" t="str">
        <f aca="false">IF($B54="","",SUMIFS(_MainTable!$K$2:$K$2001,_MainTable!$F$2:$F$2001,$B54,_MainTable!$G$2:$G$2001,"&gt;="&amp;L$4,_MainTable!$G$2:$G$2001,"&lt;="&amp;EOMONTH(L$4,0)))</f>
        <v/>
      </c>
      <c r="M54" s="19" t="str">
        <f aca="false">IF($B54="","",SUMIFS(_MainTable!$K$2:$K$2001,_MainTable!$F$2:$F$2001,$B54,_MainTable!$G$2:$G$2001,"&gt;="&amp;M$4,_MainTable!$G$2:$G$2001,"&lt;="&amp;EOMONTH(M$4,0)))</f>
        <v/>
      </c>
      <c r="N54" s="19" t="str">
        <f aca="false">IF($B54="","",SUMIFS(_MainTable!$K$2:$K$2001,_MainTable!$F$2:$F$2001,$B54,_MainTable!$G$2:$G$2001,"&gt;="&amp;N$4,_MainTable!$G$2:$G$2001,"&lt;="&amp;EOMONTH(N$4,0)))</f>
        <v/>
      </c>
      <c r="O54" s="30" t="str">
        <f aca="false">IF($B54="","",SUM(C54:N54))</f>
        <v/>
      </c>
    </row>
    <row r="55" customFormat="false" ht="15" hidden="false" customHeight="false" outlineLevel="0" collapsed="false">
      <c r="A55" s="17" t="str">
        <f aca="false">IF('PO Tracker'!$A55="","",'PO Tracker'!$A55)</f>
        <v/>
      </c>
      <c r="B55" s="29" t="str">
        <f aca="false">IF('PO Tracker'!$B55="","",'PO Tracker'!$B55)</f>
        <v/>
      </c>
      <c r="C55" s="19" t="str">
        <f aca="false">IF($B55="","",SUMIFS(_MainTable!$K$2:$K$2001,_MainTable!$F$2:$F$2001,$B55,_MainTable!$G$2:$G$2001,"&gt;="&amp;C$4,_MainTable!$G$2:$G$2001,"&lt;="&amp;EOMONTH(C$4,0)))</f>
        <v/>
      </c>
      <c r="D55" s="19" t="str">
        <f aca="false">IF($B55="","",SUMIFS(_MainTable!$K$2:$K$2001,_MainTable!$F$2:$F$2001,$B55,_MainTable!$G$2:$G$2001,"&gt;="&amp;D$4,_MainTable!$G$2:$G$2001,"&lt;="&amp;EOMONTH(D$4,0)))</f>
        <v/>
      </c>
      <c r="E55" s="19" t="str">
        <f aca="false">IF($B55="","",SUMIFS(_MainTable!$K$2:$K$2001,_MainTable!$F$2:$F$2001,$B55,_MainTable!$G$2:$G$2001,"&gt;="&amp;E$4,_MainTable!$G$2:$G$2001,"&lt;="&amp;EOMONTH(E$4,0)))</f>
        <v/>
      </c>
      <c r="F55" s="19" t="str">
        <f aca="false">IF($B55="","",SUMIFS(_MainTable!$K$2:$K$2001,_MainTable!$F$2:$F$2001,$B55,_MainTable!$G$2:$G$2001,"&gt;="&amp;F$4,_MainTable!$G$2:$G$2001,"&lt;="&amp;EOMONTH(F$4,0)))</f>
        <v/>
      </c>
      <c r="G55" s="19" t="str">
        <f aca="false">IF($B55="","",SUMIFS(_MainTable!$K$2:$K$2001,_MainTable!$F$2:$F$2001,$B55,_MainTable!$G$2:$G$2001,"&gt;="&amp;G$4,_MainTable!$G$2:$G$2001,"&lt;="&amp;EOMONTH(G$4,0)))</f>
        <v/>
      </c>
      <c r="H55" s="19" t="str">
        <f aca="false">IF($B55="","",SUMIFS(_MainTable!$K$2:$K$2001,_MainTable!$F$2:$F$2001,$B55,_MainTable!$G$2:$G$2001,"&gt;="&amp;H$4,_MainTable!$G$2:$G$2001,"&lt;="&amp;EOMONTH(H$4,0)))</f>
        <v/>
      </c>
      <c r="I55" s="19" t="str">
        <f aca="false">IF($B55="","",SUMIFS(_MainTable!$K$2:$K$2001,_MainTable!$F$2:$F$2001,$B55,_MainTable!$G$2:$G$2001,"&gt;="&amp;I$4,_MainTable!$G$2:$G$2001,"&lt;="&amp;EOMONTH(I$4,0)))</f>
        <v/>
      </c>
      <c r="J55" s="19" t="str">
        <f aca="false">IF($B55="","",SUMIFS(_MainTable!$K$2:$K$2001,_MainTable!$F$2:$F$2001,$B55,_MainTable!$G$2:$G$2001,"&gt;="&amp;J$4,_MainTable!$G$2:$G$2001,"&lt;="&amp;EOMONTH(J$4,0)))</f>
        <v/>
      </c>
      <c r="K55" s="19" t="str">
        <f aca="false">IF($B55="","",SUMIFS(_MainTable!$K$2:$K$2001,_MainTable!$F$2:$F$2001,$B55,_MainTable!$G$2:$G$2001,"&gt;="&amp;K$4,_MainTable!$G$2:$G$2001,"&lt;="&amp;EOMONTH(K$4,0)))</f>
        <v/>
      </c>
      <c r="L55" s="19" t="str">
        <f aca="false">IF($B55="","",SUMIFS(_MainTable!$K$2:$K$2001,_MainTable!$F$2:$F$2001,$B55,_MainTable!$G$2:$G$2001,"&gt;="&amp;L$4,_MainTable!$G$2:$G$2001,"&lt;="&amp;EOMONTH(L$4,0)))</f>
        <v/>
      </c>
      <c r="M55" s="19" t="str">
        <f aca="false">IF($B55="","",SUMIFS(_MainTable!$K$2:$K$2001,_MainTable!$F$2:$F$2001,$B55,_MainTable!$G$2:$G$2001,"&gt;="&amp;M$4,_MainTable!$G$2:$G$2001,"&lt;="&amp;EOMONTH(M$4,0)))</f>
        <v/>
      </c>
      <c r="N55" s="19" t="str">
        <f aca="false">IF($B55="","",SUMIFS(_MainTable!$K$2:$K$2001,_MainTable!$F$2:$F$2001,$B55,_MainTable!$G$2:$G$2001,"&gt;="&amp;N$4,_MainTable!$G$2:$G$2001,"&lt;="&amp;EOMONTH(N$4,0)))</f>
        <v/>
      </c>
      <c r="O55" s="30" t="str">
        <f aca="false">IF($B55="","",SUM(C55:N55))</f>
        <v/>
      </c>
    </row>
    <row r="56" customFormat="false" ht="15" hidden="false" customHeight="false" outlineLevel="0" collapsed="false">
      <c r="A56" s="17" t="str">
        <f aca="false">IF('PO Tracker'!$A56="","",'PO Tracker'!$A56)</f>
        <v/>
      </c>
      <c r="B56" s="29" t="str">
        <f aca="false">IF('PO Tracker'!$B56="","",'PO Tracker'!$B56)</f>
        <v/>
      </c>
      <c r="C56" s="19" t="str">
        <f aca="false">IF($B56="","",SUMIFS(_MainTable!$K$2:$K$2001,_MainTable!$F$2:$F$2001,$B56,_MainTable!$G$2:$G$2001,"&gt;="&amp;C$4,_MainTable!$G$2:$G$2001,"&lt;="&amp;EOMONTH(C$4,0)))</f>
        <v/>
      </c>
      <c r="D56" s="19" t="str">
        <f aca="false">IF($B56="","",SUMIFS(_MainTable!$K$2:$K$2001,_MainTable!$F$2:$F$2001,$B56,_MainTable!$G$2:$G$2001,"&gt;="&amp;D$4,_MainTable!$G$2:$G$2001,"&lt;="&amp;EOMONTH(D$4,0)))</f>
        <v/>
      </c>
      <c r="E56" s="19" t="str">
        <f aca="false">IF($B56="","",SUMIFS(_MainTable!$K$2:$K$2001,_MainTable!$F$2:$F$2001,$B56,_MainTable!$G$2:$G$2001,"&gt;="&amp;E$4,_MainTable!$G$2:$G$2001,"&lt;="&amp;EOMONTH(E$4,0)))</f>
        <v/>
      </c>
      <c r="F56" s="19" t="str">
        <f aca="false">IF($B56="","",SUMIFS(_MainTable!$K$2:$K$2001,_MainTable!$F$2:$F$2001,$B56,_MainTable!$G$2:$G$2001,"&gt;="&amp;F$4,_MainTable!$G$2:$G$2001,"&lt;="&amp;EOMONTH(F$4,0)))</f>
        <v/>
      </c>
      <c r="G56" s="19" t="str">
        <f aca="false">IF($B56="","",SUMIFS(_MainTable!$K$2:$K$2001,_MainTable!$F$2:$F$2001,$B56,_MainTable!$G$2:$G$2001,"&gt;="&amp;G$4,_MainTable!$G$2:$G$2001,"&lt;="&amp;EOMONTH(G$4,0)))</f>
        <v/>
      </c>
      <c r="H56" s="19" t="str">
        <f aca="false">IF($B56="","",SUMIFS(_MainTable!$K$2:$K$2001,_MainTable!$F$2:$F$2001,$B56,_MainTable!$G$2:$G$2001,"&gt;="&amp;H$4,_MainTable!$G$2:$G$2001,"&lt;="&amp;EOMONTH(H$4,0)))</f>
        <v/>
      </c>
      <c r="I56" s="19" t="str">
        <f aca="false">IF($B56="","",SUMIFS(_MainTable!$K$2:$K$2001,_MainTable!$F$2:$F$2001,$B56,_MainTable!$G$2:$G$2001,"&gt;="&amp;I$4,_MainTable!$G$2:$G$2001,"&lt;="&amp;EOMONTH(I$4,0)))</f>
        <v/>
      </c>
      <c r="J56" s="19" t="str">
        <f aca="false">IF($B56="","",SUMIFS(_MainTable!$K$2:$K$2001,_MainTable!$F$2:$F$2001,$B56,_MainTable!$G$2:$G$2001,"&gt;="&amp;J$4,_MainTable!$G$2:$G$2001,"&lt;="&amp;EOMONTH(J$4,0)))</f>
        <v/>
      </c>
      <c r="K56" s="19" t="str">
        <f aca="false">IF($B56="","",SUMIFS(_MainTable!$K$2:$K$2001,_MainTable!$F$2:$F$2001,$B56,_MainTable!$G$2:$G$2001,"&gt;="&amp;K$4,_MainTable!$G$2:$G$2001,"&lt;="&amp;EOMONTH(K$4,0)))</f>
        <v/>
      </c>
      <c r="L56" s="19" t="str">
        <f aca="false">IF($B56="","",SUMIFS(_MainTable!$K$2:$K$2001,_MainTable!$F$2:$F$2001,$B56,_MainTable!$G$2:$G$2001,"&gt;="&amp;L$4,_MainTable!$G$2:$G$2001,"&lt;="&amp;EOMONTH(L$4,0)))</f>
        <v/>
      </c>
      <c r="M56" s="19" t="str">
        <f aca="false">IF($B56="","",SUMIFS(_MainTable!$K$2:$K$2001,_MainTable!$F$2:$F$2001,$B56,_MainTable!$G$2:$G$2001,"&gt;="&amp;M$4,_MainTable!$G$2:$G$2001,"&lt;="&amp;EOMONTH(M$4,0)))</f>
        <v/>
      </c>
      <c r="N56" s="19" t="str">
        <f aca="false">IF($B56="","",SUMIFS(_MainTable!$K$2:$K$2001,_MainTable!$F$2:$F$2001,$B56,_MainTable!$G$2:$G$2001,"&gt;="&amp;N$4,_MainTable!$G$2:$G$2001,"&lt;="&amp;EOMONTH(N$4,0)))</f>
        <v/>
      </c>
      <c r="O56" s="30" t="str">
        <f aca="false">IF($B56="","",SUM(C56:N56))</f>
        <v/>
      </c>
    </row>
    <row r="57" customFormat="false" ht="15" hidden="false" customHeight="false" outlineLevel="0" collapsed="false">
      <c r="A57" s="17" t="str">
        <f aca="false">IF('PO Tracker'!$A57="","",'PO Tracker'!$A57)</f>
        <v/>
      </c>
      <c r="B57" s="29" t="str">
        <f aca="false">IF('PO Tracker'!$B57="","",'PO Tracker'!$B57)</f>
        <v/>
      </c>
      <c r="C57" s="19" t="str">
        <f aca="false">IF($B57="","",SUMIFS(_MainTable!$K$2:$K$2001,_MainTable!$F$2:$F$2001,$B57,_MainTable!$G$2:$G$2001,"&gt;="&amp;C$4,_MainTable!$G$2:$G$2001,"&lt;="&amp;EOMONTH(C$4,0)))</f>
        <v/>
      </c>
      <c r="D57" s="19" t="str">
        <f aca="false">IF($B57="","",SUMIFS(_MainTable!$K$2:$K$2001,_MainTable!$F$2:$F$2001,$B57,_MainTable!$G$2:$G$2001,"&gt;="&amp;D$4,_MainTable!$G$2:$G$2001,"&lt;="&amp;EOMONTH(D$4,0)))</f>
        <v/>
      </c>
      <c r="E57" s="19" t="str">
        <f aca="false">IF($B57="","",SUMIFS(_MainTable!$K$2:$K$2001,_MainTable!$F$2:$F$2001,$B57,_MainTable!$G$2:$G$2001,"&gt;="&amp;E$4,_MainTable!$G$2:$G$2001,"&lt;="&amp;EOMONTH(E$4,0)))</f>
        <v/>
      </c>
      <c r="F57" s="19" t="str">
        <f aca="false">IF($B57="","",SUMIFS(_MainTable!$K$2:$K$2001,_MainTable!$F$2:$F$2001,$B57,_MainTable!$G$2:$G$2001,"&gt;="&amp;F$4,_MainTable!$G$2:$G$2001,"&lt;="&amp;EOMONTH(F$4,0)))</f>
        <v/>
      </c>
      <c r="G57" s="19" t="str">
        <f aca="false">IF($B57="","",SUMIFS(_MainTable!$K$2:$K$2001,_MainTable!$F$2:$F$2001,$B57,_MainTable!$G$2:$G$2001,"&gt;="&amp;G$4,_MainTable!$G$2:$G$2001,"&lt;="&amp;EOMONTH(G$4,0)))</f>
        <v/>
      </c>
      <c r="H57" s="19" t="str">
        <f aca="false">IF($B57="","",SUMIFS(_MainTable!$K$2:$K$2001,_MainTable!$F$2:$F$2001,$B57,_MainTable!$G$2:$G$2001,"&gt;="&amp;H$4,_MainTable!$G$2:$G$2001,"&lt;="&amp;EOMONTH(H$4,0)))</f>
        <v/>
      </c>
      <c r="I57" s="19" t="str">
        <f aca="false">IF($B57="","",SUMIFS(_MainTable!$K$2:$K$2001,_MainTable!$F$2:$F$2001,$B57,_MainTable!$G$2:$G$2001,"&gt;="&amp;I$4,_MainTable!$G$2:$G$2001,"&lt;="&amp;EOMONTH(I$4,0)))</f>
        <v/>
      </c>
      <c r="J57" s="19" t="str">
        <f aca="false">IF($B57="","",SUMIFS(_MainTable!$K$2:$K$2001,_MainTable!$F$2:$F$2001,$B57,_MainTable!$G$2:$G$2001,"&gt;="&amp;J$4,_MainTable!$G$2:$G$2001,"&lt;="&amp;EOMONTH(J$4,0)))</f>
        <v/>
      </c>
      <c r="K57" s="19" t="str">
        <f aca="false">IF($B57="","",SUMIFS(_MainTable!$K$2:$K$2001,_MainTable!$F$2:$F$2001,$B57,_MainTable!$G$2:$G$2001,"&gt;="&amp;K$4,_MainTable!$G$2:$G$2001,"&lt;="&amp;EOMONTH(K$4,0)))</f>
        <v/>
      </c>
      <c r="L57" s="19" t="str">
        <f aca="false">IF($B57="","",SUMIFS(_MainTable!$K$2:$K$2001,_MainTable!$F$2:$F$2001,$B57,_MainTable!$G$2:$G$2001,"&gt;="&amp;L$4,_MainTable!$G$2:$G$2001,"&lt;="&amp;EOMONTH(L$4,0)))</f>
        <v/>
      </c>
      <c r="M57" s="19" t="str">
        <f aca="false">IF($B57="","",SUMIFS(_MainTable!$K$2:$K$2001,_MainTable!$F$2:$F$2001,$B57,_MainTable!$G$2:$G$2001,"&gt;="&amp;M$4,_MainTable!$G$2:$G$2001,"&lt;="&amp;EOMONTH(M$4,0)))</f>
        <v/>
      </c>
      <c r="N57" s="19" t="str">
        <f aca="false">IF($B57="","",SUMIFS(_MainTable!$K$2:$K$2001,_MainTable!$F$2:$F$2001,$B57,_MainTable!$G$2:$G$2001,"&gt;="&amp;N$4,_MainTable!$G$2:$G$2001,"&lt;="&amp;EOMONTH(N$4,0)))</f>
        <v/>
      </c>
      <c r="O57" s="30" t="str">
        <f aca="false">IF($B57="","",SUM(C57:N57))</f>
        <v/>
      </c>
    </row>
    <row r="58" customFormat="false" ht="15" hidden="false" customHeight="false" outlineLevel="0" collapsed="false">
      <c r="A58" s="17" t="str">
        <f aca="false">IF('PO Tracker'!$A58="","",'PO Tracker'!$A58)</f>
        <v/>
      </c>
      <c r="B58" s="29" t="str">
        <f aca="false">IF('PO Tracker'!$B58="","",'PO Tracker'!$B58)</f>
        <v/>
      </c>
      <c r="C58" s="19" t="str">
        <f aca="false">IF($B58="","",SUMIFS(_MainTable!$K$2:$K$2001,_MainTable!$F$2:$F$2001,$B58,_MainTable!$G$2:$G$2001,"&gt;="&amp;C$4,_MainTable!$G$2:$G$2001,"&lt;="&amp;EOMONTH(C$4,0)))</f>
        <v/>
      </c>
      <c r="D58" s="19" t="str">
        <f aca="false">IF($B58="","",SUMIFS(_MainTable!$K$2:$K$2001,_MainTable!$F$2:$F$2001,$B58,_MainTable!$G$2:$G$2001,"&gt;="&amp;D$4,_MainTable!$G$2:$G$2001,"&lt;="&amp;EOMONTH(D$4,0)))</f>
        <v/>
      </c>
      <c r="E58" s="19" t="str">
        <f aca="false">IF($B58="","",SUMIFS(_MainTable!$K$2:$K$2001,_MainTable!$F$2:$F$2001,$B58,_MainTable!$G$2:$G$2001,"&gt;="&amp;E$4,_MainTable!$G$2:$G$2001,"&lt;="&amp;EOMONTH(E$4,0)))</f>
        <v/>
      </c>
      <c r="F58" s="19" t="str">
        <f aca="false">IF($B58="","",SUMIFS(_MainTable!$K$2:$K$2001,_MainTable!$F$2:$F$2001,$B58,_MainTable!$G$2:$G$2001,"&gt;="&amp;F$4,_MainTable!$G$2:$G$2001,"&lt;="&amp;EOMONTH(F$4,0)))</f>
        <v/>
      </c>
      <c r="G58" s="19" t="str">
        <f aca="false">IF($B58="","",SUMIFS(_MainTable!$K$2:$K$2001,_MainTable!$F$2:$F$2001,$B58,_MainTable!$G$2:$G$2001,"&gt;="&amp;G$4,_MainTable!$G$2:$G$2001,"&lt;="&amp;EOMONTH(G$4,0)))</f>
        <v/>
      </c>
      <c r="H58" s="19" t="str">
        <f aca="false">IF($B58="","",SUMIFS(_MainTable!$K$2:$K$2001,_MainTable!$F$2:$F$2001,$B58,_MainTable!$G$2:$G$2001,"&gt;="&amp;H$4,_MainTable!$G$2:$G$2001,"&lt;="&amp;EOMONTH(H$4,0)))</f>
        <v/>
      </c>
      <c r="I58" s="19" t="str">
        <f aca="false">IF($B58="","",SUMIFS(_MainTable!$K$2:$K$2001,_MainTable!$F$2:$F$2001,$B58,_MainTable!$G$2:$G$2001,"&gt;="&amp;I$4,_MainTable!$G$2:$G$2001,"&lt;="&amp;EOMONTH(I$4,0)))</f>
        <v/>
      </c>
      <c r="J58" s="19" t="str">
        <f aca="false">IF($B58="","",SUMIFS(_MainTable!$K$2:$K$2001,_MainTable!$F$2:$F$2001,$B58,_MainTable!$G$2:$G$2001,"&gt;="&amp;J$4,_MainTable!$G$2:$G$2001,"&lt;="&amp;EOMONTH(J$4,0)))</f>
        <v/>
      </c>
      <c r="K58" s="19" t="str">
        <f aca="false">IF($B58="","",SUMIFS(_MainTable!$K$2:$K$2001,_MainTable!$F$2:$F$2001,$B58,_MainTable!$G$2:$G$2001,"&gt;="&amp;K$4,_MainTable!$G$2:$G$2001,"&lt;="&amp;EOMONTH(K$4,0)))</f>
        <v/>
      </c>
      <c r="L58" s="19" t="str">
        <f aca="false">IF($B58="","",SUMIFS(_MainTable!$K$2:$K$2001,_MainTable!$F$2:$F$2001,$B58,_MainTable!$G$2:$G$2001,"&gt;="&amp;L$4,_MainTable!$G$2:$G$2001,"&lt;="&amp;EOMONTH(L$4,0)))</f>
        <v/>
      </c>
      <c r="M58" s="19" t="str">
        <f aca="false">IF($B58="","",SUMIFS(_MainTable!$K$2:$K$2001,_MainTable!$F$2:$F$2001,$B58,_MainTable!$G$2:$G$2001,"&gt;="&amp;M$4,_MainTable!$G$2:$G$2001,"&lt;="&amp;EOMONTH(M$4,0)))</f>
        <v/>
      </c>
      <c r="N58" s="19" t="str">
        <f aca="false">IF($B58="","",SUMIFS(_MainTable!$K$2:$K$2001,_MainTable!$F$2:$F$2001,$B58,_MainTable!$G$2:$G$2001,"&gt;="&amp;N$4,_MainTable!$G$2:$G$2001,"&lt;="&amp;EOMONTH(N$4,0)))</f>
        <v/>
      </c>
      <c r="O58" s="30" t="str">
        <f aca="false">IF($B58="","",SUM(C58:N58))</f>
        <v/>
      </c>
    </row>
    <row r="59" customFormat="false" ht="15" hidden="false" customHeight="false" outlineLevel="0" collapsed="false">
      <c r="A59" s="17" t="str">
        <f aca="false">IF('PO Tracker'!$A59="","",'PO Tracker'!$A59)</f>
        <v/>
      </c>
      <c r="B59" s="29" t="str">
        <f aca="false">IF('PO Tracker'!$B59="","",'PO Tracker'!$B59)</f>
        <v/>
      </c>
      <c r="C59" s="19" t="str">
        <f aca="false">IF($B59="","",SUMIFS(_MainTable!$K$2:$K$2001,_MainTable!$F$2:$F$2001,$B59,_MainTable!$G$2:$G$2001,"&gt;="&amp;C$4,_MainTable!$G$2:$G$2001,"&lt;="&amp;EOMONTH(C$4,0)))</f>
        <v/>
      </c>
      <c r="D59" s="19" t="str">
        <f aca="false">IF($B59="","",SUMIFS(_MainTable!$K$2:$K$2001,_MainTable!$F$2:$F$2001,$B59,_MainTable!$G$2:$G$2001,"&gt;="&amp;D$4,_MainTable!$G$2:$G$2001,"&lt;="&amp;EOMONTH(D$4,0)))</f>
        <v/>
      </c>
      <c r="E59" s="19" t="str">
        <f aca="false">IF($B59="","",SUMIFS(_MainTable!$K$2:$K$2001,_MainTable!$F$2:$F$2001,$B59,_MainTable!$G$2:$G$2001,"&gt;="&amp;E$4,_MainTable!$G$2:$G$2001,"&lt;="&amp;EOMONTH(E$4,0)))</f>
        <v/>
      </c>
      <c r="F59" s="19" t="str">
        <f aca="false">IF($B59="","",SUMIFS(_MainTable!$K$2:$K$2001,_MainTable!$F$2:$F$2001,$B59,_MainTable!$G$2:$G$2001,"&gt;="&amp;F$4,_MainTable!$G$2:$G$2001,"&lt;="&amp;EOMONTH(F$4,0)))</f>
        <v/>
      </c>
      <c r="G59" s="19" t="str">
        <f aca="false">IF($B59="","",SUMIFS(_MainTable!$K$2:$K$2001,_MainTable!$F$2:$F$2001,$B59,_MainTable!$G$2:$G$2001,"&gt;="&amp;G$4,_MainTable!$G$2:$G$2001,"&lt;="&amp;EOMONTH(G$4,0)))</f>
        <v/>
      </c>
      <c r="H59" s="19" t="str">
        <f aca="false">IF($B59="","",SUMIFS(_MainTable!$K$2:$K$2001,_MainTable!$F$2:$F$2001,$B59,_MainTable!$G$2:$G$2001,"&gt;="&amp;H$4,_MainTable!$G$2:$G$2001,"&lt;="&amp;EOMONTH(H$4,0)))</f>
        <v/>
      </c>
      <c r="I59" s="19" t="str">
        <f aca="false">IF($B59="","",SUMIFS(_MainTable!$K$2:$K$2001,_MainTable!$F$2:$F$2001,$B59,_MainTable!$G$2:$G$2001,"&gt;="&amp;I$4,_MainTable!$G$2:$G$2001,"&lt;="&amp;EOMONTH(I$4,0)))</f>
        <v/>
      </c>
      <c r="J59" s="19" t="str">
        <f aca="false">IF($B59="","",SUMIFS(_MainTable!$K$2:$K$2001,_MainTable!$F$2:$F$2001,$B59,_MainTable!$G$2:$G$2001,"&gt;="&amp;J$4,_MainTable!$G$2:$G$2001,"&lt;="&amp;EOMONTH(J$4,0)))</f>
        <v/>
      </c>
      <c r="K59" s="19" t="str">
        <f aca="false">IF($B59="","",SUMIFS(_MainTable!$K$2:$K$2001,_MainTable!$F$2:$F$2001,$B59,_MainTable!$G$2:$G$2001,"&gt;="&amp;K$4,_MainTable!$G$2:$G$2001,"&lt;="&amp;EOMONTH(K$4,0)))</f>
        <v/>
      </c>
      <c r="L59" s="19" t="str">
        <f aca="false">IF($B59="","",SUMIFS(_MainTable!$K$2:$K$2001,_MainTable!$F$2:$F$2001,$B59,_MainTable!$G$2:$G$2001,"&gt;="&amp;L$4,_MainTable!$G$2:$G$2001,"&lt;="&amp;EOMONTH(L$4,0)))</f>
        <v/>
      </c>
      <c r="M59" s="19" t="str">
        <f aca="false">IF($B59="","",SUMIFS(_MainTable!$K$2:$K$2001,_MainTable!$F$2:$F$2001,$B59,_MainTable!$G$2:$G$2001,"&gt;="&amp;M$4,_MainTable!$G$2:$G$2001,"&lt;="&amp;EOMONTH(M$4,0)))</f>
        <v/>
      </c>
      <c r="N59" s="19" t="str">
        <f aca="false">IF($B59="","",SUMIFS(_MainTable!$K$2:$K$2001,_MainTable!$F$2:$F$2001,$B59,_MainTable!$G$2:$G$2001,"&gt;="&amp;N$4,_MainTable!$G$2:$G$2001,"&lt;="&amp;EOMONTH(N$4,0)))</f>
        <v/>
      </c>
      <c r="O59" s="30" t="str">
        <f aca="false">IF($B59="","",SUM(C59:N59))</f>
        <v/>
      </c>
    </row>
    <row r="60" customFormat="false" ht="15" hidden="false" customHeight="false" outlineLevel="0" collapsed="false">
      <c r="A60" s="17" t="str">
        <f aca="false">IF('PO Tracker'!$A60="","",'PO Tracker'!$A60)</f>
        <v/>
      </c>
      <c r="B60" s="29" t="str">
        <f aca="false">IF('PO Tracker'!$B60="","",'PO Tracker'!$B60)</f>
        <v/>
      </c>
      <c r="C60" s="19" t="str">
        <f aca="false">IF($B60="","",SUMIFS(_MainTable!$K$2:$K$2001,_MainTable!$F$2:$F$2001,$B60,_MainTable!$G$2:$G$2001,"&gt;="&amp;C$4,_MainTable!$G$2:$G$2001,"&lt;="&amp;EOMONTH(C$4,0)))</f>
        <v/>
      </c>
      <c r="D60" s="19" t="str">
        <f aca="false">IF($B60="","",SUMIFS(_MainTable!$K$2:$K$2001,_MainTable!$F$2:$F$2001,$B60,_MainTable!$G$2:$G$2001,"&gt;="&amp;D$4,_MainTable!$G$2:$G$2001,"&lt;="&amp;EOMONTH(D$4,0)))</f>
        <v/>
      </c>
      <c r="E60" s="19" t="str">
        <f aca="false">IF($B60="","",SUMIFS(_MainTable!$K$2:$K$2001,_MainTable!$F$2:$F$2001,$B60,_MainTable!$G$2:$G$2001,"&gt;="&amp;E$4,_MainTable!$G$2:$G$2001,"&lt;="&amp;EOMONTH(E$4,0)))</f>
        <v/>
      </c>
      <c r="F60" s="19" t="str">
        <f aca="false">IF($B60="","",SUMIFS(_MainTable!$K$2:$K$2001,_MainTable!$F$2:$F$2001,$B60,_MainTable!$G$2:$G$2001,"&gt;="&amp;F$4,_MainTable!$G$2:$G$2001,"&lt;="&amp;EOMONTH(F$4,0)))</f>
        <v/>
      </c>
      <c r="G60" s="19" t="str">
        <f aca="false">IF($B60="","",SUMIFS(_MainTable!$K$2:$K$2001,_MainTable!$F$2:$F$2001,$B60,_MainTable!$G$2:$G$2001,"&gt;="&amp;G$4,_MainTable!$G$2:$G$2001,"&lt;="&amp;EOMONTH(G$4,0)))</f>
        <v/>
      </c>
      <c r="H60" s="19" t="str">
        <f aca="false">IF($B60="","",SUMIFS(_MainTable!$K$2:$K$2001,_MainTable!$F$2:$F$2001,$B60,_MainTable!$G$2:$G$2001,"&gt;="&amp;H$4,_MainTable!$G$2:$G$2001,"&lt;="&amp;EOMONTH(H$4,0)))</f>
        <v/>
      </c>
      <c r="I60" s="19" t="str">
        <f aca="false">IF($B60="","",SUMIFS(_MainTable!$K$2:$K$2001,_MainTable!$F$2:$F$2001,$B60,_MainTable!$G$2:$G$2001,"&gt;="&amp;I$4,_MainTable!$G$2:$G$2001,"&lt;="&amp;EOMONTH(I$4,0)))</f>
        <v/>
      </c>
      <c r="J60" s="19" t="str">
        <f aca="false">IF($B60="","",SUMIFS(_MainTable!$K$2:$K$2001,_MainTable!$F$2:$F$2001,$B60,_MainTable!$G$2:$G$2001,"&gt;="&amp;J$4,_MainTable!$G$2:$G$2001,"&lt;="&amp;EOMONTH(J$4,0)))</f>
        <v/>
      </c>
      <c r="K60" s="19" t="str">
        <f aca="false">IF($B60="","",SUMIFS(_MainTable!$K$2:$K$2001,_MainTable!$F$2:$F$2001,$B60,_MainTable!$G$2:$G$2001,"&gt;="&amp;K$4,_MainTable!$G$2:$G$2001,"&lt;="&amp;EOMONTH(K$4,0)))</f>
        <v/>
      </c>
      <c r="L60" s="19" t="str">
        <f aca="false">IF($B60="","",SUMIFS(_MainTable!$K$2:$K$2001,_MainTable!$F$2:$F$2001,$B60,_MainTable!$G$2:$G$2001,"&gt;="&amp;L$4,_MainTable!$G$2:$G$2001,"&lt;="&amp;EOMONTH(L$4,0)))</f>
        <v/>
      </c>
      <c r="M60" s="19" t="str">
        <f aca="false">IF($B60="","",SUMIFS(_MainTable!$K$2:$K$2001,_MainTable!$F$2:$F$2001,$B60,_MainTable!$G$2:$G$2001,"&gt;="&amp;M$4,_MainTable!$G$2:$G$2001,"&lt;="&amp;EOMONTH(M$4,0)))</f>
        <v/>
      </c>
      <c r="N60" s="19" t="str">
        <f aca="false">IF($B60="","",SUMIFS(_MainTable!$K$2:$K$2001,_MainTable!$F$2:$F$2001,$B60,_MainTable!$G$2:$G$2001,"&gt;="&amp;N$4,_MainTable!$G$2:$G$2001,"&lt;="&amp;EOMONTH(N$4,0)))</f>
        <v/>
      </c>
      <c r="O60" s="30" t="str">
        <f aca="false">IF($B60="","",SUM(C60:N60))</f>
        <v/>
      </c>
    </row>
    <row r="61" customFormat="false" ht="15" hidden="false" customHeight="false" outlineLevel="0" collapsed="false">
      <c r="A61" s="17" t="str">
        <f aca="false">IF('PO Tracker'!$A61="","",'PO Tracker'!$A61)</f>
        <v/>
      </c>
      <c r="B61" s="29" t="str">
        <f aca="false">IF('PO Tracker'!$B61="","",'PO Tracker'!$B61)</f>
        <v/>
      </c>
      <c r="C61" s="19" t="str">
        <f aca="false">IF($B61="","",SUMIFS(_MainTable!$K$2:$K$2001,_MainTable!$F$2:$F$2001,$B61,_MainTable!$G$2:$G$2001,"&gt;="&amp;C$4,_MainTable!$G$2:$G$2001,"&lt;="&amp;EOMONTH(C$4,0)))</f>
        <v/>
      </c>
      <c r="D61" s="19" t="str">
        <f aca="false">IF($B61="","",SUMIFS(_MainTable!$K$2:$K$2001,_MainTable!$F$2:$F$2001,$B61,_MainTable!$G$2:$G$2001,"&gt;="&amp;D$4,_MainTable!$G$2:$G$2001,"&lt;="&amp;EOMONTH(D$4,0)))</f>
        <v/>
      </c>
      <c r="E61" s="19" t="str">
        <f aca="false">IF($B61="","",SUMIFS(_MainTable!$K$2:$K$2001,_MainTable!$F$2:$F$2001,$B61,_MainTable!$G$2:$G$2001,"&gt;="&amp;E$4,_MainTable!$G$2:$G$2001,"&lt;="&amp;EOMONTH(E$4,0)))</f>
        <v/>
      </c>
      <c r="F61" s="19" t="str">
        <f aca="false">IF($B61="","",SUMIFS(_MainTable!$K$2:$K$2001,_MainTable!$F$2:$F$2001,$B61,_MainTable!$G$2:$G$2001,"&gt;="&amp;F$4,_MainTable!$G$2:$G$2001,"&lt;="&amp;EOMONTH(F$4,0)))</f>
        <v/>
      </c>
      <c r="G61" s="19" t="str">
        <f aca="false">IF($B61="","",SUMIFS(_MainTable!$K$2:$K$2001,_MainTable!$F$2:$F$2001,$B61,_MainTable!$G$2:$G$2001,"&gt;="&amp;G$4,_MainTable!$G$2:$G$2001,"&lt;="&amp;EOMONTH(G$4,0)))</f>
        <v/>
      </c>
      <c r="H61" s="19" t="str">
        <f aca="false">IF($B61="","",SUMIFS(_MainTable!$K$2:$K$2001,_MainTable!$F$2:$F$2001,$B61,_MainTable!$G$2:$G$2001,"&gt;="&amp;H$4,_MainTable!$G$2:$G$2001,"&lt;="&amp;EOMONTH(H$4,0)))</f>
        <v/>
      </c>
      <c r="I61" s="19" t="str">
        <f aca="false">IF($B61="","",SUMIFS(_MainTable!$K$2:$K$2001,_MainTable!$F$2:$F$2001,$B61,_MainTable!$G$2:$G$2001,"&gt;="&amp;I$4,_MainTable!$G$2:$G$2001,"&lt;="&amp;EOMONTH(I$4,0)))</f>
        <v/>
      </c>
      <c r="J61" s="19" t="str">
        <f aca="false">IF($B61="","",SUMIFS(_MainTable!$K$2:$K$2001,_MainTable!$F$2:$F$2001,$B61,_MainTable!$G$2:$G$2001,"&gt;="&amp;J$4,_MainTable!$G$2:$G$2001,"&lt;="&amp;EOMONTH(J$4,0)))</f>
        <v/>
      </c>
      <c r="K61" s="19" t="str">
        <f aca="false">IF($B61="","",SUMIFS(_MainTable!$K$2:$K$2001,_MainTable!$F$2:$F$2001,$B61,_MainTable!$G$2:$G$2001,"&gt;="&amp;K$4,_MainTable!$G$2:$G$2001,"&lt;="&amp;EOMONTH(K$4,0)))</f>
        <v/>
      </c>
      <c r="L61" s="19" t="str">
        <f aca="false">IF($B61="","",SUMIFS(_MainTable!$K$2:$K$2001,_MainTable!$F$2:$F$2001,$B61,_MainTable!$G$2:$G$2001,"&gt;="&amp;L$4,_MainTable!$G$2:$G$2001,"&lt;="&amp;EOMONTH(L$4,0)))</f>
        <v/>
      </c>
      <c r="M61" s="19" t="str">
        <f aca="false">IF($B61="","",SUMIFS(_MainTable!$K$2:$K$2001,_MainTable!$F$2:$F$2001,$B61,_MainTable!$G$2:$G$2001,"&gt;="&amp;M$4,_MainTable!$G$2:$G$2001,"&lt;="&amp;EOMONTH(M$4,0)))</f>
        <v/>
      </c>
      <c r="N61" s="19" t="str">
        <f aca="false">IF($B61="","",SUMIFS(_MainTable!$K$2:$K$2001,_MainTable!$F$2:$F$2001,$B61,_MainTable!$G$2:$G$2001,"&gt;="&amp;N$4,_MainTable!$G$2:$G$2001,"&lt;="&amp;EOMONTH(N$4,0)))</f>
        <v/>
      </c>
      <c r="O61" s="30" t="str">
        <f aca="false">IF($B61="","",SUM(C61:N61))</f>
        <v/>
      </c>
    </row>
    <row r="62" customFormat="false" ht="15" hidden="false" customHeight="false" outlineLevel="0" collapsed="false">
      <c r="A62" s="17" t="str">
        <f aca="false">IF('PO Tracker'!$A62="","",'PO Tracker'!$A62)</f>
        <v/>
      </c>
      <c r="B62" s="29" t="str">
        <f aca="false">IF('PO Tracker'!$B62="","",'PO Tracker'!$B62)</f>
        <v/>
      </c>
      <c r="C62" s="19" t="str">
        <f aca="false">IF($B62="","",SUMIFS(_MainTable!$K$2:$K$2001,_MainTable!$F$2:$F$2001,$B62,_MainTable!$G$2:$G$2001,"&gt;="&amp;C$4,_MainTable!$G$2:$G$2001,"&lt;="&amp;EOMONTH(C$4,0)))</f>
        <v/>
      </c>
      <c r="D62" s="19" t="str">
        <f aca="false">IF($B62="","",SUMIFS(_MainTable!$K$2:$K$2001,_MainTable!$F$2:$F$2001,$B62,_MainTable!$G$2:$G$2001,"&gt;="&amp;D$4,_MainTable!$G$2:$G$2001,"&lt;="&amp;EOMONTH(D$4,0)))</f>
        <v/>
      </c>
      <c r="E62" s="19" t="str">
        <f aca="false">IF($B62="","",SUMIFS(_MainTable!$K$2:$K$2001,_MainTable!$F$2:$F$2001,$B62,_MainTable!$G$2:$G$2001,"&gt;="&amp;E$4,_MainTable!$G$2:$G$2001,"&lt;="&amp;EOMONTH(E$4,0)))</f>
        <v/>
      </c>
      <c r="F62" s="19" t="str">
        <f aca="false">IF($B62="","",SUMIFS(_MainTable!$K$2:$K$2001,_MainTable!$F$2:$F$2001,$B62,_MainTable!$G$2:$G$2001,"&gt;="&amp;F$4,_MainTable!$G$2:$G$2001,"&lt;="&amp;EOMONTH(F$4,0)))</f>
        <v/>
      </c>
      <c r="G62" s="19" t="str">
        <f aca="false">IF($B62="","",SUMIFS(_MainTable!$K$2:$K$2001,_MainTable!$F$2:$F$2001,$B62,_MainTable!$G$2:$G$2001,"&gt;="&amp;G$4,_MainTable!$G$2:$G$2001,"&lt;="&amp;EOMONTH(G$4,0)))</f>
        <v/>
      </c>
      <c r="H62" s="19" t="str">
        <f aca="false">IF($B62="","",SUMIFS(_MainTable!$K$2:$K$2001,_MainTable!$F$2:$F$2001,$B62,_MainTable!$G$2:$G$2001,"&gt;="&amp;H$4,_MainTable!$G$2:$G$2001,"&lt;="&amp;EOMONTH(H$4,0)))</f>
        <v/>
      </c>
      <c r="I62" s="19" t="str">
        <f aca="false">IF($B62="","",SUMIFS(_MainTable!$K$2:$K$2001,_MainTable!$F$2:$F$2001,$B62,_MainTable!$G$2:$G$2001,"&gt;="&amp;I$4,_MainTable!$G$2:$G$2001,"&lt;="&amp;EOMONTH(I$4,0)))</f>
        <v/>
      </c>
      <c r="J62" s="19" t="str">
        <f aca="false">IF($B62="","",SUMIFS(_MainTable!$K$2:$K$2001,_MainTable!$F$2:$F$2001,$B62,_MainTable!$G$2:$G$2001,"&gt;="&amp;J$4,_MainTable!$G$2:$G$2001,"&lt;="&amp;EOMONTH(J$4,0)))</f>
        <v/>
      </c>
      <c r="K62" s="19" t="str">
        <f aca="false">IF($B62="","",SUMIFS(_MainTable!$K$2:$K$2001,_MainTable!$F$2:$F$2001,$B62,_MainTable!$G$2:$G$2001,"&gt;="&amp;K$4,_MainTable!$G$2:$G$2001,"&lt;="&amp;EOMONTH(K$4,0)))</f>
        <v/>
      </c>
      <c r="L62" s="19" t="str">
        <f aca="false">IF($B62="","",SUMIFS(_MainTable!$K$2:$K$2001,_MainTable!$F$2:$F$2001,$B62,_MainTable!$G$2:$G$2001,"&gt;="&amp;L$4,_MainTable!$G$2:$G$2001,"&lt;="&amp;EOMONTH(L$4,0)))</f>
        <v/>
      </c>
      <c r="M62" s="19" t="str">
        <f aca="false">IF($B62="","",SUMIFS(_MainTable!$K$2:$K$2001,_MainTable!$F$2:$F$2001,$B62,_MainTable!$G$2:$G$2001,"&gt;="&amp;M$4,_MainTable!$G$2:$G$2001,"&lt;="&amp;EOMONTH(M$4,0)))</f>
        <v/>
      </c>
      <c r="N62" s="19" t="str">
        <f aca="false">IF($B62="","",SUMIFS(_MainTable!$K$2:$K$2001,_MainTable!$F$2:$F$2001,$B62,_MainTable!$G$2:$G$2001,"&gt;="&amp;N$4,_MainTable!$G$2:$G$2001,"&lt;="&amp;EOMONTH(N$4,0)))</f>
        <v/>
      </c>
      <c r="O62" s="30" t="str">
        <f aca="false">IF($B62="","",SUM(C62:N62))</f>
        <v/>
      </c>
    </row>
    <row r="63" customFormat="false" ht="15" hidden="false" customHeight="false" outlineLevel="0" collapsed="false">
      <c r="A63" s="17" t="str">
        <f aca="false">IF('PO Tracker'!$A63="","",'PO Tracker'!$A63)</f>
        <v/>
      </c>
      <c r="B63" s="29" t="str">
        <f aca="false">IF('PO Tracker'!$B63="","",'PO Tracker'!$B63)</f>
        <v/>
      </c>
      <c r="C63" s="19" t="str">
        <f aca="false">IF($B63="","",SUMIFS(_MainTable!$K$2:$K$2001,_MainTable!$F$2:$F$2001,$B63,_MainTable!$G$2:$G$2001,"&gt;="&amp;C$4,_MainTable!$G$2:$G$2001,"&lt;="&amp;EOMONTH(C$4,0)))</f>
        <v/>
      </c>
      <c r="D63" s="19" t="str">
        <f aca="false">IF($B63="","",SUMIFS(_MainTable!$K$2:$K$2001,_MainTable!$F$2:$F$2001,$B63,_MainTable!$G$2:$G$2001,"&gt;="&amp;D$4,_MainTable!$G$2:$G$2001,"&lt;="&amp;EOMONTH(D$4,0)))</f>
        <v/>
      </c>
      <c r="E63" s="19" t="str">
        <f aca="false">IF($B63="","",SUMIFS(_MainTable!$K$2:$K$2001,_MainTable!$F$2:$F$2001,$B63,_MainTable!$G$2:$G$2001,"&gt;="&amp;E$4,_MainTable!$G$2:$G$2001,"&lt;="&amp;EOMONTH(E$4,0)))</f>
        <v/>
      </c>
      <c r="F63" s="19" t="str">
        <f aca="false">IF($B63="","",SUMIFS(_MainTable!$K$2:$K$2001,_MainTable!$F$2:$F$2001,$B63,_MainTable!$G$2:$G$2001,"&gt;="&amp;F$4,_MainTable!$G$2:$G$2001,"&lt;="&amp;EOMONTH(F$4,0)))</f>
        <v/>
      </c>
      <c r="G63" s="19" t="str">
        <f aca="false">IF($B63="","",SUMIFS(_MainTable!$K$2:$K$2001,_MainTable!$F$2:$F$2001,$B63,_MainTable!$G$2:$G$2001,"&gt;="&amp;G$4,_MainTable!$G$2:$G$2001,"&lt;="&amp;EOMONTH(G$4,0)))</f>
        <v/>
      </c>
      <c r="H63" s="19" t="str">
        <f aca="false">IF($B63="","",SUMIFS(_MainTable!$K$2:$K$2001,_MainTable!$F$2:$F$2001,$B63,_MainTable!$G$2:$G$2001,"&gt;="&amp;H$4,_MainTable!$G$2:$G$2001,"&lt;="&amp;EOMONTH(H$4,0)))</f>
        <v/>
      </c>
      <c r="I63" s="19" t="str">
        <f aca="false">IF($B63="","",SUMIFS(_MainTable!$K$2:$K$2001,_MainTable!$F$2:$F$2001,$B63,_MainTable!$G$2:$G$2001,"&gt;="&amp;I$4,_MainTable!$G$2:$G$2001,"&lt;="&amp;EOMONTH(I$4,0)))</f>
        <v/>
      </c>
      <c r="J63" s="19" t="str">
        <f aca="false">IF($B63="","",SUMIFS(_MainTable!$K$2:$K$2001,_MainTable!$F$2:$F$2001,$B63,_MainTable!$G$2:$G$2001,"&gt;="&amp;J$4,_MainTable!$G$2:$G$2001,"&lt;="&amp;EOMONTH(J$4,0)))</f>
        <v/>
      </c>
      <c r="K63" s="19" t="str">
        <f aca="false">IF($B63="","",SUMIFS(_MainTable!$K$2:$K$2001,_MainTable!$F$2:$F$2001,$B63,_MainTable!$G$2:$G$2001,"&gt;="&amp;K$4,_MainTable!$G$2:$G$2001,"&lt;="&amp;EOMONTH(K$4,0)))</f>
        <v/>
      </c>
      <c r="L63" s="19" t="str">
        <f aca="false">IF($B63="","",SUMIFS(_MainTable!$K$2:$K$2001,_MainTable!$F$2:$F$2001,$B63,_MainTable!$G$2:$G$2001,"&gt;="&amp;L$4,_MainTable!$G$2:$G$2001,"&lt;="&amp;EOMONTH(L$4,0)))</f>
        <v/>
      </c>
      <c r="M63" s="19" t="str">
        <f aca="false">IF($B63="","",SUMIFS(_MainTable!$K$2:$K$2001,_MainTable!$F$2:$F$2001,$B63,_MainTable!$G$2:$G$2001,"&gt;="&amp;M$4,_MainTable!$G$2:$G$2001,"&lt;="&amp;EOMONTH(M$4,0)))</f>
        <v/>
      </c>
      <c r="N63" s="19" t="str">
        <f aca="false">IF($B63="","",SUMIFS(_MainTable!$K$2:$K$2001,_MainTable!$F$2:$F$2001,$B63,_MainTable!$G$2:$G$2001,"&gt;="&amp;N$4,_MainTable!$G$2:$G$2001,"&lt;="&amp;EOMONTH(N$4,0)))</f>
        <v/>
      </c>
      <c r="O63" s="30" t="str">
        <f aca="false">IF($B63="","",SUM(C63:N63))</f>
        <v/>
      </c>
    </row>
    <row r="64" customFormat="false" ht="15" hidden="false" customHeight="false" outlineLevel="0" collapsed="false">
      <c r="A64" s="17" t="str">
        <f aca="false">IF('PO Tracker'!$A64="","",'PO Tracker'!$A64)</f>
        <v/>
      </c>
      <c r="B64" s="29" t="str">
        <f aca="false">IF('PO Tracker'!$B64="","",'PO Tracker'!$B64)</f>
        <v/>
      </c>
      <c r="C64" s="19" t="str">
        <f aca="false">IF($B64="","",SUMIFS(_MainTable!$K$2:$K$2001,_MainTable!$F$2:$F$2001,$B64,_MainTable!$G$2:$G$2001,"&gt;="&amp;C$4,_MainTable!$G$2:$G$2001,"&lt;="&amp;EOMONTH(C$4,0)))</f>
        <v/>
      </c>
      <c r="D64" s="19" t="str">
        <f aca="false">IF($B64="","",SUMIFS(_MainTable!$K$2:$K$2001,_MainTable!$F$2:$F$2001,$B64,_MainTable!$G$2:$G$2001,"&gt;="&amp;D$4,_MainTable!$G$2:$G$2001,"&lt;="&amp;EOMONTH(D$4,0)))</f>
        <v/>
      </c>
      <c r="E64" s="19" t="str">
        <f aca="false">IF($B64="","",SUMIFS(_MainTable!$K$2:$K$2001,_MainTable!$F$2:$F$2001,$B64,_MainTable!$G$2:$G$2001,"&gt;="&amp;E$4,_MainTable!$G$2:$G$2001,"&lt;="&amp;EOMONTH(E$4,0)))</f>
        <v/>
      </c>
      <c r="F64" s="19" t="str">
        <f aca="false">IF($B64="","",SUMIFS(_MainTable!$K$2:$K$2001,_MainTable!$F$2:$F$2001,$B64,_MainTable!$G$2:$G$2001,"&gt;="&amp;F$4,_MainTable!$G$2:$G$2001,"&lt;="&amp;EOMONTH(F$4,0)))</f>
        <v/>
      </c>
      <c r="G64" s="19" t="str">
        <f aca="false">IF($B64="","",SUMIFS(_MainTable!$K$2:$K$2001,_MainTable!$F$2:$F$2001,$B64,_MainTable!$G$2:$G$2001,"&gt;="&amp;G$4,_MainTable!$G$2:$G$2001,"&lt;="&amp;EOMONTH(G$4,0)))</f>
        <v/>
      </c>
      <c r="H64" s="19" t="str">
        <f aca="false">IF($B64="","",SUMIFS(_MainTable!$K$2:$K$2001,_MainTable!$F$2:$F$2001,$B64,_MainTable!$G$2:$G$2001,"&gt;="&amp;H$4,_MainTable!$G$2:$G$2001,"&lt;="&amp;EOMONTH(H$4,0)))</f>
        <v/>
      </c>
      <c r="I64" s="19" t="str">
        <f aca="false">IF($B64="","",SUMIFS(_MainTable!$K$2:$K$2001,_MainTable!$F$2:$F$2001,$B64,_MainTable!$G$2:$G$2001,"&gt;="&amp;I$4,_MainTable!$G$2:$G$2001,"&lt;="&amp;EOMONTH(I$4,0)))</f>
        <v/>
      </c>
      <c r="J64" s="19" t="str">
        <f aca="false">IF($B64="","",SUMIFS(_MainTable!$K$2:$K$2001,_MainTable!$F$2:$F$2001,$B64,_MainTable!$G$2:$G$2001,"&gt;="&amp;J$4,_MainTable!$G$2:$G$2001,"&lt;="&amp;EOMONTH(J$4,0)))</f>
        <v/>
      </c>
      <c r="K64" s="19" t="str">
        <f aca="false">IF($B64="","",SUMIFS(_MainTable!$K$2:$K$2001,_MainTable!$F$2:$F$2001,$B64,_MainTable!$G$2:$G$2001,"&gt;="&amp;K$4,_MainTable!$G$2:$G$2001,"&lt;="&amp;EOMONTH(K$4,0)))</f>
        <v/>
      </c>
      <c r="L64" s="19" t="str">
        <f aca="false">IF($B64="","",SUMIFS(_MainTable!$K$2:$K$2001,_MainTable!$F$2:$F$2001,$B64,_MainTable!$G$2:$G$2001,"&gt;="&amp;L$4,_MainTable!$G$2:$G$2001,"&lt;="&amp;EOMONTH(L$4,0)))</f>
        <v/>
      </c>
      <c r="M64" s="19" t="str">
        <f aca="false">IF($B64="","",SUMIFS(_MainTable!$K$2:$K$2001,_MainTable!$F$2:$F$2001,$B64,_MainTable!$G$2:$G$2001,"&gt;="&amp;M$4,_MainTable!$G$2:$G$2001,"&lt;="&amp;EOMONTH(M$4,0)))</f>
        <v/>
      </c>
      <c r="N64" s="19" t="str">
        <f aca="false">IF($B64="","",SUMIFS(_MainTable!$K$2:$K$2001,_MainTable!$F$2:$F$2001,$B64,_MainTable!$G$2:$G$2001,"&gt;="&amp;N$4,_MainTable!$G$2:$G$2001,"&lt;="&amp;EOMONTH(N$4,0)))</f>
        <v/>
      </c>
      <c r="O64" s="30" t="str">
        <f aca="false">IF($B64="","",SUM(C64:N64))</f>
        <v/>
      </c>
    </row>
    <row r="65" customFormat="false" ht="15" hidden="false" customHeight="false" outlineLevel="0" collapsed="false">
      <c r="A65" s="17" t="str">
        <f aca="false">IF('PO Tracker'!$A65="","",'PO Tracker'!$A65)</f>
        <v/>
      </c>
      <c r="B65" s="29" t="str">
        <f aca="false">IF('PO Tracker'!$B65="","",'PO Tracker'!$B65)</f>
        <v/>
      </c>
      <c r="C65" s="19" t="str">
        <f aca="false">IF($B65="","",SUMIFS(_MainTable!$K$2:$K$2001,_MainTable!$F$2:$F$2001,$B65,_MainTable!$G$2:$G$2001,"&gt;="&amp;C$4,_MainTable!$G$2:$G$2001,"&lt;="&amp;EOMONTH(C$4,0)))</f>
        <v/>
      </c>
      <c r="D65" s="19" t="str">
        <f aca="false">IF($B65="","",SUMIFS(_MainTable!$K$2:$K$2001,_MainTable!$F$2:$F$2001,$B65,_MainTable!$G$2:$G$2001,"&gt;="&amp;D$4,_MainTable!$G$2:$G$2001,"&lt;="&amp;EOMONTH(D$4,0)))</f>
        <v/>
      </c>
      <c r="E65" s="19" t="str">
        <f aca="false">IF($B65="","",SUMIFS(_MainTable!$K$2:$K$2001,_MainTable!$F$2:$F$2001,$B65,_MainTable!$G$2:$G$2001,"&gt;="&amp;E$4,_MainTable!$G$2:$G$2001,"&lt;="&amp;EOMONTH(E$4,0)))</f>
        <v/>
      </c>
      <c r="F65" s="19" t="str">
        <f aca="false">IF($B65="","",SUMIFS(_MainTable!$K$2:$K$2001,_MainTable!$F$2:$F$2001,$B65,_MainTable!$G$2:$G$2001,"&gt;="&amp;F$4,_MainTable!$G$2:$G$2001,"&lt;="&amp;EOMONTH(F$4,0)))</f>
        <v/>
      </c>
      <c r="G65" s="19" t="str">
        <f aca="false">IF($B65="","",SUMIFS(_MainTable!$K$2:$K$2001,_MainTable!$F$2:$F$2001,$B65,_MainTable!$G$2:$G$2001,"&gt;="&amp;G$4,_MainTable!$G$2:$G$2001,"&lt;="&amp;EOMONTH(G$4,0)))</f>
        <v/>
      </c>
      <c r="H65" s="19" t="str">
        <f aca="false">IF($B65="","",SUMIFS(_MainTable!$K$2:$K$2001,_MainTable!$F$2:$F$2001,$B65,_MainTable!$G$2:$G$2001,"&gt;="&amp;H$4,_MainTable!$G$2:$G$2001,"&lt;="&amp;EOMONTH(H$4,0)))</f>
        <v/>
      </c>
      <c r="I65" s="19" t="str">
        <f aca="false">IF($B65="","",SUMIFS(_MainTable!$K$2:$K$2001,_MainTable!$F$2:$F$2001,$B65,_MainTable!$G$2:$G$2001,"&gt;="&amp;I$4,_MainTable!$G$2:$G$2001,"&lt;="&amp;EOMONTH(I$4,0)))</f>
        <v/>
      </c>
      <c r="J65" s="19" t="str">
        <f aca="false">IF($B65="","",SUMIFS(_MainTable!$K$2:$K$2001,_MainTable!$F$2:$F$2001,$B65,_MainTable!$G$2:$G$2001,"&gt;="&amp;J$4,_MainTable!$G$2:$G$2001,"&lt;="&amp;EOMONTH(J$4,0)))</f>
        <v/>
      </c>
      <c r="K65" s="19" t="str">
        <f aca="false">IF($B65="","",SUMIFS(_MainTable!$K$2:$K$2001,_MainTable!$F$2:$F$2001,$B65,_MainTable!$G$2:$G$2001,"&gt;="&amp;K$4,_MainTable!$G$2:$G$2001,"&lt;="&amp;EOMONTH(K$4,0)))</f>
        <v/>
      </c>
      <c r="L65" s="19" t="str">
        <f aca="false">IF($B65="","",SUMIFS(_MainTable!$K$2:$K$2001,_MainTable!$F$2:$F$2001,$B65,_MainTable!$G$2:$G$2001,"&gt;="&amp;L$4,_MainTable!$G$2:$G$2001,"&lt;="&amp;EOMONTH(L$4,0)))</f>
        <v/>
      </c>
      <c r="M65" s="19" t="str">
        <f aca="false">IF($B65="","",SUMIFS(_MainTable!$K$2:$K$2001,_MainTable!$F$2:$F$2001,$B65,_MainTable!$G$2:$G$2001,"&gt;="&amp;M$4,_MainTable!$G$2:$G$2001,"&lt;="&amp;EOMONTH(M$4,0)))</f>
        <v/>
      </c>
      <c r="N65" s="19" t="str">
        <f aca="false">IF($B65="","",SUMIFS(_MainTable!$K$2:$K$2001,_MainTable!$F$2:$F$2001,$B65,_MainTable!$G$2:$G$2001,"&gt;="&amp;N$4,_MainTable!$G$2:$G$2001,"&lt;="&amp;EOMONTH(N$4,0)))</f>
        <v/>
      </c>
      <c r="O65" s="30" t="str">
        <f aca="false">IF($B65="","",SUM(C65:N65))</f>
        <v/>
      </c>
    </row>
    <row r="66" customFormat="false" ht="15" hidden="false" customHeight="false" outlineLevel="0" collapsed="false">
      <c r="A66" s="17" t="str">
        <f aca="false">IF('PO Tracker'!$A66="","",'PO Tracker'!$A66)</f>
        <v/>
      </c>
      <c r="B66" s="29" t="str">
        <f aca="false">IF('PO Tracker'!$B66="","",'PO Tracker'!$B66)</f>
        <v/>
      </c>
      <c r="C66" s="19" t="str">
        <f aca="false">IF($B66="","",SUMIFS(_MainTable!$K$2:$K$2001,_MainTable!$F$2:$F$2001,$B66,_MainTable!$G$2:$G$2001,"&gt;="&amp;C$4,_MainTable!$G$2:$G$2001,"&lt;="&amp;EOMONTH(C$4,0)))</f>
        <v/>
      </c>
      <c r="D66" s="19" t="str">
        <f aca="false">IF($B66="","",SUMIFS(_MainTable!$K$2:$K$2001,_MainTable!$F$2:$F$2001,$B66,_MainTable!$G$2:$G$2001,"&gt;="&amp;D$4,_MainTable!$G$2:$G$2001,"&lt;="&amp;EOMONTH(D$4,0)))</f>
        <v/>
      </c>
      <c r="E66" s="19" t="str">
        <f aca="false">IF($B66="","",SUMIFS(_MainTable!$K$2:$K$2001,_MainTable!$F$2:$F$2001,$B66,_MainTable!$G$2:$G$2001,"&gt;="&amp;E$4,_MainTable!$G$2:$G$2001,"&lt;="&amp;EOMONTH(E$4,0)))</f>
        <v/>
      </c>
      <c r="F66" s="19" t="str">
        <f aca="false">IF($B66="","",SUMIFS(_MainTable!$K$2:$K$2001,_MainTable!$F$2:$F$2001,$B66,_MainTable!$G$2:$G$2001,"&gt;="&amp;F$4,_MainTable!$G$2:$G$2001,"&lt;="&amp;EOMONTH(F$4,0)))</f>
        <v/>
      </c>
      <c r="G66" s="19" t="str">
        <f aca="false">IF($B66="","",SUMIFS(_MainTable!$K$2:$K$2001,_MainTable!$F$2:$F$2001,$B66,_MainTable!$G$2:$G$2001,"&gt;="&amp;G$4,_MainTable!$G$2:$G$2001,"&lt;="&amp;EOMONTH(G$4,0)))</f>
        <v/>
      </c>
      <c r="H66" s="19" t="str">
        <f aca="false">IF($B66="","",SUMIFS(_MainTable!$K$2:$K$2001,_MainTable!$F$2:$F$2001,$B66,_MainTable!$G$2:$G$2001,"&gt;="&amp;H$4,_MainTable!$G$2:$G$2001,"&lt;="&amp;EOMONTH(H$4,0)))</f>
        <v/>
      </c>
      <c r="I66" s="19" t="str">
        <f aca="false">IF($B66="","",SUMIFS(_MainTable!$K$2:$K$2001,_MainTable!$F$2:$F$2001,$B66,_MainTable!$G$2:$G$2001,"&gt;="&amp;I$4,_MainTable!$G$2:$G$2001,"&lt;="&amp;EOMONTH(I$4,0)))</f>
        <v/>
      </c>
      <c r="J66" s="19" t="str">
        <f aca="false">IF($B66="","",SUMIFS(_MainTable!$K$2:$K$2001,_MainTable!$F$2:$F$2001,$B66,_MainTable!$G$2:$G$2001,"&gt;="&amp;J$4,_MainTable!$G$2:$G$2001,"&lt;="&amp;EOMONTH(J$4,0)))</f>
        <v/>
      </c>
      <c r="K66" s="19" t="str">
        <f aca="false">IF($B66="","",SUMIFS(_MainTable!$K$2:$K$2001,_MainTable!$F$2:$F$2001,$B66,_MainTable!$G$2:$G$2001,"&gt;="&amp;K$4,_MainTable!$G$2:$G$2001,"&lt;="&amp;EOMONTH(K$4,0)))</f>
        <v/>
      </c>
      <c r="L66" s="19" t="str">
        <f aca="false">IF($B66="","",SUMIFS(_MainTable!$K$2:$K$2001,_MainTable!$F$2:$F$2001,$B66,_MainTable!$G$2:$G$2001,"&gt;="&amp;L$4,_MainTable!$G$2:$G$2001,"&lt;="&amp;EOMONTH(L$4,0)))</f>
        <v/>
      </c>
      <c r="M66" s="19" t="str">
        <f aca="false">IF($B66="","",SUMIFS(_MainTable!$K$2:$K$2001,_MainTable!$F$2:$F$2001,$B66,_MainTable!$G$2:$G$2001,"&gt;="&amp;M$4,_MainTable!$G$2:$G$2001,"&lt;="&amp;EOMONTH(M$4,0)))</f>
        <v/>
      </c>
      <c r="N66" s="19" t="str">
        <f aca="false">IF($B66="","",SUMIFS(_MainTable!$K$2:$K$2001,_MainTable!$F$2:$F$2001,$B66,_MainTable!$G$2:$G$2001,"&gt;="&amp;N$4,_MainTable!$G$2:$G$2001,"&lt;="&amp;EOMONTH(N$4,0)))</f>
        <v/>
      </c>
      <c r="O66" s="30" t="str">
        <f aca="false">IF($B66="","",SUM(C66:N66))</f>
        <v/>
      </c>
    </row>
    <row r="67" customFormat="false" ht="15" hidden="false" customHeight="false" outlineLevel="0" collapsed="false">
      <c r="A67" s="17" t="str">
        <f aca="false">IF('PO Tracker'!$A67="","",'PO Tracker'!$A67)</f>
        <v/>
      </c>
      <c r="B67" s="29" t="str">
        <f aca="false">IF('PO Tracker'!$B67="","",'PO Tracker'!$B67)</f>
        <v/>
      </c>
      <c r="C67" s="19" t="str">
        <f aca="false">IF($B67="","",SUMIFS(_MainTable!$K$2:$K$2001,_MainTable!$F$2:$F$2001,$B67,_MainTable!$G$2:$G$2001,"&gt;="&amp;C$4,_MainTable!$G$2:$G$2001,"&lt;="&amp;EOMONTH(C$4,0)))</f>
        <v/>
      </c>
      <c r="D67" s="19" t="str">
        <f aca="false">IF($B67="","",SUMIFS(_MainTable!$K$2:$K$2001,_MainTable!$F$2:$F$2001,$B67,_MainTable!$G$2:$G$2001,"&gt;="&amp;D$4,_MainTable!$G$2:$G$2001,"&lt;="&amp;EOMONTH(D$4,0)))</f>
        <v/>
      </c>
      <c r="E67" s="19" t="str">
        <f aca="false">IF($B67="","",SUMIFS(_MainTable!$K$2:$K$2001,_MainTable!$F$2:$F$2001,$B67,_MainTable!$G$2:$G$2001,"&gt;="&amp;E$4,_MainTable!$G$2:$G$2001,"&lt;="&amp;EOMONTH(E$4,0)))</f>
        <v/>
      </c>
      <c r="F67" s="19" t="str">
        <f aca="false">IF($B67="","",SUMIFS(_MainTable!$K$2:$K$2001,_MainTable!$F$2:$F$2001,$B67,_MainTable!$G$2:$G$2001,"&gt;="&amp;F$4,_MainTable!$G$2:$G$2001,"&lt;="&amp;EOMONTH(F$4,0)))</f>
        <v/>
      </c>
      <c r="G67" s="19" t="str">
        <f aca="false">IF($B67="","",SUMIFS(_MainTable!$K$2:$K$2001,_MainTable!$F$2:$F$2001,$B67,_MainTable!$G$2:$G$2001,"&gt;="&amp;G$4,_MainTable!$G$2:$G$2001,"&lt;="&amp;EOMONTH(G$4,0)))</f>
        <v/>
      </c>
      <c r="H67" s="19" t="str">
        <f aca="false">IF($B67="","",SUMIFS(_MainTable!$K$2:$K$2001,_MainTable!$F$2:$F$2001,$B67,_MainTable!$G$2:$G$2001,"&gt;="&amp;H$4,_MainTable!$G$2:$G$2001,"&lt;="&amp;EOMONTH(H$4,0)))</f>
        <v/>
      </c>
      <c r="I67" s="19" t="str">
        <f aca="false">IF($B67="","",SUMIFS(_MainTable!$K$2:$K$2001,_MainTable!$F$2:$F$2001,$B67,_MainTable!$G$2:$G$2001,"&gt;="&amp;I$4,_MainTable!$G$2:$G$2001,"&lt;="&amp;EOMONTH(I$4,0)))</f>
        <v/>
      </c>
      <c r="J67" s="19" t="str">
        <f aca="false">IF($B67="","",SUMIFS(_MainTable!$K$2:$K$2001,_MainTable!$F$2:$F$2001,$B67,_MainTable!$G$2:$G$2001,"&gt;="&amp;J$4,_MainTable!$G$2:$G$2001,"&lt;="&amp;EOMONTH(J$4,0)))</f>
        <v/>
      </c>
      <c r="K67" s="19" t="str">
        <f aca="false">IF($B67="","",SUMIFS(_MainTable!$K$2:$K$2001,_MainTable!$F$2:$F$2001,$B67,_MainTable!$G$2:$G$2001,"&gt;="&amp;K$4,_MainTable!$G$2:$G$2001,"&lt;="&amp;EOMONTH(K$4,0)))</f>
        <v/>
      </c>
      <c r="L67" s="19" t="str">
        <f aca="false">IF($B67="","",SUMIFS(_MainTable!$K$2:$K$2001,_MainTable!$F$2:$F$2001,$B67,_MainTable!$G$2:$G$2001,"&gt;="&amp;L$4,_MainTable!$G$2:$G$2001,"&lt;="&amp;EOMONTH(L$4,0)))</f>
        <v/>
      </c>
      <c r="M67" s="19" t="str">
        <f aca="false">IF($B67="","",SUMIFS(_MainTable!$K$2:$K$2001,_MainTable!$F$2:$F$2001,$B67,_MainTable!$G$2:$G$2001,"&gt;="&amp;M$4,_MainTable!$G$2:$G$2001,"&lt;="&amp;EOMONTH(M$4,0)))</f>
        <v/>
      </c>
      <c r="N67" s="19" t="str">
        <f aca="false">IF($B67="","",SUMIFS(_MainTable!$K$2:$K$2001,_MainTable!$F$2:$F$2001,$B67,_MainTable!$G$2:$G$2001,"&gt;="&amp;N$4,_MainTable!$G$2:$G$2001,"&lt;="&amp;EOMONTH(N$4,0)))</f>
        <v/>
      </c>
      <c r="O67" s="30" t="str">
        <f aca="false">IF($B67="","",SUM(C67:N67))</f>
        <v/>
      </c>
    </row>
    <row r="68" customFormat="false" ht="15" hidden="false" customHeight="false" outlineLevel="0" collapsed="false">
      <c r="A68" s="17" t="str">
        <f aca="false">IF('PO Tracker'!$A68="","",'PO Tracker'!$A68)</f>
        <v/>
      </c>
      <c r="B68" s="29" t="str">
        <f aca="false">IF('PO Tracker'!$B68="","",'PO Tracker'!$B68)</f>
        <v/>
      </c>
      <c r="C68" s="19" t="str">
        <f aca="false">IF($B68="","",SUMIFS(_MainTable!$K$2:$K$2001,_MainTable!$F$2:$F$2001,$B68,_MainTable!$G$2:$G$2001,"&gt;="&amp;C$4,_MainTable!$G$2:$G$2001,"&lt;="&amp;EOMONTH(C$4,0)))</f>
        <v/>
      </c>
      <c r="D68" s="19" t="str">
        <f aca="false">IF($B68="","",SUMIFS(_MainTable!$K$2:$K$2001,_MainTable!$F$2:$F$2001,$B68,_MainTable!$G$2:$G$2001,"&gt;="&amp;D$4,_MainTable!$G$2:$G$2001,"&lt;="&amp;EOMONTH(D$4,0)))</f>
        <v/>
      </c>
      <c r="E68" s="19" t="str">
        <f aca="false">IF($B68="","",SUMIFS(_MainTable!$K$2:$K$2001,_MainTable!$F$2:$F$2001,$B68,_MainTable!$G$2:$G$2001,"&gt;="&amp;E$4,_MainTable!$G$2:$G$2001,"&lt;="&amp;EOMONTH(E$4,0)))</f>
        <v/>
      </c>
      <c r="F68" s="19" t="str">
        <f aca="false">IF($B68="","",SUMIFS(_MainTable!$K$2:$K$2001,_MainTable!$F$2:$F$2001,$B68,_MainTable!$G$2:$G$2001,"&gt;="&amp;F$4,_MainTable!$G$2:$G$2001,"&lt;="&amp;EOMONTH(F$4,0)))</f>
        <v/>
      </c>
      <c r="G68" s="19" t="str">
        <f aca="false">IF($B68="","",SUMIFS(_MainTable!$K$2:$K$2001,_MainTable!$F$2:$F$2001,$B68,_MainTable!$G$2:$G$2001,"&gt;="&amp;G$4,_MainTable!$G$2:$G$2001,"&lt;="&amp;EOMONTH(G$4,0)))</f>
        <v/>
      </c>
      <c r="H68" s="19" t="str">
        <f aca="false">IF($B68="","",SUMIFS(_MainTable!$K$2:$K$2001,_MainTable!$F$2:$F$2001,$B68,_MainTable!$G$2:$G$2001,"&gt;="&amp;H$4,_MainTable!$G$2:$G$2001,"&lt;="&amp;EOMONTH(H$4,0)))</f>
        <v/>
      </c>
      <c r="I68" s="19" t="str">
        <f aca="false">IF($B68="","",SUMIFS(_MainTable!$K$2:$K$2001,_MainTable!$F$2:$F$2001,$B68,_MainTable!$G$2:$G$2001,"&gt;="&amp;I$4,_MainTable!$G$2:$G$2001,"&lt;="&amp;EOMONTH(I$4,0)))</f>
        <v/>
      </c>
      <c r="J68" s="19" t="str">
        <f aca="false">IF($B68="","",SUMIFS(_MainTable!$K$2:$K$2001,_MainTable!$F$2:$F$2001,$B68,_MainTable!$G$2:$G$2001,"&gt;="&amp;J$4,_MainTable!$G$2:$G$2001,"&lt;="&amp;EOMONTH(J$4,0)))</f>
        <v/>
      </c>
      <c r="K68" s="19" t="str">
        <f aca="false">IF($B68="","",SUMIFS(_MainTable!$K$2:$K$2001,_MainTable!$F$2:$F$2001,$B68,_MainTable!$G$2:$G$2001,"&gt;="&amp;K$4,_MainTable!$G$2:$G$2001,"&lt;="&amp;EOMONTH(K$4,0)))</f>
        <v/>
      </c>
      <c r="L68" s="19" t="str">
        <f aca="false">IF($B68="","",SUMIFS(_MainTable!$K$2:$K$2001,_MainTable!$F$2:$F$2001,$B68,_MainTable!$G$2:$G$2001,"&gt;="&amp;L$4,_MainTable!$G$2:$G$2001,"&lt;="&amp;EOMONTH(L$4,0)))</f>
        <v/>
      </c>
      <c r="M68" s="19" t="str">
        <f aca="false">IF($B68="","",SUMIFS(_MainTable!$K$2:$K$2001,_MainTable!$F$2:$F$2001,$B68,_MainTable!$G$2:$G$2001,"&gt;="&amp;M$4,_MainTable!$G$2:$G$2001,"&lt;="&amp;EOMONTH(M$4,0)))</f>
        <v/>
      </c>
      <c r="N68" s="19" t="str">
        <f aca="false">IF($B68="","",SUMIFS(_MainTable!$K$2:$K$2001,_MainTable!$F$2:$F$2001,$B68,_MainTable!$G$2:$G$2001,"&gt;="&amp;N$4,_MainTable!$G$2:$G$2001,"&lt;="&amp;EOMONTH(N$4,0)))</f>
        <v/>
      </c>
      <c r="O68" s="30" t="str">
        <f aca="false">IF($B68="","",SUM(C68:N68))</f>
        <v/>
      </c>
    </row>
    <row r="69" customFormat="false" ht="15" hidden="false" customHeight="false" outlineLevel="0" collapsed="false">
      <c r="A69" s="17" t="str">
        <f aca="false">IF('PO Tracker'!$A69="","",'PO Tracker'!$A69)</f>
        <v/>
      </c>
      <c r="B69" s="29" t="str">
        <f aca="false">IF('PO Tracker'!$B69="","",'PO Tracker'!$B69)</f>
        <v/>
      </c>
      <c r="C69" s="19" t="str">
        <f aca="false">IF($B69="","",SUMIFS(_MainTable!$K$2:$K$2001,_MainTable!$F$2:$F$2001,$B69,_MainTable!$G$2:$G$2001,"&gt;="&amp;C$4,_MainTable!$G$2:$G$2001,"&lt;="&amp;EOMONTH(C$4,0)))</f>
        <v/>
      </c>
      <c r="D69" s="19" t="str">
        <f aca="false">IF($B69="","",SUMIFS(_MainTable!$K$2:$K$2001,_MainTable!$F$2:$F$2001,$B69,_MainTable!$G$2:$G$2001,"&gt;="&amp;D$4,_MainTable!$G$2:$G$2001,"&lt;="&amp;EOMONTH(D$4,0)))</f>
        <v/>
      </c>
      <c r="E69" s="19" t="str">
        <f aca="false">IF($B69="","",SUMIFS(_MainTable!$K$2:$K$2001,_MainTable!$F$2:$F$2001,$B69,_MainTable!$G$2:$G$2001,"&gt;="&amp;E$4,_MainTable!$G$2:$G$2001,"&lt;="&amp;EOMONTH(E$4,0)))</f>
        <v/>
      </c>
      <c r="F69" s="19" t="str">
        <f aca="false">IF($B69="","",SUMIFS(_MainTable!$K$2:$K$2001,_MainTable!$F$2:$F$2001,$B69,_MainTable!$G$2:$G$2001,"&gt;="&amp;F$4,_MainTable!$G$2:$G$2001,"&lt;="&amp;EOMONTH(F$4,0)))</f>
        <v/>
      </c>
      <c r="G69" s="19" t="str">
        <f aca="false">IF($B69="","",SUMIFS(_MainTable!$K$2:$K$2001,_MainTable!$F$2:$F$2001,$B69,_MainTable!$G$2:$G$2001,"&gt;="&amp;G$4,_MainTable!$G$2:$G$2001,"&lt;="&amp;EOMONTH(G$4,0)))</f>
        <v/>
      </c>
      <c r="H69" s="19" t="str">
        <f aca="false">IF($B69="","",SUMIFS(_MainTable!$K$2:$K$2001,_MainTable!$F$2:$F$2001,$B69,_MainTable!$G$2:$G$2001,"&gt;="&amp;H$4,_MainTable!$G$2:$G$2001,"&lt;="&amp;EOMONTH(H$4,0)))</f>
        <v/>
      </c>
      <c r="I69" s="19" t="str">
        <f aca="false">IF($B69="","",SUMIFS(_MainTable!$K$2:$K$2001,_MainTable!$F$2:$F$2001,$B69,_MainTable!$G$2:$G$2001,"&gt;="&amp;I$4,_MainTable!$G$2:$G$2001,"&lt;="&amp;EOMONTH(I$4,0)))</f>
        <v/>
      </c>
      <c r="J69" s="19" t="str">
        <f aca="false">IF($B69="","",SUMIFS(_MainTable!$K$2:$K$2001,_MainTable!$F$2:$F$2001,$B69,_MainTable!$G$2:$G$2001,"&gt;="&amp;J$4,_MainTable!$G$2:$G$2001,"&lt;="&amp;EOMONTH(J$4,0)))</f>
        <v/>
      </c>
      <c r="K69" s="19" t="str">
        <f aca="false">IF($B69="","",SUMIFS(_MainTable!$K$2:$K$2001,_MainTable!$F$2:$F$2001,$B69,_MainTable!$G$2:$G$2001,"&gt;="&amp;K$4,_MainTable!$G$2:$G$2001,"&lt;="&amp;EOMONTH(K$4,0)))</f>
        <v/>
      </c>
      <c r="L69" s="19" t="str">
        <f aca="false">IF($B69="","",SUMIFS(_MainTable!$K$2:$K$2001,_MainTable!$F$2:$F$2001,$B69,_MainTable!$G$2:$G$2001,"&gt;="&amp;L$4,_MainTable!$G$2:$G$2001,"&lt;="&amp;EOMONTH(L$4,0)))</f>
        <v/>
      </c>
      <c r="M69" s="19" t="str">
        <f aca="false">IF($B69="","",SUMIFS(_MainTable!$K$2:$K$2001,_MainTable!$F$2:$F$2001,$B69,_MainTable!$G$2:$G$2001,"&gt;="&amp;M$4,_MainTable!$G$2:$G$2001,"&lt;="&amp;EOMONTH(M$4,0)))</f>
        <v/>
      </c>
      <c r="N69" s="19" t="str">
        <f aca="false">IF($B69="","",SUMIFS(_MainTable!$K$2:$K$2001,_MainTable!$F$2:$F$2001,$B69,_MainTable!$G$2:$G$2001,"&gt;="&amp;N$4,_MainTable!$G$2:$G$2001,"&lt;="&amp;EOMONTH(N$4,0)))</f>
        <v/>
      </c>
      <c r="O69" s="30" t="str">
        <f aca="false">IF($B69="","",SUM(C69:N69))</f>
        <v/>
      </c>
    </row>
    <row r="70" customFormat="false" ht="15" hidden="false" customHeight="false" outlineLevel="0" collapsed="false">
      <c r="A70" s="17" t="str">
        <f aca="false">IF('PO Tracker'!$A70="","",'PO Tracker'!$A70)</f>
        <v/>
      </c>
      <c r="B70" s="29" t="str">
        <f aca="false">IF('PO Tracker'!$B70="","",'PO Tracker'!$B70)</f>
        <v/>
      </c>
      <c r="C70" s="19" t="str">
        <f aca="false">IF($B70="","",SUMIFS(_MainTable!$K$2:$K$2001,_MainTable!$F$2:$F$2001,$B70,_MainTable!$G$2:$G$2001,"&gt;="&amp;C$4,_MainTable!$G$2:$G$2001,"&lt;="&amp;EOMONTH(C$4,0)))</f>
        <v/>
      </c>
      <c r="D70" s="19" t="str">
        <f aca="false">IF($B70="","",SUMIFS(_MainTable!$K$2:$K$2001,_MainTable!$F$2:$F$2001,$B70,_MainTable!$G$2:$G$2001,"&gt;="&amp;D$4,_MainTable!$G$2:$G$2001,"&lt;="&amp;EOMONTH(D$4,0)))</f>
        <v/>
      </c>
      <c r="E70" s="19" t="str">
        <f aca="false">IF($B70="","",SUMIFS(_MainTable!$K$2:$K$2001,_MainTable!$F$2:$F$2001,$B70,_MainTable!$G$2:$G$2001,"&gt;="&amp;E$4,_MainTable!$G$2:$G$2001,"&lt;="&amp;EOMONTH(E$4,0)))</f>
        <v/>
      </c>
      <c r="F70" s="19" t="str">
        <f aca="false">IF($B70="","",SUMIFS(_MainTable!$K$2:$K$2001,_MainTable!$F$2:$F$2001,$B70,_MainTable!$G$2:$G$2001,"&gt;="&amp;F$4,_MainTable!$G$2:$G$2001,"&lt;="&amp;EOMONTH(F$4,0)))</f>
        <v/>
      </c>
      <c r="G70" s="19" t="str">
        <f aca="false">IF($B70="","",SUMIFS(_MainTable!$K$2:$K$2001,_MainTable!$F$2:$F$2001,$B70,_MainTable!$G$2:$G$2001,"&gt;="&amp;G$4,_MainTable!$G$2:$G$2001,"&lt;="&amp;EOMONTH(G$4,0)))</f>
        <v/>
      </c>
      <c r="H70" s="19" t="str">
        <f aca="false">IF($B70="","",SUMIFS(_MainTable!$K$2:$K$2001,_MainTable!$F$2:$F$2001,$B70,_MainTable!$G$2:$G$2001,"&gt;="&amp;H$4,_MainTable!$G$2:$G$2001,"&lt;="&amp;EOMONTH(H$4,0)))</f>
        <v/>
      </c>
      <c r="I70" s="19" t="str">
        <f aca="false">IF($B70="","",SUMIFS(_MainTable!$K$2:$K$2001,_MainTable!$F$2:$F$2001,$B70,_MainTable!$G$2:$G$2001,"&gt;="&amp;I$4,_MainTable!$G$2:$G$2001,"&lt;="&amp;EOMONTH(I$4,0)))</f>
        <v/>
      </c>
      <c r="J70" s="19" t="str">
        <f aca="false">IF($B70="","",SUMIFS(_MainTable!$K$2:$K$2001,_MainTable!$F$2:$F$2001,$B70,_MainTable!$G$2:$G$2001,"&gt;="&amp;J$4,_MainTable!$G$2:$G$2001,"&lt;="&amp;EOMONTH(J$4,0)))</f>
        <v/>
      </c>
      <c r="K70" s="19" t="str">
        <f aca="false">IF($B70="","",SUMIFS(_MainTable!$K$2:$K$2001,_MainTable!$F$2:$F$2001,$B70,_MainTable!$G$2:$G$2001,"&gt;="&amp;K$4,_MainTable!$G$2:$G$2001,"&lt;="&amp;EOMONTH(K$4,0)))</f>
        <v/>
      </c>
      <c r="L70" s="19" t="str">
        <f aca="false">IF($B70="","",SUMIFS(_MainTable!$K$2:$K$2001,_MainTable!$F$2:$F$2001,$B70,_MainTable!$G$2:$G$2001,"&gt;="&amp;L$4,_MainTable!$G$2:$G$2001,"&lt;="&amp;EOMONTH(L$4,0)))</f>
        <v/>
      </c>
      <c r="M70" s="19" t="str">
        <f aca="false">IF($B70="","",SUMIFS(_MainTable!$K$2:$K$2001,_MainTable!$F$2:$F$2001,$B70,_MainTable!$G$2:$G$2001,"&gt;="&amp;M$4,_MainTable!$G$2:$G$2001,"&lt;="&amp;EOMONTH(M$4,0)))</f>
        <v/>
      </c>
      <c r="N70" s="19" t="str">
        <f aca="false">IF($B70="","",SUMIFS(_MainTable!$K$2:$K$2001,_MainTable!$F$2:$F$2001,$B70,_MainTable!$G$2:$G$2001,"&gt;="&amp;N$4,_MainTable!$G$2:$G$2001,"&lt;="&amp;EOMONTH(N$4,0)))</f>
        <v/>
      </c>
      <c r="O70" s="30" t="str">
        <f aca="false">IF($B70="","",SUM(C70:N70))</f>
        <v/>
      </c>
    </row>
    <row r="71" customFormat="false" ht="15" hidden="false" customHeight="false" outlineLevel="0" collapsed="false">
      <c r="A71" s="17" t="str">
        <f aca="false">IF('PO Tracker'!$A71="","",'PO Tracker'!$A71)</f>
        <v/>
      </c>
      <c r="B71" s="29" t="str">
        <f aca="false">IF('PO Tracker'!$B71="","",'PO Tracker'!$B71)</f>
        <v/>
      </c>
      <c r="C71" s="19" t="str">
        <f aca="false">IF($B71="","",SUMIFS(_MainTable!$K$2:$K$2001,_MainTable!$F$2:$F$2001,$B71,_MainTable!$G$2:$G$2001,"&gt;="&amp;C$4,_MainTable!$G$2:$G$2001,"&lt;="&amp;EOMONTH(C$4,0)))</f>
        <v/>
      </c>
      <c r="D71" s="19" t="str">
        <f aca="false">IF($B71="","",SUMIFS(_MainTable!$K$2:$K$2001,_MainTable!$F$2:$F$2001,$B71,_MainTable!$G$2:$G$2001,"&gt;="&amp;D$4,_MainTable!$G$2:$G$2001,"&lt;="&amp;EOMONTH(D$4,0)))</f>
        <v/>
      </c>
      <c r="E71" s="19" t="str">
        <f aca="false">IF($B71="","",SUMIFS(_MainTable!$K$2:$K$2001,_MainTable!$F$2:$F$2001,$B71,_MainTable!$G$2:$G$2001,"&gt;="&amp;E$4,_MainTable!$G$2:$G$2001,"&lt;="&amp;EOMONTH(E$4,0)))</f>
        <v/>
      </c>
      <c r="F71" s="19" t="str">
        <f aca="false">IF($B71="","",SUMIFS(_MainTable!$K$2:$K$2001,_MainTable!$F$2:$F$2001,$B71,_MainTable!$G$2:$G$2001,"&gt;="&amp;F$4,_MainTable!$G$2:$G$2001,"&lt;="&amp;EOMONTH(F$4,0)))</f>
        <v/>
      </c>
      <c r="G71" s="19" t="str">
        <f aca="false">IF($B71="","",SUMIFS(_MainTable!$K$2:$K$2001,_MainTable!$F$2:$F$2001,$B71,_MainTable!$G$2:$G$2001,"&gt;="&amp;G$4,_MainTable!$G$2:$G$2001,"&lt;="&amp;EOMONTH(G$4,0)))</f>
        <v/>
      </c>
      <c r="H71" s="19" t="str">
        <f aca="false">IF($B71="","",SUMIFS(_MainTable!$K$2:$K$2001,_MainTable!$F$2:$F$2001,$B71,_MainTable!$G$2:$G$2001,"&gt;="&amp;H$4,_MainTable!$G$2:$G$2001,"&lt;="&amp;EOMONTH(H$4,0)))</f>
        <v/>
      </c>
      <c r="I71" s="19" t="str">
        <f aca="false">IF($B71="","",SUMIFS(_MainTable!$K$2:$K$2001,_MainTable!$F$2:$F$2001,$B71,_MainTable!$G$2:$G$2001,"&gt;="&amp;I$4,_MainTable!$G$2:$G$2001,"&lt;="&amp;EOMONTH(I$4,0)))</f>
        <v/>
      </c>
      <c r="J71" s="19" t="str">
        <f aca="false">IF($B71="","",SUMIFS(_MainTable!$K$2:$K$2001,_MainTable!$F$2:$F$2001,$B71,_MainTable!$G$2:$G$2001,"&gt;="&amp;J$4,_MainTable!$G$2:$G$2001,"&lt;="&amp;EOMONTH(J$4,0)))</f>
        <v/>
      </c>
      <c r="K71" s="19" t="str">
        <f aca="false">IF($B71="","",SUMIFS(_MainTable!$K$2:$K$2001,_MainTable!$F$2:$F$2001,$B71,_MainTable!$G$2:$G$2001,"&gt;="&amp;K$4,_MainTable!$G$2:$G$2001,"&lt;="&amp;EOMONTH(K$4,0)))</f>
        <v/>
      </c>
      <c r="L71" s="19" t="str">
        <f aca="false">IF($B71="","",SUMIFS(_MainTable!$K$2:$K$2001,_MainTable!$F$2:$F$2001,$B71,_MainTable!$G$2:$G$2001,"&gt;="&amp;L$4,_MainTable!$G$2:$G$2001,"&lt;="&amp;EOMONTH(L$4,0)))</f>
        <v/>
      </c>
      <c r="M71" s="19" t="str">
        <f aca="false">IF($B71="","",SUMIFS(_MainTable!$K$2:$K$2001,_MainTable!$F$2:$F$2001,$B71,_MainTable!$G$2:$G$2001,"&gt;="&amp;M$4,_MainTable!$G$2:$G$2001,"&lt;="&amp;EOMONTH(M$4,0)))</f>
        <v/>
      </c>
      <c r="N71" s="19" t="str">
        <f aca="false">IF($B71="","",SUMIFS(_MainTable!$K$2:$K$2001,_MainTable!$F$2:$F$2001,$B71,_MainTable!$G$2:$G$2001,"&gt;="&amp;N$4,_MainTable!$G$2:$G$2001,"&lt;="&amp;EOMONTH(N$4,0)))</f>
        <v/>
      </c>
      <c r="O71" s="30" t="str">
        <f aca="false">IF($B71="","",SUM(C71:N71))</f>
        <v/>
      </c>
    </row>
    <row r="72" customFormat="false" ht="15" hidden="false" customHeight="false" outlineLevel="0" collapsed="false">
      <c r="A72" s="17" t="str">
        <f aca="false">IF('PO Tracker'!$A72="","",'PO Tracker'!$A72)</f>
        <v/>
      </c>
      <c r="B72" s="29" t="str">
        <f aca="false">IF('PO Tracker'!$B72="","",'PO Tracker'!$B72)</f>
        <v/>
      </c>
      <c r="C72" s="19" t="str">
        <f aca="false">IF($B72="","",SUMIFS(_MainTable!$K$2:$K$2001,_MainTable!$F$2:$F$2001,$B72,_MainTable!$G$2:$G$2001,"&gt;="&amp;C$4,_MainTable!$G$2:$G$2001,"&lt;="&amp;EOMONTH(C$4,0)))</f>
        <v/>
      </c>
      <c r="D72" s="19" t="str">
        <f aca="false">IF($B72="","",SUMIFS(_MainTable!$K$2:$K$2001,_MainTable!$F$2:$F$2001,$B72,_MainTable!$G$2:$G$2001,"&gt;="&amp;D$4,_MainTable!$G$2:$G$2001,"&lt;="&amp;EOMONTH(D$4,0)))</f>
        <v/>
      </c>
      <c r="E72" s="19" t="str">
        <f aca="false">IF($B72="","",SUMIFS(_MainTable!$K$2:$K$2001,_MainTable!$F$2:$F$2001,$B72,_MainTable!$G$2:$G$2001,"&gt;="&amp;E$4,_MainTable!$G$2:$G$2001,"&lt;="&amp;EOMONTH(E$4,0)))</f>
        <v/>
      </c>
      <c r="F72" s="19" t="str">
        <f aca="false">IF($B72="","",SUMIFS(_MainTable!$K$2:$K$2001,_MainTable!$F$2:$F$2001,$B72,_MainTable!$G$2:$G$2001,"&gt;="&amp;F$4,_MainTable!$G$2:$G$2001,"&lt;="&amp;EOMONTH(F$4,0)))</f>
        <v/>
      </c>
      <c r="G72" s="19" t="str">
        <f aca="false">IF($B72="","",SUMIFS(_MainTable!$K$2:$K$2001,_MainTable!$F$2:$F$2001,$B72,_MainTable!$G$2:$G$2001,"&gt;="&amp;G$4,_MainTable!$G$2:$G$2001,"&lt;="&amp;EOMONTH(G$4,0)))</f>
        <v/>
      </c>
      <c r="H72" s="19" t="str">
        <f aca="false">IF($B72="","",SUMIFS(_MainTable!$K$2:$K$2001,_MainTable!$F$2:$F$2001,$B72,_MainTable!$G$2:$G$2001,"&gt;="&amp;H$4,_MainTable!$G$2:$G$2001,"&lt;="&amp;EOMONTH(H$4,0)))</f>
        <v/>
      </c>
      <c r="I72" s="19" t="str">
        <f aca="false">IF($B72="","",SUMIFS(_MainTable!$K$2:$K$2001,_MainTable!$F$2:$F$2001,$B72,_MainTable!$G$2:$G$2001,"&gt;="&amp;I$4,_MainTable!$G$2:$G$2001,"&lt;="&amp;EOMONTH(I$4,0)))</f>
        <v/>
      </c>
      <c r="J72" s="19" t="str">
        <f aca="false">IF($B72="","",SUMIFS(_MainTable!$K$2:$K$2001,_MainTable!$F$2:$F$2001,$B72,_MainTable!$G$2:$G$2001,"&gt;="&amp;J$4,_MainTable!$G$2:$G$2001,"&lt;="&amp;EOMONTH(J$4,0)))</f>
        <v/>
      </c>
      <c r="K72" s="19" t="str">
        <f aca="false">IF($B72="","",SUMIFS(_MainTable!$K$2:$K$2001,_MainTable!$F$2:$F$2001,$B72,_MainTable!$G$2:$G$2001,"&gt;="&amp;K$4,_MainTable!$G$2:$G$2001,"&lt;="&amp;EOMONTH(K$4,0)))</f>
        <v/>
      </c>
      <c r="L72" s="19" t="str">
        <f aca="false">IF($B72="","",SUMIFS(_MainTable!$K$2:$K$2001,_MainTable!$F$2:$F$2001,$B72,_MainTable!$G$2:$G$2001,"&gt;="&amp;L$4,_MainTable!$G$2:$G$2001,"&lt;="&amp;EOMONTH(L$4,0)))</f>
        <v/>
      </c>
      <c r="M72" s="19" t="str">
        <f aca="false">IF($B72="","",SUMIFS(_MainTable!$K$2:$K$2001,_MainTable!$F$2:$F$2001,$B72,_MainTable!$G$2:$G$2001,"&gt;="&amp;M$4,_MainTable!$G$2:$G$2001,"&lt;="&amp;EOMONTH(M$4,0)))</f>
        <v/>
      </c>
      <c r="N72" s="19" t="str">
        <f aca="false">IF($B72="","",SUMIFS(_MainTable!$K$2:$K$2001,_MainTable!$F$2:$F$2001,$B72,_MainTable!$G$2:$G$2001,"&gt;="&amp;N$4,_MainTable!$G$2:$G$2001,"&lt;="&amp;EOMONTH(N$4,0)))</f>
        <v/>
      </c>
      <c r="O72" s="30" t="str">
        <f aca="false">IF($B72="","",SUM(C72:N72))</f>
        <v/>
      </c>
    </row>
    <row r="73" customFormat="false" ht="15" hidden="false" customHeight="false" outlineLevel="0" collapsed="false">
      <c r="A73" s="17" t="str">
        <f aca="false">IF('PO Tracker'!$A73="","",'PO Tracker'!$A73)</f>
        <v/>
      </c>
      <c r="B73" s="29" t="str">
        <f aca="false">IF('PO Tracker'!$B73="","",'PO Tracker'!$B73)</f>
        <v/>
      </c>
      <c r="C73" s="19" t="str">
        <f aca="false">IF($B73="","",SUMIFS(_MainTable!$K$2:$K$2001,_MainTable!$F$2:$F$2001,$B73,_MainTable!$G$2:$G$2001,"&gt;="&amp;C$4,_MainTable!$G$2:$G$2001,"&lt;="&amp;EOMONTH(C$4,0)))</f>
        <v/>
      </c>
      <c r="D73" s="19" t="str">
        <f aca="false">IF($B73="","",SUMIFS(_MainTable!$K$2:$K$2001,_MainTable!$F$2:$F$2001,$B73,_MainTable!$G$2:$G$2001,"&gt;="&amp;D$4,_MainTable!$G$2:$G$2001,"&lt;="&amp;EOMONTH(D$4,0)))</f>
        <v/>
      </c>
      <c r="E73" s="19" t="str">
        <f aca="false">IF($B73="","",SUMIFS(_MainTable!$K$2:$K$2001,_MainTable!$F$2:$F$2001,$B73,_MainTable!$G$2:$G$2001,"&gt;="&amp;E$4,_MainTable!$G$2:$G$2001,"&lt;="&amp;EOMONTH(E$4,0)))</f>
        <v/>
      </c>
      <c r="F73" s="19" t="str">
        <f aca="false">IF($B73="","",SUMIFS(_MainTable!$K$2:$K$2001,_MainTable!$F$2:$F$2001,$B73,_MainTable!$G$2:$G$2001,"&gt;="&amp;F$4,_MainTable!$G$2:$G$2001,"&lt;="&amp;EOMONTH(F$4,0)))</f>
        <v/>
      </c>
      <c r="G73" s="19" t="str">
        <f aca="false">IF($B73="","",SUMIFS(_MainTable!$K$2:$K$2001,_MainTable!$F$2:$F$2001,$B73,_MainTable!$G$2:$G$2001,"&gt;="&amp;G$4,_MainTable!$G$2:$G$2001,"&lt;="&amp;EOMONTH(G$4,0)))</f>
        <v/>
      </c>
      <c r="H73" s="19" t="str">
        <f aca="false">IF($B73="","",SUMIFS(_MainTable!$K$2:$K$2001,_MainTable!$F$2:$F$2001,$B73,_MainTable!$G$2:$G$2001,"&gt;="&amp;H$4,_MainTable!$G$2:$G$2001,"&lt;="&amp;EOMONTH(H$4,0)))</f>
        <v/>
      </c>
      <c r="I73" s="19" t="str">
        <f aca="false">IF($B73="","",SUMIFS(_MainTable!$K$2:$K$2001,_MainTable!$F$2:$F$2001,$B73,_MainTable!$G$2:$G$2001,"&gt;="&amp;I$4,_MainTable!$G$2:$G$2001,"&lt;="&amp;EOMONTH(I$4,0)))</f>
        <v/>
      </c>
      <c r="J73" s="19" t="str">
        <f aca="false">IF($B73="","",SUMIFS(_MainTable!$K$2:$K$2001,_MainTable!$F$2:$F$2001,$B73,_MainTable!$G$2:$G$2001,"&gt;="&amp;J$4,_MainTable!$G$2:$G$2001,"&lt;="&amp;EOMONTH(J$4,0)))</f>
        <v/>
      </c>
      <c r="K73" s="19" t="str">
        <f aca="false">IF($B73="","",SUMIFS(_MainTable!$K$2:$K$2001,_MainTable!$F$2:$F$2001,$B73,_MainTable!$G$2:$G$2001,"&gt;="&amp;K$4,_MainTable!$G$2:$G$2001,"&lt;="&amp;EOMONTH(K$4,0)))</f>
        <v/>
      </c>
      <c r="L73" s="19" t="str">
        <f aca="false">IF($B73="","",SUMIFS(_MainTable!$K$2:$K$2001,_MainTable!$F$2:$F$2001,$B73,_MainTable!$G$2:$G$2001,"&gt;="&amp;L$4,_MainTable!$G$2:$G$2001,"&lt;="&amp;EOMONTH(L$4,0)))</f>
        <v/>
      </c>
      <c r="M73" s="19" t="str">
        <f aca="false">IF($B73="","",SUMIFS(_MainTable!$K$2:$K$2001,_MainTable!$F$2:$F$2001,$B73,_MainTable!$G$2:$G$2001,"&gt;="&amp;M$4,_MainTable!$G$2:$G$2001,"&lt;="&amp;EOMONTH(M$4,0)))</f>
        <v/>
      </c>
      <c r="N73" s="19" t="str">
        <f aca="false">IF($B73="","",SUMIFS(_MainTable!$K$2:$K$2001,_MainTable!$F$2:$F$2001,$B73,_MainTable!$G$2:$G$2001,"&gt;="&amp;N$4,_MainTable!$G$2:$G$2001,"&lt;="&amp;EOMONTH(N$4,0)))</f>
        <v/>
      </c>
      <c r="O73" s="30" t="str">
        <f aca="false">IF($B73="","",SUM(C73:N73))</f>
        <v/>
      </c>
    </row>
    <row r="74" customFormat="false" ht="15" hidden="false" customHeight="false" outlineLevel="0" collapsed="false">
      <c r="A74" s="17" t="str">
        <f aca="false">IF('PO Tracker'!$A74="","",'PO Tracker'!$A74)</f>
        <v/>
      </c>
      <c r="B74" s="29" t="str">
        <f aca="false">IF('PO Tracker'!$B74="","",'PO Tracker'!$B74)</f>
        <v/>
      </c>
      <c r="C74" s="19" t="str">
        <f aca="false">IF($B74="","",SUMIFS(_MainTable!$K$2:$K$2001,_MainTable!$F$2:$F$2001,$B74,_MainTable!$G$2:$G$2001,"&gt;="&amp;C$4,_MainTable!$G$2:$G$2001,"&lt;="&amp;EOMONTH(C$4,0)))</f>
        <v/>
      </c>
      <c r="D74" s="19" t="str">
        <f aca="false">IF($B74="","",SUMIFS(_MainTable!$K$2:$K$2001,_MainTable!$F$2:$F$2001,$B74,_MainTable!$G$2:$G$2001,"&gt;="&amp;D$4,_MainTable!$G$2:$G$2001,"&lt;="&amp;EOMONTH(D$4,0)))</f>
        <v/>
      </c>
      <c r="E74" s="19" t="str">
        <f aca="false">IF($B74="","",SUMIFS(_MainTable!$K$2:$K$2001,_MainTable!$F$2:$F$2001,$B74,_MainTable!$G$2:$G$2001,"&gt;="&amp;E$4,_MainTable!$G$2:$G$2001,"&lt;="&amp;EOMONTH(E$4,0)))</f>
        <v/>
      </c>
      <c r="F74" s="19" t="str">
        <f aca="false">IF($B74="","",SUMIFS(_MainTable!$K$2:$K$2001,_MainTable!$F$2:$F$2001,$B74,_MainTable!$G$2:$G$2001,"&gt;="&amp;F$4,_MainTable!$G$2:$G$2001,"&lt;="&amp;EOMONTH(F$4,0)))</f>
        <v/>
      </c>
      <c r="G74" s="19" t="str">
        <f aca="false">IF($B74="","",SUMIFS(_MainTable!$K$2:$K$2001,_MainTable!$F$2:$F$2001,$B74,_MainTable!$G$2:$G$2001,"&gt;="&amp;G$4,_MainTable!$G$2:$G$2001,"&lt;="&amp;EOMONTH(G$4,0)))</f>
        <v/>
      </c>
      <c r="H74" s="19" t="str">
        <f aca="false">IF($B74="","",SUMIFS(_MainTable!$K$2:$K$2001,_MainTable!$F$2:$F$2001,$B74,_MainTable!$G$2:$G$2001,"&gt;="&amp;H$4,_MainTable!$G$2:$G$2001,"&lt;="&amp;EOMONTH(H$4,0)))</f>
        <v/>
      </c>
      <c r="I74" s="19" t="str">
        <f aca="false">IF($B74="","",SUMIFS(_MainTable!$K$2:$K$2001,_MainTable!$F$2:$F$2001,$B74,_MainTable!$G$2:$G$2001,"&gt;="&amp;I$4,_MainTable!$G$2:$G$2001,"&lt;="&amp;EOMONTH(I$4,0)))</f>
        <v/>
      </c>
      <c r="J74" s="19" t="str">
        <f aca="false">IF($B74="","",SUMIFS(_MainTable!$K$2:$K$2001,_MainTable!$F$2:$F$2001,$B74,_MainTable!$G$2:$G$2001,"&gt;="&amp;J$4,_MainTable!$G$2:$G$2001,"&lt;="&amp;EOMONTH(J$4,0)))</f>
        <v/>
      </c>
      <c r="K74" s="19" t="str">
        <f aca="false">IF($B74="","",SUMIFS(_MainTable!$K$2:$K$2001,_MainTable!$F$2:$F$2001,$B74,_MainTable!$G$2:$G$2001,"&gt;="&amp;K$4,_MainTable!$G$2:$G$2001,"&lt;="&amp;EOMONTH(K$4,0)))</f>
        <v/>
      </c>
      <c r="L74" s="19" t="str">
        <f aca="false">IF($B74="","",SUMIFS(_MainTable!$K$2:$K$2001,_MainTable!$F$2:$F$2001,$B74,_MainTable!$G$2:$G$2001,"&gt;="&amp;L$4,_MainTable!$G$2:$G$2001,"&lt;="&amp;EOMONTH(L$4,0)))</f>
        <v/>
      </c>
      <c r="M74" s="19" t="str">
        <f aca="false">IF($B74="","",SUMIFS(_MainTable!$K$2:$K$2001,_MainTable!$F$2:$F$2001,$B74,_MainTable!$G$2:$G$2001,"&gt;="&amp;M$4,_MainTable!$G$2:$G$2001,"&lt;="&amp;EOMONTH(M$4,0)))</f>
        <v/>
      </c>
      <c r="N74" s="19" t="str">
        <f aca="false">IF($B74="","",SUMIFS(_MainTable!$K$2:$K$2001,_MainTable!$F$2:$F$2001,$B74,_MainTable!$G$2:$G$2001,"&gt;="&amp;N$4,_MainTable!$G$2:$G$2001,"&lt;="&amp;EOMONTH(N$4,0)))</f>
        <v/>
      </c>
      <c r="O74" s="30" t="str">
        <f aca="false">IF($B74="","",SUM(C74:N74))</f>
        <v/>
      </c>
    </row>
    <row r="75" customFormat="false" ht="15" hidden="false" customHeight="false" outlineLevel="0" collapsed="false">
      <c r="A75" s="17" t="str">
        <f aca="false">IF('PO Tracker'!$A75="","",'PO Tracker'!$A75)</f>
        <v/>
      </c>
      <c r="B75" s="29" t="str">
        <f aca="false">IF('PO Tracker'!$B75="","",'PO Tracker'!$B75)</f>
        <v/>
      </c>
      <c r="C75" s="19" t="str">
        <f aca="false">IF($B75="","",SUMIFS(_MainTable!$K$2:$K$2001,_MainTable!$F$2:$F$2001,$B75,_MainTable!$G$2:$G$2001,"&gt;="&amp;C$4,_MainTable!$G$2:$G$2001,"&lt;="&amp;EOMONTH(C$4,0)))</f>
        <v/>
      </c>
      <c r="D75" s="19" t="str">
        <f aca="false">IF($B75="","",SUMIFS(_MainTable!$K$2:$K$2001,_MainTable!$F$2:$F$2001,$B75,_MainTable!$G$2:$G$2001,"&gt;="&amp;D$4,_MainTable!$G$2:$G$2001,"&lt;="&amp;EOMONTH(D$4,0)))</f>
        <v/>
      </c>
      <c r="E75" s="19" t="str">
        <f aca="false">IF($B75="","",SUMIFS(_MainTable!$K$2:$K$2001,_MainTable!$F$2:$F$2001,$B75,_MainTable!$G$2:$G$2001,"&gt;="&amp;E$4,_MainTable!$G$2:$G$2001,"&lt;="&amp;EOMONTH(E$4,0)))</f>
        <v/>
      </c>
      <c r="F75" s="19" t="str">
        <f aca="false">IF($B75="","",SUMIFS(_MainTable!$K$2:$K$2001,_MainTable!$F$2:$F$2001,$B75,_MainTable!$G$2:$G$2001,"&gt;="&amp;F$4,_MainTable!$G$2:$G$2001,"&lt;="&amp;EOMONTH(F$4,0)))</f>
        <v/>
      </c>
      <c r="G75" s="19" t="str">
        <f aca="false">IF($B75="","",SUMIFS(_MainTable!$K$2:$K$2001,_MainTable!$F$2:$F$2001,$B75,_MainTable!$G$2:$G$2001,"&gt;="&amp;G$4,_MainTable!$G$2:$G$2001,"&lt;="&amp;EOMONTH(G$4,0)))</f>
        <v/>
      </c>
      <c r="H75" s="19" t="str">
        <f aca="false">IF($B75="","",SUMIFS(_MainTable!$K$2:$K$2001,_MainTable!$F$2:$F$2001,$B75,_MainTable!$G$2:$G$2001,"&gt;="&amp;H$4,_MainTable!$G$2:$G$2001,"&lt;="&amp;EOMONTH(H$4,0)))</f>
        <v/>
      </c>
      <c r="I75" s="19" t="str">
        <f aca="false">IF($B75="","",SUMIFS(_MainTable!$K$2:$K$2001,_MainTable!$F$2:$F$2001,$B75,_MainTable!$G$2:$G$2001,"&gt;="&amp;I$4,_MainTable!$G$2:$G$2001,"&lt;="&amp;EOMONTH(I$4,0)))</f>
        <v/>
      </c>
      <c r="J75" s="19" t="str">
        <f aca="false">IF($B75="","",SUMIFS(_MainTable!$K$2:$K$2001,_MainTable!$F$2:$F$2001,$B75,_MainTable!$G$2:$G$2001,"&gt;="&amp;J$4,_MainTable!$G$2:$G$2001,"&lt;="&amp;EOMONTH(J$4,0)))</f>
        <v/>
      </c>
      <c r="K75" s="19" t="str">
        <f aca="false">IF($B75="","",SUMIFS(_MainTable!$K$2:$K$2001,_MainTable!$F$2:$F$2001,$B75,_MainTable!$G$2:$G$2001,"&gt;="&amp;K$4,_MainTable!$G$2:$G$2001,"&lt;="&amp;EOMONTH(K$4,0)))</f>
        <v/>
      </c>
      <c r="L75" s="19" t="str">
        <f aca="false">IF($B75="","",SUMIFS(_MainTable!$K$2:$K$2001,_MainTable!$F$2:$F$2001,$B75,_MainTable!$G$2:$G$2001,"&gt;="&amp;L$4,_MainTable!$G$2:$G$2001,"&lt;="&amp;EOMONTH(L$4,0)))</f>
        <v/>
      </c>
      <c r="M75" s="19" t="str">
        <f aca="false">IF($B75="","",SUMIFS(_MainTable!$K$2:$K$2001,_MainTable!$F$2:$F$2001,$B75,_MainTable!$G$2:$G$2001,"&gt;="&amp;M$4,_MainTable!$G$2:$G$2001,"&lt;="&amp;EOMONTH(M$4,0)))</f>
        <v/>
      </c>
      <c r="N75" s="19" t="str">
        <f aca="false">IF($B75="","",SUMIFS(_MainTable!$K$2:$K$2001,_MainTable!$F$2:$F$2001,$B75,_MainTable!$G$2:$G$2001,"&gt;="&amp;N$4,_MainTable!$G$2:$G$2001,"&lt;="&amp;EOMONTH(N$4,0)))</f>
        <v/>
      </c>
      <c r="O75" s="30" t="str">
        <f aca="false">IF($B75="","",SUM(C75:N75))</f>
        <v/>
      </c>
    </row>
    <row r="76" customFormat="false" ht="15" hidden="false" customHeight="false" outlineLevel="0" collapsed="false">
      <c r="A76" s="17" t="str">
        <f aca="false">IF('PO Tracker'!$A76="","",'PO Tracker'!$A76)</f>
        <v/>
      </c>
      <c r="B76" s="29" t="str">
        <f aca="false">IF('PO Tracker'!$B76="","",'PO Tracker'!$B76)</f>
        <v/>
      </c>
      <c r="C76" s="19" t="str">
        <f aca="false">IF($B76="","",SUMIFS(_MainTable!$K$2:$K$2001,_MainTable!$F$2:$F$2001,$B76,_MainTable!$G$2:$G$2001,"&gt;="&amp;C$4,_MainTable!$G$2:$G$2001,"&lt;="&amp;EOMONTH(C$4,0)))</f>
        <v/>
      </c>
      <c r="D76" s="19" t="str">
        <f aca="false">IF($B76="","",SUMIFS(_MainTable!$K$2:$K$2001,_MainTable!$F$2:$F$2001,$B76,_MainTable!$G$2:$G$2001,"&gt;="&amp;D$4,_MainTable!$G$2:$G$2001,"&lt;="&amp;EOMONTH(D$4,0)))</f>
        <v/>
      </c>
      <c r="E76" s="19" t="str">
        <f aca="false">IF($B76="","",SUMIFS(_MainTable!$K$2:$K$2001,_MainTable!$F$2:$F$2001,$B76,_MainTable!$G$2:$G$2001,"&gt;="&amp;E$4,_MainTable!$G$2:$G$2001,"&lt;="&amp;EOMONTH(E$4,0)))</f>
        <v/>
      </c>
      <c r="F76" s="19" t="str">
        <f aca="false">IF($B76="","",SUMIFS(_MainTable!$K$2:$K$2001,_MainTable!$F$2:$F$2001,$B76,_MainTable!$G$2:$G$2001,"&gt;="&amp;F$4,_MainTable!$G$2:$G$2001,"&lt;="&amp;EOMONTH(F$4,0)))</f>
        <v/>
      </c>
      <c r="G76" s="19" t="str">
        <f aca="false">IF($B76="","",SUMIFS(_MainTable!$K$2:$K$2001,_MainTable!$F$2:$F$2001,$B76,_MainTable!$G$2:$G$2001,"&gt;="&amp;G$4,_MainTable!$G$2:$G$2001,"&lt;="&amp;EOMONTH(G$4,0)))</f>
        <v/>
      </c>
      <c r="H76" s="19" t="str">
        <f aca="false">IF($B76="","",SUMIFS(_MainTable!$K$2:$K$2001,_MainTable!$F$2:$F$2001,$B76,_MainTable!$G$2:$G$2001,"&gt;="&amp;H$4,_MainTable!$G$2:$G$2001,"&lt;="&amp;EOMONTH(H$4,0)))</f>
        <v/>
      </c>
      <c r="I76" s="19" t="str">
        <f aca="false">IF($B76="","",SUMIFS(_MainTable!$K$2:$K$2001,_MainTable!$F$2:$F$2001,$B76,_MainTable!$G$2:$G$2001,"&gt;="&amp;I$4,_MainTable!$G$2:$G$2001,"&lt;="&amp;EOMONTH(I$4,0)))</f>
        <v/>
      </c>
      <c r="J76" s="19" t="str">
        <f aca="false">IF($B76="","",SUMIFS(_MainTable!$K$2:$K$2001,_MainTable!$F$2:$F$2001,$B76,_MainTable!$G$2:$G$2001,"&gt;="&amp;J$4,_MainTable!$G$2:$G$2001,"&lt;="&amp;EOMONTH(J$4,0)))</f>
        <v/>
      </c>
      <c r="K76" s="19" t="str">
        <f aca="false">IF($B76="","",SUMIFS(_MainTable!$K$2:$K$2001,_MainTable!$F$2:$F$2001,$B76,_MainTable!$G$2:$G$2001,"&gt;="&amp;K$4,_MainTable!$G$2:$G$2001,"&lt;="&amp;EOMONTH(K$4,0)))</f>
        <v/>
      </c>
      <c r="L76" s="19" t="str">
        <f aca="false">IF($B76="","",SUMIFS(_MainTable!$K$2:$K$2001,_MainTable!$F$2:$F$2001,$B76,_MainTable!$G$2:$G$2001,"&gt;="&amp;L$4,_MainTable!$G$2:$G$2001,"&lt;="&amp;EOMONTH(L$4,0)))</f>
        <v/>
      </c>
      <c r="M76" s="19" t="str">
        <f aca="false">IF($B76="","",SUMIFS(_MainTable!$K$2:$K$2001,_MainTable!$F$2:$F$2001,$B76,_MainTable!$G$2:$G$2001,"&gt;="&amp;M$4,_MainTable!$G$2:$G$2001,"&lt;="&amp;EOMONTH(M$4,0)))</f>
        <v/>
      </c>
      <c r="N76" s="19" t="str">
        <f aca="false">IF($B76="","",SUMIFS(_MainTable!$K$2:$K$2001,_MainTable!$F$2:$F$2001,$B76,_MainTable!$G$2:$G$2001,"&gt;="&amp;N$4,_MainTable!$G$2:$G$2001,"&lt;="&amp;EOMONTH(N$4,0)))</f>
        <v/>
      </c>
      <c r="O76" s="30" t="str">
        <f aca="false">IF($B76="","",SUM(C76:N76))</f>
        <v/>
      </c>
    </row>
    <row r="77" customFormat="false" ht="15" hidden="false" customHeight="false" outlineLevel="0" collapsed="false">
      <c r="A77" s="17" t="str">
        <f aca="false">IF('PO Tracker'!$A77="","",'PO Tracker'!$A77)</f>
        <v/>
      </c>
      <c r="B77" s="29" t="str">
        <f aca="false">IF('PO Tracker'!$B77="","",'PO Tracker'!$B77)</f>
        <v/>
      </c>
      <c r="C77" s="19" t="str">
        <f aca="false">IF($B77="","",SUMIFS(_MainTable!$K$2:$K$2001,_MainTable!$F$2:$F$2001,$B77,_MainTable!$G$2:$G$2001,"&gt;="&amp;C$4,_MainTable!$G$2:$G$2001,"&lt;="&amp;EOMONTH(C$4,0)))</f>
        <v/>
      </c>
      <c r="D77" s="19" t="str">
        <f aca="false">IF($B77="","",SUMIFS(_MainTable!$K$2:$K$2001,_MainTable!$F$2:$F$2001,$B77,_MainTable!$G$2:$G$2001,"&gt;="&amp;D$4,_MainTable!$G$2:$G$2001,"&lt;="&amp;EOMONTH(D$4,0)))</f>
        <v/>
      </c>
      <c r="E77" s="19" t="str">
        <f aca="false">IF($B77="","",SUMIFS(_MainTable!$K$2:$K$2001,_MainTable!$F$2:$F$2001,$B77,_MainTable!$G$2:$G$2001,"&gt;="&amp;E$4,_MainTable!$G$2:$G$2001,"&lt;="&amp;EOMONTH(E$4,0)))</f>
        <v/>
      </c>
      <c r="F77" s="19" t="str">
        <f aca="false">IF($B77="","",SUMIFS(_MainTable!$K$2:$K$2001,_MainTable!$F$2:$F$2001,$B77,_MainTable!$G$2:$G$2001,"&gt;="&amp;F$4,_MainTable!$G$2:$G$2001,"&lt;="&amp;EOMONTH(F$4,0)))</f>
        <v/>
      </c>
      <c r="G77" s="19" t="str">
        <f aca="false">IF($B77="","",SUMIFS(_MainTable!$K$2:$K$2001,_MainTable!$F$2:$F$2001,$B77,_MainTable!$G$2:$G$2001,"&gt;="&amp;G$4,_MainTable!$G$2:$G$2001,"&lt;="&amp;EOMONTH(G$4,0)))</f>
        <v/>
      </c>
      <c r="H77" s="19" t="str">
        <f aca="false">IF($B77="","",SUMIFS(_MainTable!$K$2:$K$2001,_MainTable!$F$2:$F$2001,$B77,_MainTable!$G$2:$G$2001,"&gt;="&amp;H$4,_MainTable!$G$2:$G$2001,"&lt;="&amp;EOMONTH(H$4,0)))</f>
        <v/>
      </c>
      <c r="I77" s="19" t="str">
        <f aca="false">IF($B77="","",SUMIFS(_MainTable!$K$2:$K$2001,_MainTable!$F$2:$F$2001,$B77,_MainTable!$G$2:$G$2001,"&gt;="&amp;I$4,_MainTable!$G$2:$G$2001,"&lt;="&amp;EOMONTH(I$4,0)))</f>
        <v/>
      </c>
      <c r="J77" s="19" t="str">
        <f aca="false">IF($B77="","",SUMIFS(_MainTable!$K$2:$K$2001,_MainTable!$F$2:$F$2001,$B77,_MainTable!$G$2:$G$2001,"&gt;="&amp;J$4,_MainTable!$G$2:$G$2001,"&lt;="&amp;EOMONTH(J$4,0)))</f>
        <v/>
      </c>
      <c r="K77" s="19" t="str">
        <f aca="false">IF($B77="","",SUMIFS(_MainTable!$K$2:$K$2001,_MainTable!$F$2:$F$2001,$B77,_MainTable!$G$2:$G$2001,"&gt;="&amp;K$4,_MainTable!$G$2:$G$2001,"&lt;="&amp;EOMONTH(K$4,0)))</f>
        <v/>
      </c>
      <c r="L77" s="19" t="str">
        <f aca="false">IF($B77="","",SUMIFS(_MainTable!$K$2:$K$2001,_MainTable!$F$2:$F$2001,$B77,_MainTable!$G$2:$G$2001,"&gt;="&amp;L$4,_MainTable!$G$2:$G$2001,"&lt;="&amp;EOMONTH(L$4,0)))</f>
        <v/>
      </c>
      <c r="M77" s="19" t="str">
        <f aca="false">IF($B77="","",SUMIFS(_MainTable!$K$2:$K$2001,_MainTable!$F$2:$F$2001,$B77,_MainTable!$G$2:$G$2001,"&gt;="&amp;M$4,_MainTable!$G$2:$G$2001,"&lt;="&amp;EOMONTH(M$4,0)))</f>
        <v/>
      </c>
      <c r="N77" s="19" t="str">
        <f aca="false">IF($B77="","",SUMIFS(_MainTable!$K$2:$K$2001,_MainTable!$F$2:$F$2001,$B77,_MainTable!$G$2:$G$2001,"&gt;="&amp;N$4,_MainTable!$G$2:$G$2001,"&lt;="&amp;EOMONTH(N$4,0)))</f>
        <v/>
      </c>
      <c r="O77" s="30" t="str">
        <f aca="false">IF($B77="","",SUM(C77:N77))</f>
        <v/>
      </c>
    </row>
    <row r="78" customFormat="false" ht="15" hidden="false" customHeight="false" outlineLevel="0" collapsed="false">
      <c r="A78" s="17" t="str">
        <f aca="false">IF('PO Tracker'!$A78="","",'PO Tracker'!$A78)</f>
        <v/>
      </c>
      <c r="B78" s="29" t="str">
        <f aca="false">IF('PO Tracker'!$B78="","",'PO Tracker'!$B78)</f>
        <v/>
      </c>
      <c r="C78" s="19" t="str">
        <f aca="false">IF($B78="","",SUMIFS(_MainTable!$K$2:$K$2001,_MainTable!$F$2:$F$2001,$B78,_MainTable!$G$2:$G$2001,"&gt;="&amp;C$4,_MainTable!$G$2:$G$2001,"&lt;="&amp;EOMONTH(C$4,0)))</f>
        <v/>
      </c>
      <c r="D78" s="19" t="str">
        <f aca="false">IF($B78="","",SUMIFS(_MainTable!$K$2:$K$2001,_MainTable!$F$2:$F$2001,$B78,_MainTable!$G$2:$G$2001,"&gt;="&amp;D$4,_MainTable!$G$2:$G$2001,"&lt;="&amp;EOMONTH(D$4,0)))</f>
        <v/>
      </c>
      <c r="E78" s="19" t="str">
        <f aca="false">IF($B78="","",SUMIFS(_MainTable!$K$2:$K$2001,_MainTable!$F$2:$F$2001,$B78,_MainTable!$G$2:$G$2001,"&gt;="&amp;E$4,_MainTable!$G$2:$G$2001,"&lt;="&amp;EOMONTH(E$4,0)))</f>
        <v/>
      </c>
      <c r="F78" s="19" t="str">
        <f aca="false">IF($B78="","",SUMIFS(_MainTable!$K$2:$K$2001,_MainTable!$F$2:$F$2001,$B78,_MainTable!$G$2:$G$2001,"&gt;="&amp;F$4,_MainTable!$G$2:$G$2001,"&lt;="&amp;EOMONTH(F$4,0)))</f>
        <v/>
      </c>
      <c r="G78" s="19" t="str">
        <f aca="false">IF($B78="","",SUMIFS(_MainTable!$K$2:$K$2001,_MainTable!$F$2:$F$2001,$B78,_MainTable!$G$2:$G$2001,"&gt;="&amp;G$4,_MainTable!$G$2:$G$2001,"&lt;="&amp;EOMONTH(G$4,0)))</f>
        <v/>
      </c>
      <c r="H78" s="19" t="str">
        <f aca="false">IF($B78="","",SUMIFS(_MainTable!$K$2:$K$2001,_MainTable!$F$2:$F$2001,$B78,_MainTable!$G$2:$G$2001,"&gt;="&amp;H$4,_MainTable!$G$2:$G$2001,"&lt;="&amp;EOMONTH(H$4,0)))</f>
        <v/>
      </c>
      <c r="I78" s="19" t="str">
        <f aca="false">IF($B78="","",SUMIFS(_MainTable!$K$2:$K$2001,_MainTable!$F$2:$F$2001,$B78,_MainTable!$G$2:$G$2001,"&gt;="&amp;I$4,_MainTable!$G$2:$G$2001,"&lt;="&amp;EOMONTH(I$4,0)))</f>
        <v/>
      </c>
      <c r="J78" s="19" t="str">
        <f aca="false">IF($B78="","",SUMIFS(_MainTable!$K$2:$K$2001,_MainTable!$F$2:$F$2001,$B78,_MainTable!$G$2:$G$2001,"&gt;="&amp;J$4,_MainTable!$G$2:$G$2001,"&lt;="&amp;EOMONTH(J$4,0)))</f>
        <v/>
      </c>
      <c r="K78" s="19" t="str">
        <f aca="false">IF($B78="","",SUMIFS(_MainTable!$K$2:$K$2001,_MainTable!$F$2:$F$2001,$B78,_MainTable!$G$2:$G$2001,"&gt;="&amp;K$4,_MainTable!$G$2:$G$2001,"&lt;="&amp;EOMONTH(K$4,0)))</f>
        <v/>
      </c>
      <c r="L78" s="19" t="str">
        <f aca="false">IF($B78="","",SUMIFS(_MainTable!$K$2:$K$2001,_MainTable!$F$2:$F$2001,$B78,_MainTable!$G$2:$G$2001,"&gt;="&amp;L$4,_MainTable!$G$2:$G$2001,"&lt;="&amp;EOMONTH(L$4,0)))</f>
        <v/>
      </c>
      <c r="M78" s="19" t="str">
        <f aca="false">IF($B78="","",SUMIFS(_MainTable!$K$2:$K$2001,_MainTable!$F$2:$F$2001,$B78,_MainTable!$G$2:$G$2001,"&gt;="&amp;M$4,_MainTable!$G$2:$G$2001,"&lt;="&amp;EOMONTH(M$4,0)))</f>
        <v/>
      </c>
      <c r="N78" s="19" t="str">
        <f aca="false">IF($B78="","",SUMIFS(_MainTable!$K$2:$K$2001,_MainTable!$F$2:$F$2001,$B78,_MainTable!$G$2:$G$2001,"&gt;="&amp;N$4,_MainTable!$G$2:$G$2001,"&lt;="&amp;EOMONTH(N$4,0)))</f>
        <v/>
      </c>
      <c r="O78" s="30" t="str">
        <f aca="false">IF($B78="","",SUM(C78:N78))</f>
        <v/>
      </c>
    </row>
    <row r="79" customFormat="false" ht="15" hidden="false" customHeight="false" outlineLevel="0" collapsed="false">
      <c r="A79" s="17" t="str">
        <f aca="false">IF('PO Tracker'!$A79="","",'PO Tracker'!$A79)</f>
        <v/>
      </c>
      <c r="B79" s="29" t="str">
        <f aca="false">IF('PO Tracker'!$B79="","",'PO Tracker'!$B79)</f>
        <v/>
      </c>
      <c r="C79" s="19" t="str">
        <f aca="false">IF($B79="","",SUMIFS(_MainTable!$K$2:$K$2001,_MainTable!$F$2:$F$2001,$B79,_MainTable!$G$2:$G$2001,"&gt;="&amp;C$4,_MainTable!$G$2:$G$2001,"&lt;="&amp;EOMONTH(C$4,0)))</f>
        <v/>
      </c>
      <c r="D79" s="19" t="str">
        <f aca="false">IF($B79="","",SUMIFS(_MainTable!$K$2:$K$2001,_MainTable!$F$2:$F$2001,$B79,_MainTable!$G$2:$G$2001,"&gt;="&amp;D$4,_MainTable!$G$2:$G$2001,"&lt;="&amp;EOMONTH(D$4,0)))</f>
        <v/>
      </c>
      <c r="E79" s="19" t="str">
        <f aca="false">IF($B79="","",SUMIFS(_MainTable!$K$2:$K$2001,_MainTable!$F$2:$F$2001,$B79,_MainTable!$G$2:$G$2001,"&gt;="&amp;E$4,_MainTable!$G$2:$G$2001,"&lt;="&amp;EOMONTH(E$4,0)))</f>
        <v/>
      </c>
      <c r="F79" s="19" t="str">
        <f aca="false">IF($B79="","",SUMIFS(_MainTable!$K$2:$K$2001,_MainTable!$F$2:$F$2001,$B79,_MainTable!$G$2:$G$2001,"&gt;="&amp;F$4,_MainTable!$G$2:$G$2001,"&lt;="&amp;EOMONTH(F$4,0)))</f>
        <v/>
      </c>
      <c r="G79" s="19" t="str">
        <f aca="false">IF($B79="","",SUMIFS(_MainTable!$K$2:$K$2001,_MainTable!$F$2:$F$2001,$B79,_MainTable!$G$2:$G$2001,"&gt;="&amp;G$4,_MainTable!$G$2:$G$2001,"&lt;="&amp;EOMONTH(G$4,0)))</f>
        <v/>
      </c>
      <c r="H79" s="19" t="str">
        <f aca="false">IF($B79="","",SUMIFS(_MainTable!$K$2:$K$2001,_MainTable!$F$2:$F$2001,$B79,_MainTable!$G$2:$G$2001,"&gt;="&amp;H$4,_MainTable!$G$2:$G$2001,"&lt;="&amp;EOMONTH(H$4,0)))</f>
        <v/>
      </c>
      <c r="I79" s="19" t="str">
        <f aca="false">IF($B79="","",SUMIFS(_MainTable!$K$2:$K$2001,_MainTable!$F$2:$F$2001,$B79,_MainTable!$G$2:$G$2001,"&gt;="&amp;I$4,_MainTable!$G$2:$G$2001,"&lt;="&amp;EOMONTH(I$4,0)))</f>
        <v/>
      </c>
      <c r="J79" s="19" t="str">
        <f aca="false">IF($B79="","",SUMIFS(_MainTable!$K$2:$K$2001,_MainTable!$F$2:$F$2001,$B79,_MainTable!$G$2:$G$2001,"&gt;="&amp;J$4,_MainTable!$G$2:$G$2001,"&lt;="&amp;EOMONTH(J$4,0)))</f>
        <v/>
      </c>
      <c r="K79" s="19" t="str">
        <f aca="false">IF($B79="","",SUMIFS(_MainTable!$K$2:$K$2001,_MainTable!$F$2:$F$2001,$B79,_MainTable!$G$2:$G$2001,"&gt;="&amp;K$4,_MainTable!$G$2:$G$2001,"&lt;="&amp;EOMONTH(K$4,0)))</f>
        <v/>
      </c>
      <c r="L79" s="19" t="str">
        <f aca="false">IF($B79="","",SUMIFS(_MainTable!$K$2:$K$2001,_MainTable!$F$2:$F$2001,$B79,_MainTable!$G$2:$G$2001,"&gt;="&amp;L$4,_MainTable!$G$2:$G$2001,"&lt;="&amp;EOMONTH(L$4,0)))</f>
        <v/>
      </c>
      <c r="M79" s="19" t="str">
        <f aca="false">IF($B79="","",SUMIFS(_MainTable!$K$2:$K$2001,_MainTable!$F$2:$F$2001,$B79,_MainTable!$G$2:$G$2001,"&gt;="&amp;M$4,_MainTable!$G$2:$G$2001,"&lt;="&amp;EOMONTH(M$4,0)))</f>
        <v/>
      </c>
      <c r="N79" s="19" t="str">
        <f aca="false">IF($B79="","",SUMIFS(_MainTable!$K$2:$K$2001,_MainTable!$F$2:$F$2001,$B79,_MainTable!$G$2:$G$2001,"&gt;="&amp;N$4,_MainTable!$G$2:$G$2001,"&lt;="&amp;EOMONTH(N$4,0)))</f>
        <v/>
      </c>
      <c r="O79" s="30" t="str">
        <f aca="false">IF($B79="","",SUM(C79:N79))</f>
        <v/>
      </c>
    </row>
    <row r="80" customFormat="false" ht="15" hidden="false" customHeight="false" outlineLevel="0" collapsed="false">
      <c r="A80" s="17" t="str">
        <f aca="false">IF('PO Tracker'!$A80="","",'PO Tracker'!$A80)</f>
        <v/>
      </c>
      <c r="B80" s="29" t="str">
        <f aca="false">IF('PO Tracker'!$B80="","",'PO Tracker'!$B80)</f>
        <v/>
      </c>
      <c r="C80" s="19" t="str">
        <f aca="false">IF($B80="","",SUMIFS(_MainTable!$K$2:$K$2001,_MainTable!$F$2:$F$2001,$B80,_MainTable!$G$2:$G$2001,"&gt;="&amp;C$4,_MainTable!$G$2:$G$2001,"&lt;="&amp;EOMONTH(C$4,0)))</f>
        <v/>
      </c>
      <c r="D80" s="19" t="str">
        <f aca="false">IF($B80="","",SUMIFS(_MainTable!$K$2:$K$2001,_MainTable!$F$2:$F$2001,$B80,_MainTable!$G$2:$G$2001,"&gt;="&amp;D$4,_MainTable!$G$2:$G$2001,"&lt;="&amp;EOMONTH(D$4,0)))</f>
        <v/>
      </c>
      <c r="E80" s="19" t="str">
        <f aca="false">IF($B80="","",SUMIFS(_MainTable!$K$2:$K$2001,_MainTable!$F$2:$F$2001,$B80,_MainTable!$G$2:$G$2001,"&gt;="&amp;E$4,_MainTable!$G$2:$G$2001,"&lt;="&amp;EOMONTH(E$4,0)))</f>
        <v/>
      </c>
      <c r="F80" s="19" t="str">
        <f aca="false">IF($B80="","",SUMIFS(_MainTable!$K$2:$K$2001,_MainTable!$F$2:$F$2001,$B80,_MainTable!$G$2:$G$2001,"&gt;="&amp;F$4,_MainTable!$G$2:$G$2001,"&lt;="&amp;EOMONTH(F$4,0)))</f>
        <v/>
      </c>
      <c r="G80" s="19" t="str">
        <f aca="false">IF($B80="","",SUMIFS(_MainTable!$K$2:$K$2001,_MainTable!$F$2:$F$2001,$B80,_MainTable!$G$2:$G$2001,"&gt;="&amp;G$4,_MainTable!$G$2:$G$2001,"&lt;="&amp;EOMONTH(G$4,0)))</f>
        <v/>
      </c>
      <c r="H80" s="19" t="str">
        <f aca="false">IF($B80="","",SUMIFS(_MainTable!$K$2:$K$2001,_MainTable!$F$2:$F$2001,$B80,_MainTable!$G$2:$G$2001,"&gt;="&amp;H$4,_MainTable!$G$2:$G$2001,"&lt;="&amp;EOMONTH(H$4,0)))</f>
        <v/>
      </c>
      <c r="I80" s="19" t="str">
        <f aca="false">IF($B80="","",SUMIFS(_MainTable!$K$2:$K$2001,_MainTable!$F$2:$F$2001,$B80,_MainTable!$G$2:$G$2001,"&gt;="&amp;I$4,_MainTable!$G$2:$G$2001,"&lt;="&amp;EOMONTH(I$4,0)))</f>
        <v/>
      </c>
      <c r="J80" s="19" t="str">
        <f aca="false">IF($B80="","",SUMIFS(_MainTable!$K$2:$K$2001,_MainTable!$F$2:$F$2001,$B80,_MainTable!$G$2:$G$2001,"&gt;="&amp;J$4,_MainTable!$G$2:$G$2001,"&lt;="&amp;EOMONTH(J$4,0)))</f>
        <v/>
      </c>
      <c r="K80" s="19" t="str">
        <f aca="false">IF($B80="","",SUMIFS(_MainTable!$K$2:$K$2001,_MainTable!$F$2:$F$2001,$B80,_MainTable!$G$2:$G$2001,"&gt;="&amp;K$4,_MainTable!$G$2:$G$2001,"&lt;="&amp;EOMONTH(K$4,0)))</f>
        <v/>
      </c>
      <c r="L80" s="19" t="str">
        <f aca="false">IF($B80="","",SUMIFS(_MainTable!$K$2:$K$2001,_MainTable!$F$2:$F$2001,$B80,_MainTable!$G$2:$G$2001,"&gt;="&amp;L$4,_MainTable!$G$2:$G$2001,"&lt;="&amp;EOMONTH(L$4,0)))</f>
        <v/>
      </c>
      <c r="M80" s="19" t="str">
        <f aca="false">IF($B80="","",SUMIFS(_MainTable!$K$2:$K$2001,_MainTable!$F$2:$F$2001,$B80,_MainTable!$G$2:$G$2001,"&gt;="&amp;M$4,_MainTable!$G$2:$G$2001,"&lt;="&amp;EOMONTH(M$4,0)))</f>
        <v/>
      </c>
      <c r="N80" s="19" t="str">
        <f aca="false">IF($B80="","",SUMIFS(_MainTable!$K$2:$K$2001,_MainTable!$F$2:$F$2001,$B80,_MainTable!$G$2:$G$2001,"&gt;="&amp;N$4,_MainTable!$G$2:$G$2001,"&lt;="&amp;EOMONTH(N$4,0)))</f>
        <v/>
      </c>
      <c r="O80" s="30" t="str">
        <f aca="false">IF($B80="","",SUM(C80:N80))</f>
        <v/>
      </c>
    </row>
    <row r="81" customFormat="false" ht="15" hidden="false" customHeight="false" outlineLevel="0" collapsed="false">
      <c r="A81" s="17" t="str">
        <f aca="false">IF('PO Tracker'!$A81="","",'PO Tracker'!$A81)</f>
        <v/>
      </c>
      <c r="B81" s="29" t="str">
        <f aca="false">IF('PO Tracker'!$B81="","",'PO Tracker'!$B81)</f>
        <v/>
      </c>
      <c r="C81" s="19" t="str">
        <f aca="false">IF($B81="","",SUMIFS(_MainTable!$K$2:$K$2001,_MainTable!$F$2:$F$2001,$B81,_MainTable!$G$2:$G$2001,"&gt;="&amp;C$4,_MainTable!$G$2:$G$2001,"&lt;="&amp;EOMONTH(C$4,0)))</f>
        <v/>
      </c>
      <c r="D81" s="19" t="str">
        <f aca="false">IF($B81="","",SUMIFS(_MainTable!$K$2:$K$2001,_MainTable!$F$2:$F$2001,$B81,_MainTable!$G$2:$G$2001,"&gt;="&amp;D$4,_MainTable!$G$2:$G$2001,"&lt;="&amp;EOMONTH(D$4,0)))</f>
        <v/>
      </c>
      <c r="E81" s="19" t="str">
        <f aca="false">IF($B81="","",SUMIFS(_MainTable!$K$2:$K$2001,_MainTable!$F$2:$F$2001,$B81,_MainTable!$G$2:$G$2001,"&gt;="&amp;E$4,_MainTable!$G$2:$G$2001,"&lt;="&amp;EOMONTH(E$4,0)))</f>
        <v/>
      </c>
      <c r="F81" s="19" t="str">
        <f aca="false">IF($B81="","",SUMIFS(_MainTable!$K$2:$K$2001,_MainTable!$F$2:$F$2001,$B81,_MainTable!$G$2:$G$2001,"&gt;="&amp;F$4,_MainTable!$G$2:$G$2001,"&lt;="&amp;EOMONTH(F$4,0)))</f>
        <v/>
      </c>
      <c r="G81" s="19" t="str">
        <f aca="false">IF($B81="","",SUMIFS(_MainTable!$K$2:$K$2001,_MainTable!$F$2:$F$2001,$B81,_MainTable!$G$2:$G$2001,"&gt;="&amp;G$4,_MainTable!$G$2:$G$2001,"&lt;="&amp;EOMONTH(G$4,0)))</f>
        <v/>
      </c>
      <c r="H81" s="19" t="str">
        <f aca="false">IF($B81="","",SUMIFS(_MainTable!$K$2:$K$2001,_MainTable!$F$2:$F$2001,$B81,_MainTable!$G$2:$G$2001,"&gt;="&amp;H$4,_MainTable!$G$2:$G$2001,"&lt;="&amp;EOMONTH(H$4,0)))</f>
        <v/>
      </c>
      <c r="I81" s="19" t="str">
        <f aca="false">IF($B81="","",SUMIFS(_MainTable!$K$2:$K$2001,_MainTable!$F$2:$F$2001,$B81,_MainTable!$G$2:$G$2001,"&gt;="&amp;I$4,_MainTable!$G$2:$G$2001,"&lt;="&amp;EOMONTH(I$4,0)))</f>
        <v/>
      </c>
      <c r="J81" s="19" t="str">
        <f aca="false">IF($B81="","",SUMIFS(_MainTable!$K$2:$K$2001,_MainTable!$F$2:$F$2001,$B81,_MainTable!$G$2:$G$2001,"&gt;="&amp;J$4,_MainTable!$G$2:$G$2001,"&lt;="&amp;EOMONTH(J$4,0)))</f>
        <v/>
      </c>
      <c r="K81" s="19" t="str">
        <f aca="false">IF($B81="","",SUMIFS(_MainTable!$K$2:$K$2001,_MainTable!$F$2:$F$2001,$B81,_MainTable!$G$2:$G$2001,"&gt;="&amp;K$4,_MainTable!$G$2:$G$2001,"&lt;="&amp;EOMONTH(K$4,0)))</f>
        <v/>
      </c>
      <c r="L81" s="19" t="str">
        <f aca="false">IF($B81="","",SUMIFS(_MainTable!$K$2:$K$2001,_MainTable!$F$2:$F$2001,$B81,_MainTable!$G$2:$G$2001,"&gt;="&amp;L$4,_MainTable!$G$2:$G$2001,"&lt;="&amp;EOMONTH(L$4,0)))</f>
        <v/>
      </c>
      <c r="M81" s="19" t="str">
        <f aca="false">IF($B81="","",SUMIFS(_MainTable!$K$2:$K$2001,_MainTable!$F$2:$F$2001,$B81,_MainTable!$G$2:$G$2001,"&gt;="&amp;M$4,_MainTable!$G$2:$G$2001,"&lt;="&amp;EOMONTH(M$4,0)))</f>
        <v/>
      </c>
      <c r="N81" s="19" t="str">
        <f aca="false">IF($B81="","",SUMIFS(_MainTable!$K$2:$K$2001,_MainTable!$F$2:$F$2001,$B81,_MainTable!$G$2:$G$2001,"&gt;="&amp;N$4,_MainTable!$G$2:$G$2001,"&lt;="&amp;EOMONTH(N$4,0)))</f>
        <v/>
      </c>
      <c r="O81" s="30" t="str">
        <f aca="false">IF($B81="","",SUM(C81:N81))</f>
        <v/>
      </c>
    </row>
    <row r="82" customFormat="false" ht="15" hidden="false" customHeight="false" outlineLevel="0" collapsed="false">
      <c r="A82" s="17" t="str">
        <f aca="false">IF('PO Tracker'!$A82="","",'PO Tracker'!$A82)</f>
        <v/>
      </c>
      <c r="B82" s="29" t="str">
        <f aca="false">IF('PO Tracker'!$B82="","",'PO Tracker'!$B82)</f>
        <v/>
      </c>
      <c r="C82" s="19" t="str">
        <f aca="false">IF($B82="","",SUMIFS(_MainTable!$K$2:$K$2001,_MainTable!$F$2:$F$2001,$B82,_MainTable!$G$2:$G$2001,"&gt;="&amp;C$4,_MainTable!$G$2:$G$2001,"&lt;="&amp;EOMONTH(C$4,0)))</f>
        <v/>
      </c>
      <c r="D82" s="19" t="str">
        <f aca="false">IF($B82="","",SUMIFS(_MainTable!$K$2:$K$2001,_MainTable!$F$2:$F$2001,$B82,_MainTable!$G$2:$G$2001,"&gt;="&amp;D$4,_MainTable!$G$2:$G$2001,"&lt;="&amp;EOMONTH(D$4,0)))</f>
        <v/>
      </c>
      <c r="E82" s="19" t="str">
        <f aca="false">IF($B82="","",SUMIFS(_MainTable!$K$2:$K$2001,_MainTable!$F$2:$F$2001,$B82,_MainTable!$G$2:$G$2001,"&gt;="&amp;E$4,_MainTable!$G$2:$G$2001,"&lt;="&amp;EOMONTH(E$4,0)))</f>
        <v/>
      </c>
      <c r="F82" s="19" t="str">
        <f aca="false">IF($B82="","",SUMIFS(_MainTable!$K$2:$K$2001,_MainTable!$F$2:$F$2001,$B82,_MainTable!$G$2:$G$2001,"&gt;="&amp;F$4,_MainTable!$G$2:$G$2001,"&lt;="&amp;EOMONTH(F$4,0)))</f>
        <v/>
      </c>
      <c r="G82" s="19" t="str">
        <f aca="false">IF($B82="","",SUMIFS(_MainTable!$K$2:$K$2001,_MainTable!$F$2:$F$2001,$B82,_MainTable!$G$2:$G$2001,"&gt;="&amp;G$4,_MainTable!$G$2:$G$2001,"&lt;="&amp;EOMONTH(G$4,0)))</f>
        <v/>
      </c>
      <c r="H82" s="19" t="str">
        <f aca="false">IF($B82="","",SUMIFS(_MainTable!$K$2:$K$2001,_MainTable!$F$2:$F$2001,$B82,_MainTable!$G$2:$G$2001,"&gt;="&amp;H$4,_MainTable!$G$2:$G$2001,"&lt;="&amp;EOMONTH(H$4,0)))</f>
        <v/>
      </c>
      <c r="I82" s="19" t="str">
        <f aca="false">IF($B82="","",SUMIFS(_MainTable!$K$2:$K$2001,_MainTable!$F$2:$F$2001,$B82,_MainTable!$G$2:$G$2001,"&gt;="&amp;I$4,_MainTable!$G$2:$G$2001,"&lt;="&amp;EOMONTH(I$4,0)))</f>
        <v/>
      </c>
      <c r="J82" s="19" t="str">
        <f aca="false">IF($B82="","",SUMIFS(_MainTable!$K$2:$K$2001,_MainTable!$F$2:$F$2001,$B82,_MainTable!$G$2:$G$2001,"&gt;="&amp;J$4,_MainTable!$G$2:$G$2001,"&lt;="&amp;EOMONTH(J$4,0)))</f>
        <v/>
      </c>
      <c r="K82" s="19" t="str">
        <f aca="false">IF($B82="","",SUMIFS(_MainTable!$K$2:$K$2001,_MainTable!$F$2:$F$2001,$B82,_MainTable!$G$2:$G$2001,"&gt;="&amp;K$4,_MainTable!$G$2:$G$2001,"&lt;="&amp;EOMONTH(K$4,0)))</f>
        <v/>
      </c>
      <c r="L82" s="19" t="str">
        <f aca="false">IF($B82="","",SUMIFS(_MainTable!$K$2:$K$2001,_MainTable!$F$2:$F$2001,$B82,_MainTable!$G$2:$G$2001,"&gt;="&amp;L$4,_MainTable!$G$2:$G$2001,"&lt;="&amp;EOMONTH(L$4,0)))</f>
        <v/>
      </c>
      <c r="M82" s="19" t="str">
        <f aca="false">IF($B82="","",SUMIFS(_MainTable!$K$2:$K$2001,_MainTable!$F$2:$F$2001,$B82,_MainTable!$G$2:$G$2001,"&gt;="&amp;M$4,_MainTable!$G$2:$G$2001,"&lt;="&amp;EOMONTH(M$4,0)))</f>
        <v/>
      </c>
      <c r="N82" s="19" t="str">
        <f aca="false">IF($B82="","",SUMIFS(_MainTable!$K$2:$K$2001,_MainTable!$F$2:$F$2001,$B82,_MainTable!$G$2:$G$2001,"&gt;="&amp;N$4,_MainTable!$G$2:$G$2001,"&lt;="&amp;EOMONTH(N$4,0)))</f>
        <v/>
      </c>
      <c r="O82" s="30" t="str">
        <f aca="false">IF($B82="","",SUM(C82:N82))</f>
        <v/>
      </c>
    </row>
    <row r="83" customFormat="false" ht="15" hidden="false" customHeight="false" outlineLevel="0" collapsed="false">
      <c r="A83" s="17" t="str">
        <f aca="false">IF('PO Tracker'!$A83="","",'PO Tracker'!$A83)</f>
        <v/>
      </c>
      <c r="B83" s="29" t="str">
        <f aca="false">IF('PO Tracker'!$B83="","",'PO Tracker'!$B83)</f>
        <v/>
      </c>
      <c r="C83" s="19" t="str">
        <f aca="false">IF($B83="","",SUMIFS(_MainTable!$K$2:$K$2001,_MainTable!$F$2:$F$2001,$B83,_MainTable!$G$2:$G$2001,"&gt;="&amp;C$4,_MainTable!$G$2:$G$2001,"&lt;="&amp;EOMONTH(C$4,0)))</f>
        <v/>
      </c>
      <c r="D83" s="19" t="str">
        <f aca="false">IF($B83="","",SUMIFS(_MainTable!$K$2:$K$2001,_MainTable!$F$2:$F$2001,$B83,_MainTable!$G$2:$G$2001,"&gt;="&amp;D$4,_MainTable!$G$2:$G$2001,"&lt;="&amp;EOMONTH(D$4,0)))</f>
        <v/>
      </c>
      <c r="E83" s="19" t="str">
        <f aca="false">IF($B83="","",SUMIFS(_MainTable!$K$2:$K$2001,_MainTable!$F$2:$F$2001,$B83,_MainTable!$G$2:$G$2001,"&gt;="&amp;E$4,_MainTable!$G$2:$G$2001,"&lt;="&amp;EOMONTH(E$4,0)))</f>
        <v/>
      </c>
      <c r="F83" s="19" t="str">
        <f aca="false">IF($B83="","",SUMIFS(_MainTable!$K$2:$K$2001,_MainTable!$F$2:$F$2001,$B83,_MainTable!$G$2:$G$2001,"&gt;="&amp;F$4,_MainTable!$G$2:$G$2001,"&lt;="&amp;EOMONTH(F$4,0)))</f>
        <v/>
      </c>
      <c r="G83" s="19" t="str">
        <f aca="false">IF($B83="","",SUMIFS(_MainTable!$K$2:$K$2001,_MainTable!$F$2:$F$2001,$B83,_MainTable!$G$2:$G$2001,"&gt;="&amp;G$4,_MainTable!$G$2:$G$2001,"&lt;="&amp;EOMONTH(G$4,0)))</f>
        <v/>
      </c>
      <c r="H83" s="19" t="str">
        <f aca="false">IF($B83="","",SUMIFS(_MainTable!$K$2:$K$2001,_MainTable!$F$2:$F$2001,$B83,_MainTable!$G$2:$G$2001,"&gt;="&amp;H$4,_MainTable!$G$2:$G$2001,"&lt;="&amp;EOMONTH(H$4,0)))</f>
        <v/>
      </c>
      <c r="I83" s="19" t="str">
        <f aca="false">IF($B83="","",SUMIFS(_MainTable!$K$2:$K$2001,_MainTable!$F$2:$F$2001,$B83,_MainTable!$G$2:$G$2001,"&gt;="&amp;I$4,_MainTable!$G$2:$G$2001,"&lt;="&amp;EOMONTH(I$4,0)))</f>
        <v/>
      </c>
      <c r="J83" s="19" t="str">
        <f aca="false">IF($B83="","",SUMIFS(_MainTable!$K$2:$K$2001,_MainTable!$F$2:$F$2001,$B83,_MainTable!$G$2:$G$2001,"&gt;="&amp;J$4,_MainTable!$G$2:$G$2001,"&lt;="&amp;EOMONTH(J$4,0)))</f>
        <v/>
      </c>
      <c r="K83" s="19" t="str">
        <f aca="false">IF($B83="","",SUMIFS(_MainTable!$K$2:$K$2001,_MainTable!$F$2:$F$2001,$B83,_MainTable!$G$2:$G$2001,"&gt;="&amp;K$4,_MainTable!$G$2:$G$2001,"&lt;="&amp;EOMONTH(K$4,0)))</f>
        <v/>
      </c>
      <c r="L83" s="19" t="str">
        <f aca="false">IF($B83="","",SUMIFS(_MainTable!$K$2:$K$2001,_MainTable!$F$2:$F$2001,$B83,_MainTable!$G$2:$G$2001,"&gt;="&amp;L$4,_MainTable!$G$2:$G$2001,"&lt;="&amp;EOMONTH(L$4,0)))</f>
        <v/>
      </c>
      <c r="M83" s="19" t="str">
        <f aca="false">IF($B83="","",SUMIFS(_MainTable!$K$2:$K$2001,_MainTable!$F$2:$F$2001,$B83,_MainTable!$G$2:$G$2001,"&gt;="&amp;M$4,_MainTable!$G$2:$G$2001,"&lt;="&amp;EOMONTH(M$4,0)))</f>
        <v/>
      </c>
      <c r="N83" s="19" t="str">
        <f aca="false">IF($B83="","",SUMIFS(_MainTable!$K$2:$K$2001,_MainTable!$F$2:$F$2001,$B83,_MainTable!$G$2:$G$2001,"&gt;="&amp;N$4,_MainTable!$G$2:$G$2001,"&lt;="&amp;EOMONTH(N$4,0)))</f>
        <v/>
      </c>
      <c r="O83" s="30" t="str">
        <f aca="false">IF($B83="","",SUM(C83:N83))</f>
        <v/>
      </c>
    </row>
    <row r="84" customFormat="false" ht="15" hidden="false" customHeight="false" outlineLevel="0" collapsed="false">
      <c r="A84" s="17" t="str">
        <f aca="false">IF('PO Tracker'!$A84="","",'PO Tracker'!$A84)</f>
        <v/>
      </c>
      <c r="B84" s="29" t="str">
        <f aca="false">IF('PO Tracker'!$B84="","",'PO Tracker'!$B84)</f>
        <v/>
      </c>
      <c r="C84" s="19" t="str">
        <f aca="false">IF($B84="","",SUMIFS(_MainTable!$K$2:$K$2001,_MainTable!$F$2:$F$2001,$B84,_MainTable!$G$2:$G$2001,"&gt;="&amp;C$4,_MainTable!$G$2:$G$2001,"&lt;="&amp;EOMONTH(C$4,0)))</f>
        <v/>
      </c>
      <c r="D84" s="19" t="str">
        <f aca="false">IF($B84="","",SUMIFS(_MainTable!$K$2:$K$2001,_MainTable!$F$2:$F$2001,$B84,_MainTable!$G$2:$G$2001,"&gt;="&amp;D$4,_MainTable!$G$2:$G$2001,"&lt;="&amp;EOMONTH(D$4,0)))</f>
        <v/>
      </c>
      <c r="E84" s="19" t="str">
        <f aca="false">IF($B84="","",SUMIFS(_MainTable!$K$2:$K$2001,_MainTable!$F$2:$F$2001,$B84,_MainTable!$G$2:$G$2001,"&gt;="&amp;E$4,_MainTable!$G$2:$G$2001,"&lt;="&amp;EOMONTH(E$4,0)))</f>
        <v/>
      </c>
      <c r="F84" s="19" t="str">
        <f aca="false">IF($B84="","",SUMIFS(_MainTable!$K$2:$K$2001,_MainTable!$F$2:$F$2001,$B84,_MainTable!$G$2:$G$2001,"&gt;="&amp;F$4,_MainTable!$G$2:$G$2001,"&lt;="&amp;EOMONTH(F$4,0)))</f>
        <v/>
      </c>
      <c r="G84" s="19" t="str">
        <f aca="false">IF($B84="","",SUMIFS(_MainTable!$K$2:$K$2001,_MainTable!$F$2:$F$2001,$B84,_MainTable!$G$2:$G$2001,"&gt;="&amp;G$4,_MainTable!$G$2:$G$2001,"&lt;="&amp;EOMONTH(G$4,0)))</f>
        <v/>
      </c>
      <c r="H84" s="19" t="str">
        <f aca="false">IF($B84="","",SUMIFS(_MainTable!$K$2:$K$2001,_MainTable!$F$2:$F$2001,$B84,_MainTable!$G$2:$G$2001,"&gt;="&amp;H$4,_MainTable!$G$2:$G$2001,"&lt;="&amp;EOMONTH(H$4,0)))</f>
        <v/>
      </c>
      <c r="I84" s="19" t="str">
        <f aca="false">IF($B84="","",SUMIFS(_MainTable!$K$2:$K$2001,_MainTable!$F$2:$F$2001,$B84,_MainTable!$G$2:$G$2001,"&gt;="&amp;I$4,_MainTable!$G$2:$G$2001,"&lt;="&amp;EOMONTH(I$4,0)))</f>
        <v/>
      </c>
      <c r="J84" s="19" t="str">
        <f aca="false">IF($B84="","",SUMIFS(_MainTable!$K$2:$K$2001,_MainTable!$F$2:$F$2001,$B84,_MainTable!$G$2:$G$2001,"&gt;="&amp;J$4,_MainTable!$G$2:$G$2001,"&lt;="&amp;EOMONTH(J$4,0)))</f>
        <v/>
      </c>
      <c r="K84" s="19" t="str">
        <f aca="false">IF($B84="","",SUMIFS(_MainTable!$K$2:$K$2001,_MainTable!$F$2:$F$2001,$B84,_MainTable!$G$2:$G$2001,"&gt;="&amp;K$4,_MainTable!$G$2:$G$2001,"&lt;="&amp;EOMONTH(K$4,0)))</f>
        <v/>
      </c>
      <c r="L84" s="19" t="str">
        <f aca="false">IF($B84="","",SUMIFS(_MainTable!$K$2:$K$2001,_MainTable!$F$2:$F$2001,$B84,_MainTable!$G$2:$G$2001,"&gt;="&amp;L$4,_MainTable!$G$2:$G$2001,"&lt;="&amp;EOMONTH(L$4,0)))</f>
        <v/>
      </c>
      <c r="M84" s="19" t="str">
        <f aca="false">IF($B84="","",SUMIFS(_MainTable!$K$2:$K$2001,_MainTable!$F$2:$F$2001,$B84,_MainTable!$G$2:$G$2001,"&gt;="&amp;M$4,_MainTable!$G$2:$G$2001,"&lt;="&amp;EOMONTH(M$4,0)))</f>
        <v/>
      </c>
      <c r="N84" s="19" t="str">
        <f aca="false">IF($B84="","",SUMIFS(_MainTable!$K$2:$K$2001,_MainTable!$F$2:$F$2001,$B84,_MainTable!$G$2:$G$2001,"&gt;="&amp;N$4,_MainTable!$G$2:$G$2001,"&lt;="&amp;EOMONTH(N$4,0)))</f>
        <v/>
      </c>
      <c r="O84" s="30" t="str">
        <f aca="false">IF($B84="","",SUM(C84:N84))</f>
        <v/>
      </c>
    </row>
    <row r="85" customFormat="false" ht="15" hidden="false" customHeight="false" outlineLevel="0" collapsed="false">
      <c r="A85" s="23" t="s">
        <v>77</v>
      </c>
      <c r="B85" s="23"/>
      <c r="C85" s="24" t="n">
        <f aca="false">SUM(C5:C84)</f>
        <v>0</v>
      </c>
      <c r="D85" s="24" t="n">
        <f aca="false">SUM(D5:D84)</f>
        <v>0</v>
      </c>
      <c r="E85" s="24" t="n">
        <f aca="false">SUM(E5:E84)</f>
        <v>0</v>
      </c>
      <c r="F85" s="24" t="n">
        <f aca="false">SUM(F5:F84)</f>
        <v>76027.46</v>
      </c>
      <c r="G85" s="24" t="n">
        <f aca="false">SUM(G5:G84)</f>
        <v>794551.31</v>
      </c>
      <c r="H85" s="24" t="n">
        <f aca="false">SUM(H5:H84)</f>
        <v>1464230.81</v>
      </c>
      <c r="I85" s="24" t="n">
        <f aca="false">SUM(I5:I84)</f>
        <v>2586382.07</v>
      </c>
      <c r="J85" s="24" t="n">
        <f aca="false">SUM(J5:J84)</f>
        <v>2947354.72</v>
      </c>
      <c r="K85" s="24" t="n">
        <f aca="false">SUM(K5:K84)</f>
        <v>2854513.26</v>
      </c>
      <c r="L85" s="24" t="n">
        <f aca="false">SUM(L5:L84)</f>
        <v>1835579.31</v>
      </c>
      <c r="M85" s="24" t="n">
        <f aca="false">SUM(M5:M84)</f>
        <v>1064563.08</v>
      </c>
      <c r="N85" s="24" t="n">
        <f aca="false">SUM(N5:N84)</f>
        <v>0</v>
      </c>
      <c r="O85" s="24" t="n">
        <f aca="false">SUM(O5:O84)</f>
        <v>13623202.02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5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78"/>
    <col collapsed="false" customWidth="true" hidden="true" outlineLevel="0" max="11" min="11" style="0" width="13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83</v>
      </c>
      <c r="C4" s="12" t="n">
        <f aca="false">COUNTIF($A$20:$A$519,"&gt;0")</f>
        <v>37</v>
      </c>
    </row>
    <row r="5" customFormat="false" ht="15" hidden="false" customHeight="false" outlineLevel="0" collapsed="false">
      <c r="A5" s="3" t="s">
        <v>84</v>
      </c>
      <c r="C5" s="12" t="n">
        <f aca="false">COUNTIF($J$20:$J$519,"&lt;&gt;OK")-COUNTBLANK($J$20:$J$519)</f>
        <v>15</v>
      </c>
    </row>
    <row r="6" customFormat="false" ht="15" hidden="false" customHeight="false" outlineLevel="0" collapsed="false">
      <c r="A6" s="3" t="s">
        <v>85</v>
      </c>
      <c r="C6" s="12" t="n">
        <f aca="false">COUNTIF($J$20:$J$519,"*not numeric*")</f>
        <v>1</v>
      </c>
    </row>
    <row r="7" customFormat="false" ht="15" hidden="false" customHeight="false" outlineLevel="0" collapsed="false">
      <c r="A7" s="3" t="s">
        <v>86</v>
      </c>
      <c r="C7" s="12" t="n">
        <f aca="false">COUNTIF($J$20:$J$519,"*excluded*")</f>
        <v>2</v>
      </c>
    </row>
    <row r="8" customFormat="false" ht="15" hidden="false" customHeight="false" outlineLevel="0" collapsed="false">
      <c r="A8" s="3" t="s">
        <v>87</v>
      </c>
      <c r="C8" s="12" t="n">
        <f aca="false">COUNTIF($J$20:$J$519,"*held as text*")</f>
        <v>3</v>
      </c>
    </row>
    <row r="9" customFormat="false" ht="15" hidden="false" customHeight="false" outlineLevel="0" collapsed="false">
      <c r="A9" s="3" t="s">
        <v>88</v>
      </c>
      <c r="C9" s="12" t="n">
        <f aca="false">COUNTIF($J$20:$J$519,"*&lt;&gt;*")</f>
        <v>4</v>
      </c>
    </row>
    <row r="10" customFormat="false" ht="15" hidden="false" customHeight="false" outlineLevel="0" collapsed="false">
      <c r="A10" s="3" t="s">
        <v>89</v>
      </c>
      <c r="C10" s="12" t="n">
        <f aca="false">COUNTIF($J$20:$J$519,"*Duplicate of*")</f>
        <v>0</v>
      </c>
    </row>
    <row r="11" customFormat="false" ht="15" hidden="false" customHeight="false" outlineLevel="0" collapsed="false">
      <c r="A11" s="3" t="s">
        <v>90</v>
      </c>
      <c r="C11" s="12" t="n">
        <f aca="false">COUNTIF($J$20:$J$519,"*restatement*")</f>
        <v>6</v>
      </c>
    </row>
    <row r="13" customFormat="false" ht="15" hidden="false" customHeight="false" outlineLevel="0" collapsed="false">
      <c r="A13" s="10" t="s">
        <v>91</v>
      </c>
    </row>
    <row r="14" customFormat="false" ht="15" hidden="false" customHeight="false" outlineLevel="0" collapsed="false">
      <c r="A14" s="3" t="s">
        <v>92</v>
      </c>
      <c r="C14" s="12" t="n">
        <f aca="false">COUNTIFS(_MainTable!$G$2:$G$2001,"&gt;="&amp;Controls!$C$5,_MainTable!$G$2:$G$2001,"&lt;="&amp;Controls!$C$6)-COUNTIFS(_MainTable!$F$2:$F$2001,"&gt;0",_MainTable!$G$2:$G$2001,"&gt;="&amp;Controls!$C$5,_MainTable!$G$2:$G$2001,"&lt;="&amp;Controls!$C$6)</f>
        <v>9</v>
      </c>
    </row>
    <row r="15" customFormat="false" ht="15" hidden="false" customHeight="false" outlineLevel="0" collapsed="false">
      <c r="A15" s="3" t="s">
        <v>93</v>
      </c>
      <c r="C15" s="13" t="n">
        <f aca="false">SUMIFS(_MainTable!$K$2:$K$2001,_MainTable!$G$2:$G$2001,"&gt;="&amp;Controls!$C$5,_MainTable!$G$2:$G$2001,"&lt;="&amp;Controls!$C$6)-SUMIFS(_MainTable!$K$2:$K$2001,_MainTable!$F$2:$F$2001,"&gt;0",_MainTable!$G$2:$G$2001,"&gt;="&amp;Controls!$C$5,_MainTable!$G$2:$G$2001,"&lt;="&amp;Controls!$C$6)</f>
        <v>126923.220000001</v>
      </c>
    </row>
    <row r="16" customFormat="false" ht="15" hidden="false" customHeight="false" outlineLevel="0" collapsed="false">
      <c r="A16" s="3" t="s">
        <v>94</v>
      </c>
      <c r="C16" s="13" t="n">
        <f aca="false">SUMIFS('PO Tracker'!$I$5:$I$84,'PO Tracker'!$H$5:$H$84,0)</f>
        <v>5827922.5</v>
      </c>
    </row>
    <row r="19" customFormat="false" ht="30" hidden="false" customHeight="true" outlineLevel="0" collapsed="false">
      <c r="A19" s="16" t="s">
        <v>95</v>
      </c>
      <c r="B19" s="16" t="s">
        <v>55</v>
      </c>
      <c r="C19" s="16" t="s">
        <v>56</v>
      </c>
      <c r="D19" s="16" t="s">
        <v>96</v>
      </c>
      <c r="E19" s="16" t="s">
        <v>97</v>
      </c>
      <c r="F19" s="16" t="s">
        <v>98</v>
      </c>
      <c r="G19" s="16" t="s">
        <v>99</v>
      </c>
      <c r="H19" s="16" t="s">
        <v>100</v>
      </c>
      <c r="I19" s="16" t="s">
        <v>101</v>
      </c>
      <c r="J19" s="16" t="s">
        <v>102</v>
      </c>
    </row>
    <row r="20" customFormat="false" ht="15" hidden="false" customHeight="false" outlineLevel="0" collapsed="false">
      <c r="A20" s="18" t="n">
        <f aca="false">IF(AND('SC Change Orders'!$A2="",'SC Change Orders'!$B2="",'SC Change Orders'!$C2=""),"",2)</f>
        <v>2</v>
      </c>
      <c r="B20" s="31" t="str">
        <f aca="false">IF($A20="","",'SC Change Orders'!$A2)</f>
        <v>ASPIRION HEALTH RESOURCES</v>
      </c>
      <c r="C20" s="18" t="n">
        <f aca="false">IF($A20="","",'SC Change Orders'!$B2)</f>
        <v>10200</v>
      </c>
      <c r="D20" s="32" t="n">
        <f aca="false">IF($A20="","",'SC Change Orders'!$C2)</f>
        <v>46087</v>
      </c>
      <c r="E20" s="31" t="n">
        <f aca="false">IF($A20="","",'SC Change Orders'!$D2)</f>
        <v>2</v>
      </c>
      <c r="F20" s="33" t="n">
        <f aca="false">IF($A20="","",'SC Change Orders'!$E2)</f>
        <v>0</v>
      </c>
      <c r="G20" s="33" t="n">
        <f aca="false">IF($A20="","",'SC Change Orders'!$F2)</f>
        <v>617193.76</v>
      </c>
      <c r="H20" s="33" t="n">
        <f aca="false">IF($A20="","",'SC Change Orders'!$G2)</f>
        <v>617193.76</v>
      </c>
      <c r="I20" s="34" t="str">
        <f aca="false">IF($A20="","",IF(AND(ISNUMBER('SC Change Orders'!$C2),'SC Change Orders'!$C2&gt;=Controls!$C$5,'SC Change Orders'!$C2&lt;=Controls!$C$6),"Yes","No"))</f>
        <v>Yes</v>
      </c>
      <c r="J20" s="31" t="str">
        <f aca="false">IF($A20="","",IF($K20="","OK",$K20))</f>
        <v>OK</v>
      </c>
      <c r="K20" s="0" t="str">
        <f aca="false">IF($A20="","",IF(NOT(ISNUMBER('SC Change Orders'!$B2)),"PO not numeric — row is invisible to the tracker; ","")&amp;IF(NOT(ISNUMBER('SC Change Orders'!$C2)),"Date missing or text — row excluded; ",  IF(OR('SC Change Orders'!$C2&lt;Controls!$C$5,'SC Change Orders'!$C2&gt;Controls!$C$6),"Dated outside the FY window — excluded; ",""))&amp;IF(AND('SC Change Orders'!$E2&lt;&gt;"",NOT(ISNUMBER('SC Change Orders'!$E2))),"Original Amount held as text — ignored by MINIFS; ","")&amp;IF(AND('SC Change Orders'!$F2&lt;&gt;"",NOT(ISNUMBER('SC Change Orders'!$F2))),"Amount Added held as text — ignored by SUMIFS; ","")&amp;IF(ISNUMBER('SC Change Orders'!$E2),IF(ISNUMBER('SC Change Orders'!$F2),IF(ISNUMBER('SC Change Orders'!$G2),  IF('SC Change Orders'!$G2&gt;0,IF(ROUND('SC Change Orders'!$E2+'SC Change Orders'!$F2,2)&lt;&gt;ROUND('SC Change Orders'!$G2,2),  "Original + Added &lt;&gt; Total Line Cost Allotted; ",""),""),""),""),"")&amp;IF(AND(ISNUMBER('SC Change Orders'!$B2),COUNTIFS('SC Change Orders'!$B$2:$B$501,'SC Change Orders'!$B2,'SC Change Orders'!$C$2:$C$501,'SC Change Orders'!$C2,'SC Change Orders'!$D$2:$D$501,'SC Change Orders'!$D2,'SC Change Orders'!$F$2:$F$501,'SC Change Orders'!$F2,'SC Change Orders'!$E$2:$E$501,'SC Change Orders'!$E2)&gt;1),"Duplicate of another row — funds counted twice; ","")&amp;IF(ISNUMBER('SC Change Orders'!$F2),IF('SC Change Orders'!$F2&lt;&gt;0,IF(AND(ISNUMBER('SC Change Orders'!$B2),NOT(COUNTIFS('SC Change Orders'!$B$2:$B$501,'SC Change Orders'!$B2,'SC Change Orders'!$C$2:$C$501,'SC Change Orders'!$C2,'SC Change Orders'!$D$2:$D$501,'SC Change Orders'!$D2,'SC Change Orders'!$F$2:$F$501,'SC Change Orders'!$F2,'SC Change Orders'!$E$2:$E$501,'SC Change Orders'!$E2)&gt;1),COUNTIFS('SC Change Orders'!$B$2:$B$501,'SC Change Orders'!$B2,'SC Change Orders'!$F$2:$F$501,'SC Change Orders'!$F2)&gt;1),  "Same PO and Amount Added as another row — check for a restatement counted twice; ",""),""),""))</f>
        <v/>
      </c>
    </row>
    <row r="21" customFormat="false" ht="15" hidden="false" customHeight="false" outlineLevel="0" collapsed="false">
      <c r="A21" s="18" t="n">
        <f aca="false">IF(AND('SC Change Orders'!$A3="",'SC Change Orders'!$B3="",'SC Change Orders'!$C3=""),"",3)</f>
        <v>3</v>
      </c>
      <c r="B21" s="31" t="str">
        <f aca="false">IF($A21="","",'SC Change Orders'!$A3)</f>
        <v>ASPIRION HEALTH RESOURCES</v>
      </c>
      <c r="C21" s="18" t="n">
        <f aca="false">IF($A21="","",'SC Change Orders'!$B3)</f>
        <v>10200</v>
      </c>
      <c r="D21" s="32" t="n">
        <f aca="false">IF($A21="","",'SC Change Orders'!$C3)</f>
        <v>46101</v>
      </c>
      <c r="E21" s="31" t="str">
        <f aca="false">IF($A21="","",'SC Change Orders'!$D3)</f>
        <v>line 1 MVA/TPL</v>
      </c>
      <c r="F21" s="33" t="n">
        <f aca="false">IF($A21="","",'SC Change Orders'!$E3)</f>
        <v>92500</v>
      </c>
      <c r="G21" s="33" t="n">
        <f aca="false">IF($A21="","",'SC Change Orders'!$F3)</f>
        <v>100000</v>
      </c>
      <c r="H21" s="33" t="n">
        <f aca="false">IF($A21="","",'SC Change Orders'!$G3)</f>
        <v>0</v>
      </c>
      <c r="I21" s="34" t="str">
        <f aca="false">IF($A21="","",IF(AND(ISNUMBER('SC Change Orders'!$C3),'SC Change Orders'!$C3&gt;=Controls!$C$5,'SC Change Orders'!$C3&lt;=Controls!$C$6),"Yes","No"))</f>
        <v>Yes</v>
      </c>
      <c r="J21" s="31" t="str">
        <f aca="false">IF($A21="","",IF($K21="","OK",$K21))</f>
        <v>OK</v>
      </c>
      <c r="K21" s="0" t="str">
        <f aca="false">IF($A21="","",IF(NOT(ISNUMBER('SC Change Orders'!$B3)),"PO not numeric — row is invisible to the tracker; ","")&amp;IF(NOT(ISNUMBER('SC Change Orders'!$C3)),"Date missing or text — row excluded; ",  IF(OR('SC Change Orders'!$C3&lt;Controls!$C$5,'SC Change Orders'!$C3&gt;Controls!$C$6),"Dated outside the FY window — excluded; ",""))&amp;IF(AND('SC Change Orders'!$E3&lt;&gt;"",NOT(ISNUMBER('SC Change Orders'!$E3))),"Original Amount held as text — ignored by MINIFS; ","")&amp;IF(AND('SC Change Orders'!$F3&lt;&gt;"",NOT(ISNUMBER('SC Change Orders'!$F3))),"Amount Added held as text — ignored by SUMIFS; ","")&amp;IF(ISNUMBER('SC Change Orders'!$E3),IF(ISNUMBER('SC Change Orders'!$F3),IF(ISNUMBER('SC Change Orders'!$G3),  IF('SC Change Orders'!$G3&gt;0,IF(ROUND('SC Change Orders'!$E3+'SC Change Orders'!$F3,2)&lt;&gt;ROUND('SC Change Orders'!$G3,2),  "Original + Added &lt;&gt; Total Line Cost Allotted; ",""),""),""),""),"")&amp;IF(AND(ISNUMBER('SC Change Orders'!$B3),COUNTIFS('SC Change Orders'!$B$2:$B$501,'SC Change Orders'!$B3,'SC Change Orders'!$C$2:$C$501,'SC Change Orders'!$C3,'SC Change Orders'!$D$2:$D$501,'SC Change Orders'!$D3,'SC Change Orders'!$F$2:$F$501,'SC Change Orders'!$F3,'SC Change Orders'!$E$2:$E$501,'SC Change Orders'!$E3)&gt;1),"Duplicate of another row — funds counted twice; ","")&amp;IF(ISNUMBER('SC Change Orders'!$F3),IF('SC Change Orders'!$F3&lt;&gt;0,IF(AND(ISNUMBER('SC Change Orders'!$B3),NOT(COUNTIFS('SC Change Orders'!$B$2:$B$501,'SC Change Orders'!$B3,'SC Change Orders'!$C$2:$C$501,'SC Change Orders'!$C3,'SC Change Orders'!$D$2:$D$501,'SC Change Orders'!$D3,'SC Change Orders'!$F$2:$F$501,'SC Change Orders'!$F3,'SC Change Orders'!$E$2:$E$501,'SC Change Orders'!$E3)&gt;1),COUNTIFS('SC Change Orders'!$B$2:$B$501,'SC Change Orders'!$B3,'SC Change Orders'!$F$2:$F$501,'SC Change Orders'!$F3)&gt;1),  "Same PO and Amount Added as another row — check for a restatement counted twice; ",""),""),""))</f>
        <v/>
      </c>
    </row>
    <row r="22" customFormat="false" ht="15" hidden="false" customHeight="false" outlineLevel="0" collapsed="false">
      <c r="A22" s="18" t="n">
        <f aca="false">IF(AND('SC Change Orders'!$A4="",'SC Change Orders'!$B4="",'SC Change Orders'!$C4=""),"",4)</f>
        <v>4</v>
      </c>
      <c r="B22" s="31" t="str">
        <f aca="false">IF($A22="","",'SC Change Orders'!$A4)</f>
        <v>ASPIRION HEALTH RESOURCES</v>
      </c>
      <c r="C22" s="18" t="n">
        <f aca="false">IF($A22="","",'SC Change Orders'!$B4)</f>
        <v>10200</v>
      </c>
      <c r="D22" s="32" t="n">
        <f aca="false">IF($A22="","",'SC Change Orders'!$C4)</f>
        <v>46120</v>
      </c>
      <c r="E22" s="31" t="str">
        <f aca="false">IF($A22="","",'SC Change Orders'!$D4)</f>
        <v>line 2 VA and Tricare</v>
      </c>
      <c r="F22" s="33" t="n">
        <f aca="false">IF($A22="","",'SC Change Orders'!$E4)</f>
        <v>0</v>
      </c>
      <c r="G22" s="33" t="n">
        <f aca="false">IF($A22="","",'SC Change Orders'!$F4)</f>
        <v>662551.31</v>
      </c>
      <c r="H22" s="33" t="n">
        <f aca="false">IF($A22="","",'SC Change Orders'!$G4)</f>
        <v>0</v>
      </c>
      <c r="I22" s="34" t="str">
        <f aca="false">IF($A22="","",IF(AND(ISNUMBER('SC Change Orders'!$C4),'SC Change Orders'!$C4&gt;=Controls!$C$5,'SC Change Orders'!$C4&lt;=Controls!$C$6),"Yes","No"))</f>
        <v>Yes</v>
      </c>
      <c r="J22" s="31" t="str">
        <f aca="false">IF($A22="","",IF($K22="","OK",$K22))</f>
        <v>Same PO and Amount Added as another row — check for a restatement counted twice; </v>
      </c>
      <c r="K22" s="0" t="str">
        <f aca="false">IF($A22="","",IF(NOT(ISNUMBER('SC Change Orders'!$B4)),"PO not numeric — row is invisible to the tracker; ","")&amp;IF(NOT(ISNUMBER('SC Change Orders'!$C4)),"Date missing or text — row excluded; ",  IF(OR('SC Change Orders'!$C4&lt;Controls!$C$5,'SC Change Orders'!$C4&gt;Controls!$C$6),"Dated outside the FY window — excluded; ",""))&amp;IF(AND('SC Change Orders'!$E4&lt;&gt;"",NOT(ISNUMBER('SC Change Orders'!$E4))),"Original Amount held as text — ignored by MINIFS; ","")&amp;IF(AND('SC Change Orders'!$F4&lt;&gt;"",NOT(ISNUMBER('SC Change Orders'!$F4))),"Amount Added held as text — ignored by SUMIFS; ","")&amp;IF(ISNUMBER('SC Change Orders'!$E4),IF(ISNUMBER('SC Change Orders'!$F4),IF(ISNUMBER('SC Change Orders'!$G4),  IF('SC Change Orders'!$G4&gt;0,IF(ROUND('SC Change Orders'!$E4+'SC Change Orders'!$F4,2)&lt;&gt;ROUND('SC Change Orders'!$G4,2),  "Original + Added &lt;&gt; Total Line Cost Allotted; ",""),""),""),""),"")&amp;IF(AND(ISNUMBER('SC Change Orders'!$B4),COUNTIFS('SC Change Orders'!$B$2:$B$501,'SC Change Orders'!$B4,'SC Change Orders'!$C$2:$C$501,'SC Change Orders'!$C4,'SC Change Orders'!$D$2:$D$501,'SC Change Orders'!$D4,'SC Change Orders'!$F$2:$F$501,'SC Change Orders'!$F4,'SC Change Orders'!$E$2:$E$501,'SC Change Orders'!$E4)&gt;1),"Duplicate of another row — funds counted twice; ","")&amp;IF(ISNUMBER('SC Change Orders'!$F4),IF('SC Change Orders'!$F4&lt;&gt;0,IF(AND(ISNUMBER('SC Change Orders'!$B4),NOT(COUNTIFS('SC Change Orders'!$B$2:$B$501,'SC Change Orders'!$B4,'SC Change Orders'!$C$2:$C$501,'SC Change Orders'!$C4,'SC Change Orders'!$D$2:$D$501,'SC Change Orders'!$D4,'SC Change Orders'!$F$2:$F$501,'SC Change Orders'!$F4,'SC Change Orders'!$E$2:$E$501,'SC Change Orders'!$E4)&gt;1),COUNTIFS('SC Change Orders'!$B$2:$B$501,'SC Change Orders'!$B4,'SC Change Orders'!$F$2:$F$501,'SC Change Orders'!$F4)&gt;1),  "Same PO and Amount Added as another row — check for a restatement counted twice; ",""),""),""))</f>
        <v>Same PO and Amount Added as another row — check for a restatement counted twice; </v>
      </c>
    </row>
    <row r="23" customFormat="false" ht="15" hidden="false" customHeight="false" outlineLevel="0" collapsed="false">
      <c r="A23" s="18" t="n">
        <f aca="false">IF(AND('SC Change Orders'!$A5="",'SC Change Orders'!$B5="",'SC Change Orders'!$C5=""),"",5)</f>
        <v>5</v>
      </c>
      <c r="B23" s="31" t="str">
        <f aca="false">IF($A23="","",'SC Change Orders'!$A5)</f>
        <v>ASPIRION HEALTH RESOURCES</v>
      </c>
      <c r="C23" s="18" t="n">
        <f aca="false">IF($A23="","",'SC Change Orders'!$B5)</f>
        <v>10200</v>
      </c>
      <c r="D23" s="32" t="n">
        <f aca="false">IF($A23="","",'SC Change Orders'!$C5)</f>
        <v>46141</v>
      </c>
      <c r="E23" s="31" t="str">
        <f aca="false">IF($A23="","",'SC Change Orders'!$D5)</f>
        <v>line 1 MVA/TPL</v>
      </c>
      <c r="F23" s="33" t="n">
        <f aca="false">IF($A23="","",'SC Change Orders'!$E5)</f>
        <v>192650</v>
      </c>
      <c r="G23" s="33" t="n">
        <f aca="false">IF($A23="","",'SC Change Orders'!$F5)</f>
        <v>108970.93</v>
      </c>
      <c r="H23" s="33" t="n">
        <f aca="false">IF($A23="","",'SC Change Orders'!$G5)</f>
        <v>301620.93</v>
      </c>
      <c r="I23" s="34" t="str">
        <f aca="false">IF($A23="","",IF(AND(ISNUMBER('SC Change Orders'!$C5),'SC Change Orders'!$C5&gt;=Controls!$C$5,'SC Change Orders'!$C5&lt;=Controls!$C$6),"Yes","No"))</f>
        <v>Yes</v>
      </c>
      <c r="J23" s="31" t="str">
        <f aca="false">IF($A23="","",IF($K23="","OK",$K23))</f>
        <v>OK</v>
      </c>
      <c r="K23" s="0" t="str">
        <f aca="false">IF($A23="","",IF(NOT(ISNUMBER('SC Change Orders'!$B5)),"PO not numeric — row is invisible to the tracker; ","")&amp;IF(NOT(ISNUMBER('SC Change Orders'!$C5)),"Date missing or text — row excluded; ",  IF(OR('SC Change Orders'!$C5&lt;Controls!$C$5,'SC Change Orders'!$C5&gt;Controls!$C$6),"Dated outside the FY window — excluded; ",""))&amp;IF(AND('SC Change Orders'!$E5&lt;&gt;"",NOT(ISNUMBER('SC Change Orders'!$E5))),"Original Amount held as text — ignored by MINIFS; ","")&amp;IF(AND('SC Change Orders'!$F5&lt;&gt;"",NOT(ISNUMBER('SC Change Orders'!$F5))),"Amount Added held as text — ignored by SUMIFS; ","")&amp;IF(ISNUMBER('SC Change Orders'!$E5),IF(ISNUMBER('SC Change Orders'!$F5),IF(ISNUMBER('SC Change Orders'!$G5),  IF('SC Change Orders'!$G5&gt;0,IF(ROUND('SC Change Orders'!$E5+'SC Change Orders'!$F5,2)&lt;&gt;ROUND('SC Change Orders'!$G5,2),  "Original + Added &lt;&gt; Total Line Cost Allotted; ",""),""),""),""),"")&amp;IF(AND(ISNUMBER('SC Change Orders'!$B5),COUNTIFS('SC Change Orders'!$B$2:$B$501,'SC Change Orders'!$B5,'SC Change Orders'!$C$2:$C$501,'SC Change Orders'!$C5,'SC Change Orders'!$D$2:$D$501,'SC Change Orders'!$D5,'SC Change Orders'!$F$2:$F$501,'SC Change Orders'!$F5,'SC Change Orders'!$E$2:$E$501,'SC Change Orders'!$E5)&gt;1),"Duplicate of another row — funds counted twice; ","")&amp;IF(ISNUMBER('SC Change Orders'!$F5),IF('SC Change Orders'!$F5&lt;&gt;0,IF(AND(ISNUMBER('SC Change Orders'!$B5),NOT(COUNTIFS('SC Change Orders'!$B$2:$B$501,'SC Change Orders'!$B5,'SC Change Orders'!$C$2:$C$501,'SC Change Orders'!$C5,'SC Change Orders'!$D$2:$D$501,'SC Change Orders'!$D5,'SC Change Orders'!$F$2:$F$501,'SC Change Orders'!$F5,'SC Change Orders'!$E$2:$E$501,'SC Change Orders'!$E5)&gt;1),COUNTIFS('SC Change Orders'!$B$2:$B$501,'SC Change Orders'!$B5,'SC Change Orders'!$F$2:$F$501,'SC Change Orders'!$F5)&gt;1),  "Same PO and Amount Added as another row — check for a restatement counted twice; ",""),""),""))</f>
        <v/>
      </c>
    </row>
    <row r="24" customFormat="false" ht="15" hidden="false" customHeight="false" outlineLevel="0" collapsed="false">
      <c r="A24" s="18" t="n">
        <f aca="false">IF(AND('SC Change Orders'!$A6="",'SC Change Orders'!$B6="",'SC Change Orders'!$C6=""),"",6)</f>
        <v>6</v>
      </c>
      <c r="B24" s="31" t="str">
        <f aca="false">IF($A24="","",'SC Change Orders'!$A6)</f>
        <v>ASPIRION HEALTH RESOURCES</v>
      </c>
      <c r="C24" s="18" t="n">
        <f aca="false">IF($A24="","",'SC Change Orders'!$B6)</f>
        <v>10200</v>
      </c>
      <c r="D24" s="32" t="n">
        <f aca="false">IF($A24="","",'SC Change Orders'!$C6)</f>
        <v>46141</v>
      </c>
      <c r="E24" s="31" t="str">
        <f aca="false">IF($A24="","",'SC Change Orders'!$D6)</f>
        <v>Tricare/VA </v>
      </c>
      <c r="F24" s="33" t="n">
        <f aca="false">IF($A24="","",'SC Change Orders'!$E6)</f>
        <v>0</v>
      </c>
      <c r="G24" s="33" t="n">
        <f aca="false">IF($A24="","",'SC Change Orders'!$F6)</f>
        <v>662551.31</v>
      </c>
      <c r="H24" s="33" t="n">
        <f aca="false">IF($A24="","",'SC Change Orders'!$G6)</f>
        <v>2845560.56</v>
      </c>
      <c r="I24" s="34" t="str">
        <f aca="false">IF($A24="","",IF(AND(ISNUMBER('SC Change Orders'!$C6),'SC Change Orders'!$C6&gt;=Controls!$C$5,'SC Change Orders'!$C6&lt;=Controls!$C$6),"Yes","No"))</f>
        <v>Yes</v>
      </c>
      <c r="J24" s="31" t="str">
        <f aca="false">IF($A24="","",IF($K24="","OK",$K24))</f>
        <v>Same PO and Amount Added as another row — check for a restatement counted twice; </v>
      </c>
      <c r="K24" s="0" t="str">
        <f aca="false">IF($A24="","",IF(NOT(ISNUMBER('SC Change Orders'!$B6)),"PO not numeric — row is invisible to the tracker; ","")&amp;IF(NOT(ISNUMBER('SC Change Orders'!$C6)),"Date missing or text — row excluded; ",  IF(OR('SC Change Orders'!$C6&lt;Controls!$C$5,'SC Change Orders'!$C6&gt;Controls!$C$6),"Dated outside the FY window — excluded; ",""))&amp;IF(AND('SC Change Orders'!$E6&lt;&gt;"",NOT(ISNUMBER('SC Change Orders'!$E6))),"Original Amount held as text — ignored by MINIFS; ","")&amp;IF(AND('SC Change Orders'!$F6&lt;&gt;"",NOT(ISNUMBER('SC Change Orders'!$F6))),"Amount Added held as text — ignored by SUMIFS; ","")&amp;IF(ISNUMBER('SC Change Orders'!$E6),IF(ISNUMBER('SC Change Orders'!$F6),IF(ISNUMBER('SC Change Orders'!$G6),  IF('SC Change Orders'!$G6&gt;0,IF(ROUND('SC Change Orders'!$E6+'SC Change Orders'!$F6,2)&lt;&gt;ROUND('SC Change Orders'!$G6,2),  "Original + Added &lt;&gt; Total Line Cost Allotted; ",""),""),""),""),"")&amp;IF(AND(ISNUMBER('SC Change Orders'!$B6),COUNTIFS('SC Change Orders'!$B$2:$B$501,'SC Change Orders'!$B6,'SC Change Orders'!$C$2:$C$501,'SC Change Orders'!$C6,'SC Change Orders'!$D$2:$D$501,'SC Change Orders'!$D6,'SC Change Orders'!$F$2:$F$501,'SC Change Orders'!$F6,'SC Change Orders'!$E$2:$E$501,'SC Change Orders'!$E6)&gt;1),"Duplicate of another row — funds counted twice; ","")&amp;IF(ISNUMBER('SC Change Orders'!$F6),IF('SC Change Orders'!$F6&lt;&gt;0,IF(AND(ISNUMBER('SC Change Orders'!$B6),NOT(COUNTIFS('SC Change Orders'!$B$2:$B$501,'SC Change Orders'!$B6,'SC Change Orders'!$C$2:$C$501,'SC Change Orders'!$C6,'SC Change Orders'!$D$2:$D$501,'SC Change Orders'!$D6,'SC Change Orders'!$F$2:$F$501,'SC Change Orders'!$F6,'SC Change Orders'!$E$2:$E$501,'SC Change Orders'!$E6)&gt;1),COUNTIFS('SC Change Orders'!$B$2:$B$501,'SC Change Orders'!$B6,'SC Change Orders'!$F$2:$F$501,'SC Change Orders'!$F6)&gt;1),  "Same PO and Amount Added as another row — check for a restatement counted twice; ",""),""),""))</f>
        <v>Same PO and Amount Added as another row — check for a restatement counted twice; </v>
      </c>
    </row>
    <row r="25" customFormat="false" ht="15" hidden="false" customHeight="false" outlineLevel="0" collapsed="false">
      <c r="A25" s="18" t="n">
        <f aca="false">IF(AND('SC Change Orders'!$A7="",'SC Change Orders'!$B7="",'SC Change Orders'!$C7=""),"",7)</f>
        <v>7</v>
      </c>
      <c r="B25" s="31" t="str">
        <f aca="false">IF($A25="","",'SC Change Orders'!$A7)</f>
        <v>ASPIRION HEALTH RESOURCES</v>
      </c>
      <c r="C25" s="18" t="n">
        <f aca="false">IF($A25="","",'SC Change Orders'!$B7)</f>
        <v>10200</v>
      </c>
      <c r="D25" s="32" t="n">
        <f aca="false">IF($A25="","",'SC Change Orders'!$C7)</f>
        <v>46141</v>
      </c>
      <c r="E25" s="31" t="str">
        <f aca="false">IF($A25="","",'SC Change Orders'!$D7)</f>
        <v>Tricare/VA </v>
      </c>
      <c r="F25" s="33" t="n">
        <f aca="false">IF($A25="","",'SC Change Orders'!$E7)</f>
        <v>0</v>
      </c>
      <c r="G25" s="33" t="n">
        <f aca="false">IF($A25="","",'SC Change Orders'!$F7)</f>
        <v>823315.49</v>
      </c>
      <c r="H25" s="33" t="n">
        <f aca="false">IF($A25="","",'SC Change Orders'!$G7)</f>
        <v>2845560.56</v>
      </c>
      <c r="I25" s="34" t="str">
        <f aca="false">IF($A25="","",IF(AND(ISNUMBER('SC Change Orders'!$C7),'SC Change Orders'!$C7&gt;=Controls!$C$5,'SC Change Orders'!$C7&lt;=Controls!$C$6),"Yes","No"))</f>
        <v>Yes</v>
      </c>
      <c r="J25" s="31" t="str">
        <f aca="false">IF($A25="","",IF($K25="","OK",$K25))</f>
        <v>OK</v>
      </c>
      <c r="K25" s="0" t="str">
        <f aca="false">IF($A25="","",IF(NOT(ISNUMBER('SC Change Orders'!$B7)),"PO not numeric — row is invisible to the tracker; ","")&amp;IF(NOT(ISNUMBER('SC Change Orders'!$C7)),"Date missing or text — row excluded; ",  IF(OR('SC Change Orders'!$C7&lt;Controls!$C$5,'SC Change Orders'!$C7&gt;Controls!$C$6),"Dated outside the FY window — excluded; ",""))&amp;IF(AND('SC Change Orders'!$E7&lt;&gt;"",NOT(ISNUMBER('SC Change Orders'!$E7))),"Original Amount held as text — ignored by MINIFS; ","")&amp;IF(AND('SC Change Orders'!$F7&lt;&gt;"",NOT(ISNUMBER('SC Change Orders'!$F7))),"Amount Added held as text — ignored by SUMIFS; ","")&amp;IF(ISNUMBER('SC Change Orders'!$E7),IF(ISNUMBER('SC Change Orders'!$F7),IF(ISNUMBER('SC Change Orders'!$G7),  IF('SC Change Orders'!$G7&gt;0,IF(ROUND('SC Change Orders'!$E7+'SC Change Orders'!$F7,2)&lt;&gt;ROUND('SC Change Orders'!$G7,2),  "Original + Added &lt;&gt; Total Line Cost Allotted; ",""),""),""),""),"")&amp;IF(AND(ISNUMBER('SC Change Orders'!$B7),COUNTIFS('SC Change Orders'!$B$2:$B$501,'SC Change Orders'!$B7,'SC Change Orders'!$C$2:$C$501,'SC Change Orders'!$C7,'SC Change Orders'!$D$2:$D$501,'SC Change Orders'!$D7,'SC Change Orders'!$F$2:$F$501,'SC Change Orders'!$F7,'SC Change Orders'!$E$2:$E$501,'SC Change Orders'!$E7)&gt;1),"Duplicate of another row — funds counted twice; ","")&amp;IF(ISNUMBER('SC Change Orders'!$F7),IF('SC Change Orders'!$F7&lt;&gt;0,IF(AND(ISNUMBER('SC Change Orders'!$B7),NOT(COUNTIFS('SC Change Orders'!$B$2:$B$501,'SC Change Orders'!$B7,'SC Change Orders'!$C$2:$C$501,'SC Change Orders'!$C7,'SC Change Orders'!$D$2:$D$501,'SC Change Orders'!$D7,'SC Change Orders'!$F$2:$F$501,'SC Change Orders'!$F7,'SC Change Orders'!$E$2:$E$501,'SC Change Orders'!$E7)&gt;1),COUNTIFS('SC Change Orders'!$B$2:$B$501,'SC Change Orders'!$B7,'SC Change Orders'!$F$2:$F$501,'SC Change Orders'!$F7)&gt;1),  "Same PO and Amount Added as another row — check for a restatement counted twice; ",""),""),""))</f>
        <v/>
      </c>
    </row>
    <row r="26" customFormat="false" ht="15" hidden="false" customHeight="false" outlineLevel="0" collapsed="false">
      <c r="A26" s="18" t="n">
        <f aca="false">IF(AND('SC Change Orders'!$A8="",'SC Change Orders'!$B8="",'SC Change Orders'!$C8=""),"",8)</f>
        <v>8</v>
      </c>
      <c r="B26" s="31" t="str">
        <f aca="false">IF($A26="","",'SC Change Orders'!$A8)</f>
        <v>ASPIRION HEALTH RESOURCES</v>
      </c>
      <c r="C26" s="18" t="n">
        <f aca="false">IF($A26="","",'SC Change Orders'!$B8)</f>
        <v>10200</v>
      </c>
      <c r="D26" s="32" t="n">
        <f aca="false">IF($A26="","",'SC Change Orders'!$C8)</f>
        <v>46160</v>
      </c>
      <c r="E26" s="31" t="str">
        <f aca="false">IF($A26="","",'SC Change Orders'!$D8)</f>
        <v>Tricare/VA </v>
      </c>
      <c r="F26" s="33" t="n">
        <f aca="false">IF($A26="","",'SC Change Orders'!$E8)</f>
        <v>0</v>
      </c>
      <c r="G26" s="33" t="n">
        <f aca="false">IF($A26="","",'SC Change Orders'!$F8)</f>
        <v>721331.83</v>
      </c>
      <c r="H26" s="33" t="n">
        <f aca="false">IF($A26="","",'SC Change Orders'!$G8)</f>
        <v>3566892.39</v>
      </c>
      <c r="I26" s="34" t="str">
        <f aca="false">IF($A26="","",IF(AND(ISNUMBER('SC Change Orders'!$C8),'SC Change Orders'!$C8&gt;=Controls!$C$5,'SC Change Orders'!$C8&lt;=Controls!$C$6),"Yes","No"))</f>
        <v>Yes</v>
      </c>
      <c r="J26" s="31" t="str">
        <f aca="false">IF($A26="","",IF($K26="","OK",$K26))</f>
        <v>Same PO and Amount Added as another row — check for a restatement counted twice; </v>
      </c>
      <c r="K26" s="0" t="str">
        <f aca="false">IF($A26="","",IF(NOT(ISNUMBER('SC Change Orders'!$B8)),"PO not numeric — row is invisible to the tracker; ","")&amp;IF(NOT(ISNUMBER('SC Change Orders'!$C8)),"Date missing or text — row excluded; ",  IF(OR('SC Change Orders'!$C8&lt;Controls!$C$5,'SC Change Orders'!$C8&gt;Controls!$C$6),"Dated outside the FY window — excluded; ",""))&amp;IF(AND('SC Change Orders'!$E8&lt;&gt;"",NOT(ISNUMBER('SC Change Orders'!$E8))),"Original Amount held as text — ignored by MINIFS; ","")&amp;IF(AND('SC Change Orders'!$F8&lt;&gt;"",NOT(ISNUMBER('SC Change Orders'!$F8))),"Amount Added held as text — ignored by SUMIFS; ","")&amp;IF(ISNUMBER('SC Change Orders'!$E8),IF(ISNUMBER('SC Change Orders'!$F8),IF(ISNUMBER('SC Change Orders'!$G8),  IF('SC Change Orders'!$G8&gt;0,IF(ROUND('SC Change Orders'!$E8+'SC Change Orders'!$F8,2)&lt;&gt;ROUND('SC Change Orders'!$G8,2),  "Original + Added &lt;&gt; Total Line Cost Allotted; ",""),""),""),""),"")&amp;IF(AND(ISNUMBER('SC Change Orders'!$B8),COUNTIFS('SC Change Orders'!$B$2:$B$501,'SC Change Orders'!$B8,'SC Change Orders'!$C$2:$C$501,'SC Change Orders'!$C8,'SC Change Orders'!$D$2:$D$501,'SC Change Orders'!$D8,'SC Change Orders'!$F$2:$F$501,'SC Change Orders'!$F8,'SC Change Orders'!$E$2:$E$501,'SC Change Orders'!$E8)&gt;1),"Duplicate of another row — funds counted twice; ","")&amp;IF(ISNUMBER('SC Change Orders'!$F8),IF('SC Change Orders'!$F8&lt;&gt;0,IF(AND(ISNUMBER('SC Change Orders'!$B8),NOT(COUNTIFS('SC Change Orders'!$B$2:$B$501,'SC Change Orders'!$B8,'SC Change Orders'!$C$2:$C$501,'SC Change Orders'!$C8,'SC Change Orders'!$D$2:$D$501,'SC Change Orders'!$D8,'SC Change Orders'!$F$2:$F$501,'SC Change Orders'!$F8,'SC Change Orders'!$E$2:$E$501,'SC Change Orders'!$E8)&gt;1),COUNTIFS('SC Change Orders'!$B$2:$B$501,'SC Change Orders'!$B8,'SC Change Orders'!$F$2:$F$501,'SC Change Orders'!$F8)&gt;1),  "Same PO and Amount Added as another row — check for a restatement counted twice; ",""),""),""))</f>
        <v>Same PO and Amount Added as another row — check for a restatement counted twice; </v>
      </c>
    </row>
    <row r="27" customFormat="false" ht="15" hidden="false" customHeight="false" outlineLevel="0" collapsed="false">
      <c r="A27" s="18" t="n">
        <f aca="false">IF(AND('SC Change Orders'!$A9="",'SC Change Orders'!$B9="",'SC Change Orders'!$C9=""),"",9)</f>
        <v>9</v>
      </c>
      <c r="B27" s="31" t="str">
        <f aca="false">IF($A27="","",'SC Change Orders'!$A9)</f>
        <v>ASPIRION HEALTH RESOURCES</v>
      </c>
      <c r="C27" s="18" t="n">
        <f aca="false">IF($A27="","",'SC Change Orders'!$B9)</f>
        <v>10200</v>
      </c>
      <c r="D27" s="32" t="n">
        <f aca="false">IF($A27="","",'SC Change Orders'!$C9)</f>
        <v>46182</v>
      </c>
      <c r="E27" s="31" t="str">
        <f aca="false">IF($A27="","",'SC Change Orders'!$D9)</f>
        <v>line 1 MVA/TPL</v>
      </c>
      <c r="F27" s="33" t="n">
        <f aca="false">IF($A27="","",'SC Change Orders'!$E9)</f>
        <v>301620.93</v>
      </c>
      <c r="G27" s="33" t="n">
        <f aca="false">IF($A27="","",'SC Change Orders'!$F9)</f>
        <v>86151.16</v>
      </c>
      <c r="H27" s="33" t="n">
        <f aca="false">IF($A27="","",'SC Change Orders'!$G9)</f>
        <v>387772.09</v>
      </c>
      <c r="I27" s="34" t="str">
        <f aca="false">IF($A27="","",IF(AND(ISNUMBER('SC Change Orders'!$C9),'SC Change Orders'!$C9&gt;=Controls!$C$5,'SC Change Orders'!$C9&lt;=Controls!$C$6),"Yes","No"))</f>
        <v>Yes</v>
      </c>
      <c r="J27" s="31" t="str">
        <f aca="false">IF($A27="","",IF($K27="","OK",$K27))</f>
        <v>OK</v>
      </c>
      <c r="K27" s="0" t="str">
        <f aca="false">IF($A27="","",IF(NOT(ISNUMBER('SC Change Orders'!$B9)),"PO not numeric — row is invisible to the tracker; ","")&amp;IF(NOT(ISNUMBER('SC Change Orders'!$C9)),"Date missing or text — row excluded; ",  IF(OR('SC Change Orders'!$C9&lt;Controls!$C$5,'SC Change Orders'!$C9&gt;Controls!$C$6),"Dated outside the FY window — excluded; ",""))&amp;IF(AND('SC Change Orders'!$E9&lt;&gt;"",NOT(ISNUMBER('SC Change Orders'!$E9))),"Original Amount held as text — ignored by MINIFS; ","")&amp;IF(AND('SC Change Orders'!$F9&lt;&gt;"",NOT(ISNUMBER('SC Change Orders'!$F9))),"Amount Added held as text — ignored by SUMIFS; ","")&amp;IF(ISNUMBER('SC Change Orders'!$E9),IF(ISNUMBER('SC Change Orders'!$F9),IF(ISNUMBER('SC Change Orders'!$G9),  IF('SC Change Orders'!$G9&gt;0,IF(ROUND('SC Change Orders'!$E9+'SC Change Orders'!$F9,2)&lt;&gt;ROUND('SC Change Orders'!$G9,2),  "Original + Added &lt;&gt; Total Line Cost Allotted; ",""),""),""),""),"")&amp;IF(AND(ISNUMBER('SC Change Orders'!$B9),COUNTIFS('SC Change Orders'!$B$2:$B$501,'SC Change Orders'!$B9,'SC Change Orders'!$C$2:$C$501,'SC Change Orders'!$C9,'SC Change Orders'!$D$2:$D$501,'SC Change Orders'!$D9,'SC Change Orders'!$F$2:$F$501,'SC Change Orders'!$F9,'SC Change Orders'!$E$2:$E$501,'SC Change Orders'!$E9)&gt;1),"Duplicate of another row — funds counted twice; ","")&amp;IF(ISNUMBER('SC Change Orders'!$F9),IF('SC Change Orders'!$F9&lt;&gt;0,IF(AND(ISNUMBER('SC Change Orders'!$B9),NOT(COUNTIFS('SC Change Orders'!$B$2:$B$501,'SC Change Orders'!$B9,'SC Change Orders'!$C$2:$C$501,'SC Change Orders'!$C9,'SC Change Orders'!$D$2:$D$501,'SC Change Orders'!$D9,'SC Change Orders'!$F$2:$F$501,'SC Change Orders'!$F9,'SC Change Orders'!$E$2:$E$501,'SC Change Orders'!$E9)&gt;1),COUNTIFS('SC Change Orders'!$B$2:$B$501,'SC Change Orders'!$B9,'SC Change Orders'!$F$2:$F$501,'SC Change Orders'!$F9)&gt;1),  "Same PO and Amount Added as another row — check for a restatement counted twice; ",""),""),""))</f>
        <v/>
      </c>
    </row>
    <row r="28" customFormat="false" ht="15" hidden="false" customHeight="false" outlineLevel="0" collapsed="false">
      <c r="A28" s="18" t="n">
        <f aca="false">IF(AND('SC Change Orders'!$A10="",'SC Change Orders'!$B10="",'SC Change Orders'!$C10=""),"",10)</f>
        <v>10</v>
      </c>
      <c r="B28" s="31" t="str">
        <f aca="false">IF($A28="","",'SC Change Orders'!$A10)</f>
        <v>ASPIRION HEALTH RESOURCES</v>
      </c>
      <c r="C28" s="18" t="n">
        <f aca="false">IF($A28="","",'SC Change Orders'!$B10)</f>
        <v>10200</v>
      </c>
      <c r="D28" s="32" t="n">
        <f aca="false">IF($A28="","",'SC Change Orders'!$C10)</f>
        <v>46182</v>
      </c>
      <c r="E28" s="31" t="str">
        <f aca="false">IF($A28="","",'SC Change Orders'!$D10)</f>
        <v>Tricare/VA </v>
      </c>
      <c r="F28" s="33" t="n">
        <f aca="false">IF($A28="","",'SC Change Orders'!$E10)</f>
        <v>2845560.56</v>
      </c>
      <c r="G28" s="33" t="n">
        <f aca="false">IF($A28="","",'SC Change Orders'!$F10)</f>
        <v>721331.83</v>
      </c>
      <c r="H28" s="33" t="n">
        <f aca="false">IF($A28="","",'SC Change Orders'!$G10)</f>
        <v>3566892.39</v>
      </c>
      <c r="I28" s="34" t="str">
        <f aca="false">IF($A28="","",IF(AND(ISNUMBER('SC Change Orders'!$C10),'SC Change Orders'!$C10&gt;=Controls!$C$5,'SC Change Orders'!$C10&lt;=Controls!$C$6),"Yes","No"))</f>
        <v>Yes</v>
      </c>
      <c r="J28" s="31" t="str">
        <f aca="false">IF($A28="","",IF($K28="","OK",$K28))</f>
        <v>Same PO and Amount Added as another row — check for a restatement counted twice; </v>
      </c>
      <c r="K28" s="0" t="str">
        <f aca="false">IF($A28="","",IF(NOT(ISNUMBER('SC Change Orders'!$B10)),"PO not numeric — row is invisible to the tracker; ","")&amp;IF(NOT(ISNUMBER('SC Change Orders'!$C10)),"Date missing or text — row excluded; ",  IF(OR('SC Change Orders'!$C10&lt;Controls!$C$5,'SC Change Orders'!$C10&gt;Controls!$C$6),"Dated outside the FY window — excluded; ",""))&amp;IF(AND('SC Change Orders'!$E10&lt;&gt;"",NOT(ISNUMBER('SC Change Orders'!$E10))),"Original Amount held as text — ignored by MINIFS; ","")&amp;IF(AND('SC Change Orders'!$F10&lt;&gt;"",NOT(ISNUMBER('SC Change Orders'!$F10))),"Amount Added held as text — ignored by SUMIFS; ","")&amp;IF(ISNUMBER('SC Change Orders'!$E10),IF(ISNUMBER('SC Change Orders'!$F10),IF(ISNUMBER('SC Change Orders'!$G10),  IF('SC Change Orders'!$G10&gt;0,IF(ROUND('SC Change Orders'!$E10+'SC Change Orders'!$F10,2)&lt;&gt;ROUND('SC Change Orders'!$G10,2),  "Original + Added &lt;&gt; Total Line Cost Allotted; ",""),""),""),""),"")&amp;IF(AND(ISNUMBER('SC Change Orders'!$B10),COUNTIFS('SC Change Orders'!$B$2:$B$501,'SC Change Orders'!$B10,'SC Change Orders'!$C$2:$C$501,'SC Change Orders'!$C10,'SC Change Orders'!$D$2:$D$501,'SC Change Orders'!$D10,'SC Change Orders'!$F$2:$F$501,'SC Change Orders'!$F10,'SC Change Orders'!$E$2:$E$501,'SC Change Orders'!$E10)&gt;1),"Duplicate of another row — funds counted twice; ","")&amp;IF(ISNUMBER('SC Change Orders'!$F10),IF('SC Change Orders'!$F10&lt;&gt;0,IF(AND(ISNUMBER('SC Change Orders'!$B10),NOT(COUNTIFS('SC Change Orders'!$B$2:$B$501,'SC Change Orders'!$B10,'SC Change Orders'!$C$2:$C$501,'SC Change Orders'!$C10,'SC Change Orders'!$D$2:$D$501,'SC Change Orders'!$D10,'SC Change Orders'!$F$2:$F$501,'SC Change Orders'!$F10,'SC Change Orders'!$E$2:$E$501,'SC Change Orders'!$E10)&gt;1),COUNTIFS('SC Change Orders'!$B$2:$B$501,'SC Change Orders'!$B10,'SC Change Orders'!$F$2:$F$501,'SC Change Orders'!$F10)&gt;1),  "Same PO and Amount Added as another row — check for a restatement counted twice; ",""),""),""))</f>
        <v>Same PO and Amount Added as another row — check for a restatement counted twice; </v>
      </c>
    </row>
    <row r="29" customFormat="false" ht="15" hidden="false" customHeight="false" outlineLevel="0" collapsed="false">
      <c r="A29" s="18" t="n">
        <f aca="false">IF(AND('SC Change Orders'!$A11="",'SC Change Orders'!$B11="",'SC Change Orders'!$C11=""),"",11)</f>
        <v>11</v>
      </c>
      <c r="B29" s="31" t="str">
        <f aca="false">IF($A29="","",'SC Change Orders'!$A11)</f>
        <v>ASPIRION HEALTH RESOURCES</v>
      </c>
      <c r="C29" s="18" t="n">
        <f aca="false">IF($A29="","",'SC Change Orders'!$B11)</f>
        <v>10200</v>
      </c>
      <c r="D29" s="32" t="n">
        <f aca="false">IF($A29="","",'SC Change Orders'!$C11)</f>
        <v>46217</v>
      </c>
      <c r="E29" s="31" t="str">
        <f aca="false">IF($A29="","",'SC Change Orders'!$D11)</f>
        <v>line 1 MVA/TPL</v>
      </c>
      <c r="F29" s="33" t="n">
        <f aca="false">IF($A29="","",'SC Change Orders'!$E11)</f>
        <v>0</v>
      </c>
      <c r="G29" s="33" t="n">
        <f aca="false">IF($A29="","",'SC Change Orders'!$F11)</f>
        <v>70951.84</v>
      </c>
      <c r="H29" s="33" t="n">
        <f aca="false">IF($A29="","",'SC Change Orders'!$G11)</f>
        <v>458723.93</v>
      </c>
      <c r="I29" s="34" t="str">
        <f aca="false">IF($A29="","",IF(AND(ISNUMBER('SC Change Orders'!$C11),'SC Change Orders'!$C11&gt;=Controls!$C$5,'SC Change Orders'!$C11&lt;=Controls!$C$6),"Yes","No"))</f>
        <v>Yes</v>
      </c>
      <c r="J29" s="31" t="str">
        <f aca="false">IF($A29="","",IF($K29="","OK",$K29))</f>
        <v>OK</v>
      </c>
      <c r="K29" s="0" t="str">
        <f aca="false">IF($A29="","",IF(NOT(ISNUMBER('SC Change Orders'!$B11)),"PO not numeric — row is invisible to the tracker; ","")&amp;IF(NOT(ISNUMBER('SC Change Orders'!$C11)),"Date missing or text — row excluded; ",  IF(OR('SC Change Orders'!$C11&lt;Controls!$C$5,'SC Change Orders'!$C11&gt;Controls!$C$6),"Dated outside the FY window — excluded; ",""))&amp;IF(AND('SC Change Orders'!$E11&lt;&gt;"",NOT(ISNUMBER('SC Change Orders'!$E11))),"Original Amount held as text — ignored by MINIFS; ","")&amp;IF(AND('SC Change Orders'!$F11&lt;&gt;"",NOT(ISNUMBER('SC Change Orders'!$F11))),"Amount Added held as text — ignored by SUMIFS; ","")&amp;IF(ISNUMBER('SC Change Orders'!$E11),IF(ISNUMBER('SC Change Orders'!$F11),IF(ISNUMBER('SC Change Orders'!$G11),  IF('SC Change Orders'!$G11&gt;0,IF(ROUND('SC Change Orders'!$E11+'SC Change Orders'!$F11,2)&lt;&gt;ROUND('SC Change Orders'!$G11,2),  "Original + Added &lt;&gt; Total Line Cost Allotted; ",""),""),""),""),"")&amp;IF(AND(ISNUMBER('SC Change Orders'!$B11),COUNTIFS('SC Change Orders'!$B$2:$B$501,'SC Change Orders'!$B11,'SC Change Orders'!$C$2:$C$501,'SC Change Orders'!$C11,'SC Change Orders'!$D$2:$D$501,'SC Change Orders'!$D11,'SC Change Orders'!$F$2:$F$501,'SC Change Orders'!$F11,'SC Change Orders'!$E$2:$E$501,'SC Change Orders'!$E11)&gt;1),"Duplicate of another row — funds counted twice; ","")&amp;IF(ISNUMBER('SC Change Orders'!$F11),IF('SC Change Orders'!$F11&lt;&gt;0,IF(AND(ISNUMBER('SC Change Orders'!$B11),NOT(COUNTIFS('SC Change Orders'!$B$2:$B$501,'SC Change Orders'!$B11,'SC Change Orders'!$C$2:$C$501,'SC Change Orders'!$C11,'SC Change Orders'!$D$2:$D$501,'SC Change Orders'!$D11,'SC Change Orders'!$F$2:$F$501,'SC Change Orders'!$F11,'SC Change Orders'!$E$2:$E$501,'SC Change Orders'!$E11)&gt;1),COUNTIFS('SC Change Orders'!$B$2:$B$501,'SC Change Orders'!$B11,'SC Change Orders'!$F$2:$F$501,'SC Change Orders'!$F11)&gt;1),  "Same PO and Amount Added as another row — check for a restatement counted twice; ",""),""),""))</f>
        <v/>
      </c>
    </row>
    <row r="30" customFormat="false" ht="15" hidden="false" customHeight="false" outlineLevel="0" collapsed="false">
      <c r="A30" s="18" t="n">
        <f aca="false">IF(AND('SC Change Orders'!$A12="",'SC Change Orders'!$B12="",'SC Change Orders'!$C12=""),"",12)</f>
        <v>12</v>
      </c>
      <c r="B30" s="31" t="str">
        <f aca="false">IF($A30="","",'SC Change Orders'!$A12)</f>
        <v>ASPIRION HEALTH RESOURCES</v>
      </c>
      <c r="C30" s="18" t="n">
        <f aca="false">IF($A30="","",'SC Change Orders'!$B12)</f>
        <v>10200</v>
      </c>
      <c r="D30" s="32" t="n">
        <f aca="false">IF($A30="","",'SC Change Orders'!$C12)</f>
        <v>46217</v>
      </c>
      <c r="E30" s="31" t="str">
        <f aca="false">IF($A30="","",'SC Change Orders'!$D12)</f>
        <v>Tricare/VA </v>
      </c>
      <c r="F30" s="33" t="n">
        <f aca="false">IF($A30="","",'SC Change Orders'!$E12)</f>
        <v>0</v>
      </c>
      <c r="G30" s="33" t="n">
        <f aca="false">IF($A30="","",'SC Change Orders'!$F12)</f>
        <v>861816.37</v>
      </c>
      <c r="H30" s="33" t="n">
        <f aca="false">IF($A30="","",'SC Change Orders'!$G12)</f>
        <v>5105284.65</v>
      </c>
      <c r="I30" s="34" t="str">
        <f aca="false">IF($A30="","",IF(AND(ISNUMBER('SC Change Orders'!$C12),'SC Change Orders'!$C12&gt;=Controls!$C$5,'SC Change Orders'!$C12&lt;=Controls!$C$6),"Yes","No"))</f>
        <v>Yes</v>
      </c>
      <c r="J30" s="31" t="str">
        <f aca="false">IF($A30="","",IF($K30="","OK",$K30))</f>
        <v>OK</v>
      </c>
      <c r="K30" s="0" t="str">
        <f aca="false">IF($A30="","",IF(NOT(ISNUMBER('SC Change Orders'!$B12)),"PO not numeric — row is invisible to the tracker; ","")&amp;IF(NOT(ISNUMBER('SC Change Orders'!$C12)),"Date missing or text — row excluded; ",  IF(OR('SC Change Orders'!$C12&lt;Controls!$C$5,'SC Change Orders'!$C12&gt;Controls!$C$6),"Dated outside the FY window — excluded; ",""))&amp;IF(AND('SC Change Orders'!$E12&lt;&gt;"",NOT(ISNUMBER('SC Change Orders'!$E12))),"Original Amount held as text — ignored by MINIFS; ","")&amp;IF(AND('SC Change Orders'!$F12&lt;&gt;"",NOT(ISNUMBER('SC Change Orders'!$F12))),"Amount Added held as text — ignored by SUMIFS; ","")&amp;IF(ISNUMBER('SC Change Orders'!$E12),IF(ISNUMBER('SC Change Orders'!$F12),IF(ISNUMBER('SC Change Orders'!$G12),  IF('SC Change Orders'!$G12&gt;0,IF(ROUND('SC Change Orders'!$E12+'SC Change Orders'!$F12,2)&lt;&gt;ROUND('SC Change Orders'!$G12,2),  "Original + Added &lt;&gt; Total Line Cost Allotted; ",""),""),""),""),"")&amp;IF(AND(ISNUMBER('SC Change Orders'!$B12),COUNTIFS('SC Change Orders'!$B$2:$B$501,'SC Change Orders'!$B12,'SC Change Orders'!$C$2:$C$501,'SC Change Orders'!$C12,'SC Change Orders'!$D$2:$D$501,'SC Change Orders'!$D12,'SC Change Orders'!$F$2:$F$501,'SC Change Orders'!$F12,'SC Change Orders'!$E$2:$E$501,'SC Change Orders'!$E12)&gt;1),"Duplicate of another row — funds counted twice; ","")&amp;IF(ISNUMBER('SC Change Orders'!$F12),IF('SC Change Orders'!$F12&lt;&gt;0,IF(AND(ISNUMBER('SC Change Orders'!$B12),NOT(COUNTIFS('SC Change Orders'!$B$2:$B$501,'SC Change Orders'!$B12,'SC Change Orders'!$C$2:$C$501,'SC Change Orders'!$C12,'SC Change Orders'!$D$2:$D$501,'SC Change Orders'!$D12,'SC Change Orders'!$F$2:$F$501,'SC Change Orders'!$F12,'SC Change Orders'!$E$2:$E$501,'SC Change Orders'!$E12)&gt;1),COUNTIFS('SC Change Orders'!$B$2:$B$501,'SC Change Orders'!$B12,'SC Change Orders'!$F$2:$F$501,'SC Change Orders'!$F12)&gt;1),  "Same PO and Amount Added as another row — check for a restatement counted twice; ",""),""),""))</f>
        <v/>
      </c>
    </row>
    <row r="31" customFormat="false" ht="15" hidden="false" customHeight="false" outlineLevel="0" collapsed="false">
      <c r="A31" s="18" t="n">
        <f aca="false">IF(AND('SC Change Orders'!$A13="",'SC Change Orders'!$B13="",'SC Change Orders'!$C13=""),"",13)</f>
        <v>13</v>
      </c>
      <c r="B31" s="31" t="str">
        <f aca="false">IF($A31="","",'SC Change Orders'!$A13)</f>
        <v>ASPIRION HEALTH RESOURCES</v>
      </c>
      <c r="C31" s="18" t="n">
        <f aca="false">IF($A31="","",'SC Change Orders'!$B13)</f>
        <v>10200</v>
      </c>
      <c r="D31" s="32" t="n">
        <f aca="false">IF($A31="","",'SC Change Orders'!$C13)</f>
        <v>46254</v>
      </c>
      <c r="E31" s="31" t="str">
        <f aca="false">IF($A31="","",'SC Change Orders'!$D13)</f>
        <v>MVA</v>
      </c>
      <c r="F31" s="33" t="n">
        <f aca="false">IF($A31="","",'SC Change Orders'!$E13)</f>
        <v>458723.93</v>
      </c>
      <c r="G31" s="33" t="n">
        <f aca="false">IF($A31="","",'SC Change Orders'!$F13)</f>
        <v>63000</v>
      </c>
      <c r="H31" s="33" t="n">
        <f aca="false">IF($A31="","",'SC Change Orders'!$G13)</f>
        <v>521723.93</v>
      </c>
      <c r="I31" s="34" t="str">
        <f aca="false">IF($A31="","",IF(AND(ISNUMBER('SC Change Orders'!$C13),'SC Change Orders'!$C13&gt;=Controls!$C$5,'SC Change Orders'!$C13&lt;=Controls!$C$6),"Yes","No"))</f>
        <v>Yes</v>
      </c>
      <c r="J31" s="31" t="str">
        <f aca="false">IF($A31="","",IF($K31="","OK",$K31))</f>
        <v>OK</v>
      </c>
      <c r="K31" s="0" t="str">
        <f aca="false">IF($A31="","",IF(NOT(ISNUMBER('SC Change Orders'!$B13)),"PO not numeric — row is invisible to the tracker; ","")&amp;IF(NOT(ISNUMBER('SC Change Orders'!$C13)),"Date missing or text — row excluded; ",  IF(OR('SC Change Orders'!$C13&lt;Controls!$C$5,'SC Change Orders'!$C13&gt;Controls!$C$6),"Dated outside the FY window — excluded; ",""))&amp;IF(AND('SC Change Orders'!$E13&lt;&gt;"",NOT(ISNUMBER('SC Change Orders'!$E13))),"Original Amount held as text — ignored by MINIFS; ","")&amp;IF(AND('SC Change Orders'!$F13&lt;&gt;"",NOT(ISNUMBER('SC Change Orders'!$F13))),"Amount Added held as text — ignored by SUMIFS; ","")&amp;IF(ISNUMBER('SC Change Orders'!$E13),IF(ISNUMBER('SC Change Orders'!$F13),IF(ISNUMBER('SC Change Orders'!$G13),  IF('SC Change Orders'!$G13&gt;0,IF(ROUND('SC Change Orders'!$E13+'SC Change Orders'!$F13,2)&lt;&gt;ROUND('SC Change Orders'!$G13,2),  "Original + Added &lt;&gt; Total Line Cost Allotted; ",""),""),""),""),"")&amp;IF(AND(ISNUMBER('SC Change Orders'!$B13),COUNTIFS('SC Change Orders'!$B$2:$B$501,'SC Change Orders'!$B13,'SC Change Orders'!$C$2:$C$501,'SC Change Orders'!$C13,'SC Change Orders'!$D$2:$D$501,'SC Change Orders'!$D13,'SC Change Orders'!$F$2:$F$501,'SC Change Orders'!$F13,'SC Change Orders'!$E$2:$E$501,'SC Change Orders'!$E13)&gt;1),"Duplicate of another row — funds counted twice; ","")&amp;IF(ISNUMBER('SC Change Orders'!$F13),IF('SC Change Orders'!$F13&lt;&gt;0,IF(AND(ISNUMBER('SC Change Orders'!$B13),NOT(COUNTIFS('SC Change Orders'!$B$2:$B$501,'SC Change Orders'!$B13,'SC Change Orders'!$C$2:$C$501,'SC Change Orders'!$C13,'SC Change Orders'!$D$2:$D$501,'SC Change Orders'!$D13,'SC Change Orders'!$F$2:$F$501,'SC Change Orders'!$F13,'SC Change Orders'!$E$2:$E$501,'SC Change Orders'!$E13)&gt;1),COUNTIFS('SC Change Orders'!$B$2:$B$501,'SC Change Orders'!$B13,'SC Change Orders'!$F$2:$F$501,'SC Change Orders'!$F13)&gt;1),  "Same PO and Amount Added as another row — check for a restatement counted twice; ",""),""),""))</f>
        <v/>
      </c>
    </row>
    <row r="32" customFormat="false" ht="15" hidden="false" customHeight="false" outlineLevel="0" collapsed="false">
      <c r="A32" s="18" t="n">
        <f aca="false">IF(AND('SC Change Orders'!$A14="",'SC Change Orders'!$B14="",'SC Change Orders'!$C14=""),"",14)</f>
        <v>14</v>
      </c>
      <c r="B32" s="31" t="str">
        <f aca="false">IF($A32="","",'SC Change Orders'!$A14)</f>
        <v>ASPIRION HEALTH RESOURCES</v>
      </c>
      <c r="C32" s="18" t="n">
        <f aca="false">IF($A32="","",'SC Change Orders'!$B14)</f>
        <v>10200</v>
      </c>
      <c r="D32" s="32" t="n">
        <f aca="false">IF($A32="","",'SC Change Orders'!$C14)</f>
        <v>46254</v>
      </c>
      <c r="E32" s="31" t="str">
        <f aca="false">IF($A32="","",'SC Change Orders'!$D14)</f>
        <v>Tircare/VA</v>
      </c>
      <c r="F32" s="33" t="n">
        <f aca="false">IF($A32="","",'SC Change Orders'!$E14)</f>
        <v>5105284.65</v>
      </c>
      <c r="G32" s="33" t="n">
        <f aca="false">IF($A32="","",'SC Change Orders'!$F14)</f>
        <v>854100</v>
      </c>
      <c r="H32" s="33" t="n">
        <f aca="false">IF($A32="","",'SC Change Orders'!$G14)</f>
        <v>5959384.65</v>
      </c>
      <c r="I32" s="34" t="str">
        <f aca="false">IF($A32="","",IF(AND(ISNUMBER('SC Change Orders'!$C14),'SC Change Orders'!$C14&gt;=Controls!$C$5,'SC Change Orders'!$C14&lt;=Controls!$C$6),"Yes","No"))</f>
        <v>Yes</v>
      </c>
      <c r="J32" s="31" t="str">
        <f aca="false">IF($A32="","",IF($K32="","OK",$K32))</f>
        <v>OK</v>
      </c>
      <c r="K32" s="0" t="str">
        <f aca="false">IF($A32="","",IF(NOT(ISNUMBER('SC Change Orders'!$B14)),"PO not numeric — row is invisible to the tracker; ","")&amp;IF(NOT(ISNUMBER('SC Change Orders'!$C14)),"Date missing or text — row excluded; ",  IF(OR('SC Change Orders'!$C14&lt;Controls!$C$5,'SC Change Orders'!$C14&gt;Controls!$C$6),"Dated outside the FY window — excluded; ",""))&amp;IF(AND('SC Change Orders'!$E14&lt;&gt;"",NOT(ISNUMBER('SC Change Orders'!$E14))),"Original Amount held as text — ignored by MINIFS; ","")&amp;IF(AND('SC Change Orders'!$F14&lt;&gt;"",NOT(ISNUMBER('SC Change Orders'!$F14))),"Amount Added held as text — ignored by SUMIFS; ","")&amp;IF(ISNUMBER('SC Change Orders'!$E14),IF(ISNUMBER('SC Change Orders'!$F14),IF(ISNUMBER('SC Change Orders'!$G14),  IF('SC Change Orders'!$G14&gt;0,IF(ROUND('SC Change Orders'!$E14+'SC Change Orders'!$F14,2)&lt;&gt;ROUND('SC Change Orders'!$G14,2),  "Original + Added &lt;&gt; Total Line Cost Allotted; ",""),""),""),""),"")&amp;IF(AND(ISNUMBER('SC Change Orders'!$B14),COUNTIFS('SC Change Orders'!$B$2:$B$501,'SC Change Orders'!$B14,'SC Change Orders'!$C$2:$C$501,'SC Change Orders'!$C14,'SC Change Orders'!$D$2:$D$501,'SC Change Orders'!$D14,'SC Change Orders'!$F$2:$F$501,'SC Change Orders'!$F14,'SC Change Orders'!$E$2:$E$501,'SC Change Orders'!$E14)&gt;1),"Duplicate of another row — funds counted twice; ","")&amp;IF(ISNUMBER('SC Change Orders'!$F14),IF('SC Change Orders'!$F14&lt;&gt;0,IF(AND(ISNUMBER('SC Change Orders'!$B14),NOT(COUNTIFS('SC Change Orders'!$B$2:$B$501,'SC Change Orders'!$B14,'SC Change Orders'!$C$2:$C$501,'SC Change Orders'!$C14,'SC Change Orders'!$D$2:$D$501,'SC Change Orders'!$D14,'SC Change Orders'!$F$2:$F$501,'SC Change Orders'!$F14,'SC Change Orders'!$E$2:$E$501,'SC Change Orders'!$E14)&gt;1),COUNTIFS('SC Change Orders'!$B$2:$B$501,'SC Change Orders'!$B14,'SC Change Orders'!$F$2:$F$501,'SC Change Orders'!$F14)&gt;1),  "Same PO and Amount Added as another row — check for a restatement counted twice; ",""),""),""))</f>
        <v/>
      </c>
    </row>
    <row r="33" customFormat="false" ht="15" hidden="false" customHeight="false" outlineLevel="0" collapsed="false">
      <c r="A33" s="18" t="n">
        <f aca="false">IF(AND('SC Change Orders'!$A15="",'SC Change Orders'!$B15="",'SC Change Orders'!$C15=""),"",15)</f>
        <v>15</v>
      </c>
      <c r="B33" s="31" t="str">
        <f aca="false">IF($A33="","",'SC Change Orders'!$A15)</f>
        <v>CLOUDMED</v>
      </c>
      <c r="C33" s="18" t="n">
        <f aca="false">IF($A33="","",'SC Change Orders'!$B15)</f>
        <v>8658</v>
      </c>
      <c r="D33" s="32" t="n">
        <f aca="false">IF($A33="","",'SC Change Orders'!$C15)</f>
        <v>46125</v>
      </c>
      <c r="E33" s="31" t="str">
        <f aca="false">IF($A33="","",'SC Change Orders'!$D15)</f>
        <v>charge capture hosp</v>
      </c>
      <c r="F33" s="33" t="n">
        <f aca="false">IF($A33="","",'SC Change Orders'!$E15)</f>
        <v>250000</v>
      </c>
      <c r="G33" s="33" t="n">
        <f aca="false">IF($A33="","",'SC Change Orders'!$F15)</f>
        <v>190000</v>
      </c>
      <c r="H33" s="33" t="n">
        <f aca="false">IF($A33="","",'SC Change Orders'!$G15)</f>
        <v>0</v>
      </c>
      <c r="I33" s="34" t="str">
        <f aca="false">IF($A33="","",IF(AND(ISNUMBER('SC Change Orders'!$C15),'SC Change Orders'!$C15&gt;=Controls!$C$5,'SC Change Orders'!$C15&lt;=Controls!$C$6),"Yes","No"))</f>
        <v>Yes</v>
      </c>
      <c r="J33" s="31" t="str">
        <f aca="false">IF($A33="","",IF($K33="","OK",$K33))</f>
        <v>OK</v>
      </c>
      <c r="K33" s="0" t="str">
        <f aca="false">IF($A33="","",IF(NOT(ISNUMBER('SC Change Orders'!$B15)),"PO not numeric — row is invisible to the tracker; ","")&amp;IF(NOT(ISNUMBER('SC Change Orders'!$C15)),"Date missing or text — row excluded; ",  IF(OR('SC Change Orders'!$C15&lt;Controls!$C$5,'SC Change Orders'!$C15&gt;Controls!$C$6),"Dated outside the FY window — excluded; ",""))&amp;IF(AND('SC Change Orders'!$E15&lt;&gt;"",NOT(ISNUMBER('SC Change Orders'!$E15))),"Original Amount held as text — ignored by MINIFS; ","")&amp;IF(AND('SC Change Orders'!$F15&lt;&gt;"",NOT(ISNUMBER('SC Change Orders'!$F15))),"Amount Added held as text — ignored by SUMIFS; ","")&amp;IF(ISNUMBER('SC Change Orders'!$E15),IF(ISNUMBER('SC Change Orders'!$F15),IF(ISNUMBER('SC Change Orders'!$G15),  IF('SC Change Orders'!$G15&gt;0,IF(ROUND('SC Change Orders'!$E15+'SC Change Orders'!$F15,2)&lt;&gt;ROUND('SC Change Orders'!$G15,2),  "Original + Added &lt;&gt; Total Line Cost Allotted; ",""),""),""),""),"")&amp;IF(AND(ISNUMBER('SC Change Orders'!$B15),COUNTIFS('SC Change Orders'!$B$2:$B$501,'SC Change Orders'!$B15,'SC Change Orders'!$C$2:$C$501,'SC Change Orders'!$C15,'SC Change Orders'!$D$2:$D$501,'SC Change Orders'!$D15,'SC Change Orders'!$F$2:$F$501,'SC Change Orders'!$F15,'SC Change Orders'!$E$2:$E$501,'SC Change Orders'!$E15)&gt;1),"Duplicate of another row — funds counted twice; ","")&amp;IF(ISNUMBER('SC Change Orders'!$F15),IF('SC Change Orders'!$F15&lt;&gt;0,IF(AND(ISNUMBER('SC Change Orders'!$B15),NOT(COUNTIFS('SC Change Orders'!$B$2:$B$501,'SC Change Orders'!$B15,'SC Change Orders'!$C$2:$C$501,'SC Change Orders'!$C15,'SC Change Orders'!$D$2:$D$501,'SC Change Orders'!$D15,'SC Change Orders'!$F$2:$F$501,'SC Change Orders'!$F15,'SC Change Orders'!$E$2:$E$501,'SC Change Orders'!$E15)&gt;1),COUNTIFS('SC Change Orders'!$B$2:$B$501,'SC Change Orders'!$B15,'SC Change Orders'!$F$2:$F$501,'SC Change Orders'!$F15)&gt;1),  "Same PO and Amount Added as another row — check for a restatement counted twice; ",""),""),""))</f>
        <v/>
      </c>
    </row>
    <row r="34" customFormat="false" ht="15" hidden="false" customHeight="false" outlineLevel="0" collapsed="false">
      <c r="A34" s="18" t="n">
        <f aca="false">IF(AND('SC Change Orders'!$A16="",'SC Change Orders'!$B16="",'SC Change Orders'!$C16=""),"",16)</f>
        <v>16</v>
      </c>
      <c r="B34" s="31" t="str">
        <f aca="false">IF($A34="","",'SC Change Orders'!$A16)</f>
        <v>CLOUDMED</v>
      </c>
      <c r="C34" s="18" t="n">
        <f aca="false">IF($A34="","",'SC Change Orders'!$B16)</f>
        <v>10798</v>
      </c>
      <c r="D34" s="32" t="n">
        <f aca="false">IF($A34="","",'SC Change Orders'!$C16)</f>
        <v>46168</v>
      </c>
      <c r="E34" s="31" t="str">
        <f aca="false">IF($A34="","",'SC Change Orders'!$D16)</f>
        <v>Appeals</v>
      </c>
      <c r="F34" s="33" t="n">
        <f aca="false">IF($A34="","",'SC Change Orders'!$E16)</f>
        <v>1000000</v>
      </c>
      <c r="G34" s="33" t="n">
        <f aca="false">IF($A34="","",'SC Change Orders'!$F16)</f>
        <v>1600000</v>
      </c>
      <c r="H34" s="33" t="n">
        <f aca="false">IF($A34="","",'SC Change Orders'!$G16)</f>
        <v>1600000</v>
      </c>
      <c r="I34" s="34" t="str">
        <f aca="false">IF($A34="","",IF(AND(ISNUMBER('SC Change Orders'!$C16),'SC Change Orders'!$C16&gt;=Controls!$C$5,'SC Change Orders'!$C16&lt;=Controls!$C$6),"Yes","No"))</f>
        <v>Yes</v>
      </c>
      <c r="J34" s="31" t="str">
        <f aca="false">IF($A34="","",IF($K34="","OK",$K34))</f>
        <v>Original + Added &lt;&gt; Total Line Cost Allotted; </v>
      </c>
      <c r="K34" s="0" t="str">
        <f aca="false">IF($A34="","",IF(NOT(ISNUMBER('SC Change Orders'!$B16)),"PO not numeric — row is invisible to the tracker; ","")&amp;IF(NOT(ISNUMBER('SC Change Orders'!$C16)),"Date missing or text — row excluded; ",  IF(OR('SC Change Orders'!$C16&lt;Controls!$C$5,'SC Change Orders'!$C16&gt;Controls!$C$6),"Dated outside the FY window — excluded; ",""))&amp;IF(AND('SC Change Orders'!$E16&lt;&gt;"",NOT(ISNUMBER('SC Change Orders'!$E16))),"Original Amount held as text — ignored by MINIFS; ","")&amp;IF(AND('SC Change Orders'!$F16&lt;&gt;"",NOT(ISNUMBER('SC Change Orders'!$F16))),"Amount Added held as text — ignored by SUMIFS; ","")&amp;IF(ISNUMBER('SC Change Orders'!$E16),IF(ISNUMBER('SC Change Orders'!$F16),IF(ISNUMBER('SC Change Orders'!$G16),  IF('SC Change Orders'!$G16&gt;0,IF(ROUND('SC Change Orders'!$E16+'SC Change Orders'!$F16,2)&lt;&gt;ROUND('SC Change Orders'!$G16,2),  "Original + Added &lt;&gt; Total Line Cost Allotted; ",""),""),""),""),"")&amp;IF(AND(ISNUMBER('SC Change Orders'!$B16),COUNTIFS('SC Change Orders'!$B$2:$B$501,'SC Change Orders'!$B16,'SC Change Orders'!$C$2:$C$501,'SC Change Orders'!$C16,'SC Change Orders'!$D$2:$D$501,'SC Change Orders'!$D16,'SC Change Orders'!$F$2:$F$501,'SC Change Orders'!$F16,'SC Change Orders'!$E$2:$E$501,'SC Change Orders'!$E16)&gt;1),"Duplicate of another row — funds counted twice; ","")&amp;IF(ISNUMBER('SC Change Orders'!$F16),IF('SC Change Orders'!$F16&lt;&gt;0,IF(AND(ISNUMBER('SC Change Orders'!$B16),NOT(COUNTIFS('SC Change Orders'!$B$2:$B$501,'SC Change Orders'!$B16,'SC Change Orders'!$C$2:$C$501,'SC Change Orders'!$C16,'SC Change Orders'!$D$2:$D$501,'SC Change Orders'!$D16,'SC Change Orders'!$F$2:$F$501,'SC Change Orders'!$F16,'SC Change Orders'!$E$2:$E$501,'SC Change Orders'!$E16)&gt;1),COUNTIFS('SC Change Orders'!$B$2:$B$501,'SC Change Orders'!$B16,'SC Change Orders'!$F$2:$F$501,'SC Change Orders'!$F16)&gt;1),  "Same PO and Amount Added as another row — check for a restatement counted twice; ",""),""),""))</f>
        <v>Original + Added &lt;&gt; Total Line Cost Allotted; </v>
      </c>
    </row>
    <row r="35" customFormat="false" ht="15" hidden="false" customHeight="false" outlineLevel="0" collapsed="false">
      <c r="A35" s="18" t="n">
        <f aca="false">IF(AND('SC Change Orders'!$A17="",'SC Change Orders'!$B17="",'SC Change Orders'!$C17=""),"",17)</f>
        <v>17</v>
      </c>
      <c r="B35" s="31" t="str">
        <f aca="false">IF($A35="","",'SC Change Orders'!$A17)</f>
        <v>CLOUDMED</v>
      </c>
      <c r="C35" s="18" t="n">
        <f aca="false">IF($A35="","",'SC Change Orders'!$B17)</f>
        <v>11172</v>
      </c>
      <c r="D35" s="32" t="n">
        <f aca="false">IF($A35="","",'SC Change Orders'!$C17)</f>
        <v>46168</v>
      </c>
      <c r="E35" s="31" t="str">
        <f aca="false">IF($A35="","",'SC Change Orders'!$D17)</f>
        <v>Bluecard</v>
      </c>
      <c r="F35" s="33" t="n">
        <f aca="false">IF($A35="","",'SC Change Orders'!$E17)</f>
        <v>1000000</v>
      </c>
      <c r="G35" s="33" t="n">
        <f aca="false">IF($A35="","",'SC Change Orders'!$F17)</f>
        <v>1600000</v>
      </c>
      <c r="H35" s="33" t="n">
        <f aca="false">IF($A35="","",'SC Change Orders'!$G17)</f>
        <v>1600000</v>
      </c>
      <c r="I35" s="34" t="str">
        <f aca="false">IF($A35="","",IF(AND(ISNUMBER('SC Change Orders'!$C17),'SC Change Orders'!$C17&gt;=Controls!$C$5,'SC Change Orders'!$C17&lt;=Controls!$C$6),"Yes","No"))</f>
        <v>Yes</v>
      </c>
      <c r="J35" s="31" t="str">
        <f aca="false">IF($A35="","",IF($K35="","OK",$K35))</f>
        <v>Original + Added &lt;&gt; Total Line Cost Allotted; </v>
      </c>
      <c r="K35" s="0" t="str">
        <f aca="false">IF($A35="","",IF(NOT(ISNUMBER('SC Change Orders'!$B17)),"PO not numeric — row is invisible to the tracker; ","")&amp;IF(NOT(ISNUMBER('SC Change Orders'!$C17)),"Date missing or text — row excluded; ",  IF(OR('SC Change Orders'!$C17&lt;Controls!$C$5,'SC Change Orders'!$C17&gt;Controls!$C$6),"Dated outside the FY window — excluded; ",""))&amp;IF(AND('SC Change Orders'!$E17&lt;&gt;"",NOT(ISNUMBER('SC Change Orders'!$E17))),"Original Amount held as text — ignored by MINIFS; ","")&amp;IF(AND('SC Change Orders'!$F17&lt;&gt;"",NOT(ISNUMBER('SC Change Orders'!$F17))),"Amount Added held as text — ignored by SUMIFS; ","")&amp;IF(ISNUMBER('SC Change Orders'!$E17),IF(ISNUMBER('SC Change Orders'!$F17),IF(ISNUMBER('SC Change Orders'!$G17),  IF('SC Change Orders'!$G17&gt;0,IF(ROUND('SC Change Orders'!$E17+'SC Change Orders'!$F17,2)&lt;&gt;ROUND('SC Change Orders'!$G17,2),  "Original + Added &lt;&gt; Total Line Cost Allotted; ",""),""),""),""),"")&amp;IF(AND(ISNUMBER('SC Change Orders'!$B17),COUNTIFS('SC Change Orders'!$B$2:$B$501,'SC Change Orders'!$B17,'SC Change Orders'!$C$2:$C$501,'SC Change Orders'!$C17,'SC Change Orders'!$D$2:$D$501,'SC Change Orders'!$D17,'SC Change Orders'!$F$2:$F$501,'SC Change Orders'!$F17,'SC Change Orders'!$E$2:$E$501,'SC Change Orders'!$E17)&gt;1),"Duplicate of another row — funds counted twice; ","")&amp;IF(ISNUMBER('SC Change Orders'!$F17),IF('SC Change Orders'!$F17&lt;&gt;0,IF(AND(ISNUMBER('SC Change Orders'!$B17),NOT(COUNTIFS('SC Change Orders'!$B$2:$B$501,'SC Change Orders'!$B17,'SC Change Orders'!$C$2:$C$501,'SC Change Orders'!$C17,'SC Change Orders'!$D$2:$D$501,'SC Change Orders'!$D17,'SC Change Orders'!$F$2:$F$501,'SC Change Orders'!$F17,'SC Change Orders'!$E$2:$E$501,'SC Change Orders'!$E17)&gt;1),COUNTIFS('SC Change Orders'!$B$2:$B$501,'SC Change Orders'!$B17,'SC Change Orders'!$F$2:$F$501,'SC Change Orders'!$F17)&gt;1),  "Same PO and Amount Added as another row — check for a restatement counted twice; ",""),""),""))</f>
        <v>Original + Added &lt;&gt; Total Line Cost Allotted; </v>
      </c>
    </row>
    <row r="36" customFormat="false" ht="15" hidden="false" customHeight="false" outlineLevel="0" collapsed="false">
      <c r="A36" s="18" t="n">
        <f aca="false">IF(AND('SC Change Orders'!$A18="",'SC Change Orders'!$B18="",'SC Change Orders'!$C18=""),"",18)</f>
        <v>18</v>
      </c>
      <c r="B36" s="31" t="str">
        <f aca="false">IF($A36="","",'SC Change Orders'!$A18)</f>
        <v>EPIC ADVISORS GROUP LLC</v>
      </c>
      <c r="C36" s="18" t="n">
        <f aca="false">IF($A36="","",'SC Change Orders'!$B18)</f>
        <v>10138</v>
      </c>
      <c r="D36" s="32" t="n">
        <f aca="false">IF($A36="","",'SC Change Orders'!$C18)</f>
        <v>46072</v>
      </c>
      <c r="E36" s="31" t="str">
        <f aca="false">IF($A36="","",'SC Change Orders'!$D18)</f>
        <v>FY 2026 Consulting Services</v>
      </c>
      <c r="F36" s="33" t="n">
        <f aca="false">IF($A36="","",'SC Change Orders'!$E18)</f>
        <v>248160.5</v>
      </c>
      <c r="G36" s="33" t="n">
        <f aca="false">IF($A36="","",'SC Change Orders'!$F18)</f>
        <v>50000</v>
      </c>
      <c r="H36" s="33" t="n">
        <f aca="false">IF($A36="","",'SC Change Orders'!$G18)</f>
        <v>298160.5</v>
      </c>
      <c r="I36" s="34" t="str">
        <f aca="false">IF($A36="","",IF(AND(ISNUMBER('SC Change Orders'!$C18),'SC Change Orders'!$C18&gt;=Controls!$C$5,'SC Change Orders'!$C18&lt;=Controls!$C$6),"Yes","No"))</f>
        <v>Yes</v>
      </c>
      <c r="J36" s="31" t="str">
        <f aca="false">IF($A36="","",IF($K36="","OK",$K36))</f>
        <v>OK</v>
      </c>
      <c r="K36" s="0" t="str">
        <f aca="false">IF($A36="","",IF(NOT(ISNUMBER('SC Change Orders'!$B18)),"PO not numeric — row is invisible to the tracker; ","")&amp;IF(NOT(ISNUMBER('SC Change Orders'!$C18)),"Date missing or text — row excluded; ",  IF(OR('SC Change Orders'!$C18&lt;Controls!$C$5,'SC Change Orders'!$C18&gt;Controls!$C$6),"Dated outside the FY window — excluded; ",""))&amp;IF(AND('SC Change Orders'!$E18&lt;&gt;"",NOT(ISNUMBER('SC Change Orders'!$E18))),"Original Amount held as text — ignored by MINIFS; ","")&amp;IF(AND('SC Change Orders'!$F18&lt;&gt;"",NOT(ISNUMBER('SC Change Orders'!$F18))),"Amount Added held as text — ignored by SUMIFS; ","")&amp;IF(ISNUMBER('SC Change Orders'!$E18),IF(ISNUMBER('SC Change Orders'!$F18),IF(ISNUMBER('SC Change Orders'!$G18),  IF('SC Change Orders'!$G18&gt;0,IF(ROUND('SC Change Orders'!$E18+'SC Change Orders'!$F18,2)&lt;&gt;ROUND('SC Change Orders'!$G18,2),  "Original + Added &lt;&gt; Total Line Cost Allotted; ",""),""),""),""),"")&amp;IF(AND(ISNUMBER('SC Change Orders'!$B18),COUNTIFS('SC Change Orders'!$B$2:$B$501,'SC Change Orders'!$B18,'SC Change Orders'!$C$2:$C$501,'SC Change Orders'!$C18,'SC Change Orders'!$D$2:$D$501,'SC Change Orders'!$D18,'SC Change Orders'!$F$2:$F$501,'SC Change Orders'!$F18,'SC Change Orders'!$E$2:$E$501,'SC Change Orders'!$E18)&gt;1),"Duplicate of another row — funds counted twice; ","")&amp;IF(ISNUMBER('SC Change Orders'!$F18),IF('SC Change Orders'!$F18&lt;&gt;0,IF(AND(ISNUMBER('SC Change Orders'!$B18),NOT(COUNTIFS('SC Change Orders'!$B$2:$B$501,'SC Change Orders'!$B18,'SC Change Orders'!$C$2:$C$501,'SC Change Orders'!$C18,'SC Change Orders'!$D$2:$D$501,'SC Change Orders'!$D18,'SC Change Orders'!$F$2:$F$501,'SC Change Orders'!$F18,'SC Change Orders'!$E$2:$E$501,'SC Change Orders'!$E18)&gt;1),COUNTIFS('SC Change Orders'!$B$2:$B$501,'SC Change Orders'!$B18,'SC Change Orders'!$F$2:$F$501,'SC Change Orders'!$F18)&gt;1),  "Same PO and Amount Added as another row — check for a restatement counted twice; ",""),""),""))</f>
        <v/>
      </c>
    </row>
    <row r="37" customFormat="false" ht="15" hidden="false" customHeight="false" outlineLevel="0" collapsed="false">
      <c r="A37" s="18" t="n">
        <f aca="false">IF(AND('SC Change Orders'!$A19="",'SC Change Orders'!$B19="",'SC Change Orders'!$C19=""),"",19)</f>
        <v>19</v>
      </c>
      <c r="B37" s="31" t="str">
        <f aca="false">IF($A37="","",'SC Change Orders'!$A19)</f>
        <v>EPIC ADVISORS GROUP LLC</v>
      </c>
      <c r="C37" s="18" t="n">
        <f aca="false">IF($A37="","",'SC Change Orders'!$B19)</f>
        <v>10138</v>
      </c>
      <c r="D37" s="32" t="n">
        <f aca="false">IF($A37="","",'SC Change Orders'!$C19)</f>
        <v>46072</v>
      </c>
      <c r="E37" s="31" t="str">
        <f aca="false">IF($A37="","",'SC Change Orders'!$D19)</f>
        <v>FY 2026 Travel Costs</v>
      </c>
      <c r="F37" s="33" t="n">
        <f aca="false">IF($A37="","",'SC Change Orders'!$E19)</f>
        <v>72000</v>
      </c>
      <c r="G37" s="33" t="n">
        <f aca="false">IF($A37="","",'SC Change Orders'!$F19)</f>
        <v>0</v>
      </c>
      <c r="H37" s="33" t="n">
        <f aca="false">IF($A37="","",'SC Change Orders'!$G19)</f>
        <v>72000</v>
      </c>
      <c r="I37" s="34" t="str">
        <f aca="false">IF($A37="","",IF(AND(ISNUMBER('SC Change Orders'!$C19),'SC Change Orders'!$C19&gt;=Controls!$C$5,'SC Change Orders'!$C19&lt;=Controls!$C$6),"Yes","No"))</f>
        <v>Yes</v>
      </c>
      <c r="J37" s="31" t="str">
        <f aca="false">IF($A37="","",IF($K37="","OK",$K37))</f>
        <v>OK</v>
      </c>
      <c r="K37" s="0" t="str">
        <f aca="false">IF($A37="","",IF(NOT(ISNUMBER('SC Change Orders'!$B19)),"PO not numeric — row is invisible to the tracker; ","")&amp;IF(NOT(ISNUMBER('SC Change Orders'!$C19)),"Date missing or text — row excluded; ",  IF(OR('SC Change Orders'!$C19&lt;Controls!$C$5,'SC Change Orders'!$C19&gt;Controls!$C$6),"Dated outside the FY window — excluded; ",""))&amp;IF(AND('SC Change Orders'!$E19&lt;&gt;"",NOT(ISNUMBER('SC Change Orders'!$E19))),"Original Amount held as text — ignored by MINIFS; ","")&amp;IF(AND('SC Change Orders'!$F19&lt;&gt;"",NOT(ISNUMBER('SC Change Orders'!$F19))),"Amount Added held as text — ignored by SUMIFS; ","")&amp;IF(ISNUMBER('SC Change Orders'!$E19),IF(ISNUMBER('SC Change Orders'!$F19),IF(ISNUMBER('SC Change Orders'!$G19),  IF('SC Change Orders'!$G19&gt;0,IF(ROUND('SC Change Orders'!$E19+'SC Change Orders'!$F19,2)&lt;&gt;ROUND('SC Change Orders'!$G19,2),  "Original + Added &lt;&gt; Total Line Cost Allotted; ",""),""),""),""),"")&amp;IF(AND(ISNUMBER('SC Change Orders'!$B19),COUNTIFS('SC Change Orders'!$B$2:$B$501,'SC Change Orders'!$B19,'SC Change Orders'!$C$2:$C$501,'SC Change Orders'!$C19,'SC Change Orders'!$D$2:$D$501,'SC Change Orders'!$D19,'SC Change Orders'!$F$2:$F$501,'SC Change Orders'!$F19,'SC Change Orders'!$E$2:$E$501,'SC Change Orders'!$E19)&gt;1),"Duplicate of another row — funds counted twice; ","")&amp;IF(ISNUMBER('SC Change Orders'!$F19),IF('SC Change Orders'!$F19&lt;&gt;0,IF(AND(ISNUMBER('SC Change Orders'!$B19),NOT(COUNTIFS('SC Change Orders'!$B$2:$B$501,'SC Change Orders'!$B19,'SC Change Orders'!$C$2:$C$501,'SC Change Orders'!$C19,'SC Change Orders'!$D$2:$D$501,'SC Change Orders'!$D19,'SC Change Orders'!$F$2:$F$501,'SC Change Orders'!$F19,'SC Change Orders'!$E$2:$E$501,'SC Change Orders'!$E19)&gt;1),COUNTIFS('SC Change Orders'!$B$2:$B$501,'SC Change Orders'!$B19,'SC Change Orders'!$F$2:$F$501,'SC Change Orders'!$F19)&gt;1),  "Same PO and Amount Added as another row — check for a restatement counted twice; ",""),""),""))</f>
        <v/>
      </c>
    </row>
    <row r="38" customFormat="false" ht="15" hidden="false" customHeight="false" outlineLevel="0" collapsed="false">
      <c r="A38" s="18" t="n">
        <f aca="false">IF(AND('SC Change Orders'!$A20="",'SC Change Orders'!$B20="",'SC Change Orders'!$C20=""),"",20)</f>
        <v>20</v>
      </c>
      <c r="B38" s="31" t="str">
        <f aca="false">IF($A38="","",'SC Change Orders'!$A20)</f>
        <v>EPIC ADVISORS GROUP LLC</v>
      </c>
      <c r="C38" s="18" t="n">
        <f aca="false">IF($A38="","",'SC Change Orders'!$B20)</f>
        <v>10138</v>
      </c>
      <c r="D38" s="32" t="n">
        <f aca="false">IF($A38="","",'SC Change Orders'!$C20)</f>
        <v>46227</v>
      </c>
      <c r="E38" s="31" t="n">
        <f aca="false">IF($A38="","",'SC Change Orders'!$D20)</f>
        <v>2</v>
      </c>
      <c r="F38" s="33" t="n">
        <f aca="false">IF($A38="","",'SC Change Orders'!$E20)</f>
        <v>0</v>
      </c>
      <c r="G38" s="33" t="n">
        <f aca="false">IF($A38="","",'SC Change Orders'!$F20)</f>
        <v>70503.5</v>
      </c>
      <c r="H38" s="33" t="n">
        <f aca="false">IF($A38="","",'SC Change Orders'!$G20)</f>
        <v>368664</v>
      </c>
      <c r="I38" s="34" t="str">
        <f aca="false">IF($A38="","",IF(AND(ISNUMBER('SC Change Orders'!$C20),'SC Change Orders'!$C20&gt;=Controls!$C$5,'SC Change Orders'!$C20&lt;=Controls!$C$6),"Yes","No"))</f>
        <v>Yes</v>
      </c>
      <c r="J38" s="31" t="str">
        <f aca="false">IF($A38="","",IF($K38="","OK",$K38))</f>
        <v>OK</v>
      </c>
      <c r="K38" s="0" t="str">
        <f aca="false">IF($A38="","",IF(NOT(ISNUMBER('SC Change Orders'!$B20)),"PO not numeric — row is invisible to the tracker; ","")&amp;IF(NOT(ISNUMBER('SC Change Orders'!$C20)),"Date missing or text — row excluded; ",  IF(OR('SC Change Orders'!$C20&lt;Controls!$C$5,'SC Change Orders'!$C20&gt;Controls!$C$6),"Dated outside the FY window — excluded; ",""))&amp;IF(AND('SC Change Orders'!$E20&lt;&gt;"",NOT(ISNUMBER('SC Change Orders'!$E20))),"Original Amount held as text — ignored by MINIFS; ","")&amp;IF(AND('SC Change Orders'!$F20&lt;&gt;"",NOT(ISNUMBER('SC Change Orders'!$F20))),"Amount Added held as text — ignored by SUMIFS; ","")&amp;IF(ISNUMBER('SC Change Orders'!$E20),IF(ISNUMBER('SC Change Orders'!$F20),IF(ISNUMBER('SC Change Orders'!$G20),  IF('SC Change Orders'!$G20&gt;0,IF(ROUND('SC Change Orders'!$E20+'SC Change Orders'!$F20,2)&lt;&gt;ROUND('SC Change Orders'!$G20,2),  "Original + Added &lt;&gt; Total Line Cost Allotted; ",""),""),""),""),"")&amp;IF(AND(ISNUMBER('SC Change Orders'!$B20),COUNTIFS('SC Change Orders'!$B$2:$B$501,'SC Change Orders'!$B20,'SC Change Orders'!$C$2:$C$501,'SC Change Orders'!$C20,'SC Change Orders'!$D$2:$D$501,'SC Change Orders'!$D20,'SC Change Orders'!$F$2:$F$501,'SC Change Orders'!$F20,'SC Change Orders'!$E$2:$E$501,'SC Change Orders'!$E20)&gt;1),"Duplicate of another row — funds counted twice; ","")&amp;IF(ISNUMBER('SC Change Orders'!$F20),IF('SC Change Orders'!$F20&lt;&gt;0,IF(AND(ISNUMBER('SC Change Orders'!$B20),NOT(COUNTIFS('SC Change Orders'!$B$2:$B$501,'SC Change Orders'!$B20,'SC Change Orders'!$C$2:$C$501,'SC Change Orders'!$C20,'SC Change Orders'!$D$2:$D$501,'SC Change Orders'!$D20,'SC Change Orders'!$F$2:$F$501,'SC Change Orders'!$F20,'SC Change Orders'!$E$2:$E$501,'SC Change Orders'!$E20)&gt;1),COUNTIFS('SC Change Orders'!$B$2:$B$501,'SC Change Orders'!$B20,'SC Change Orders'!$F$2:$F$501,'SC Change Orders'!$F20)&gt;1),  "Same PO and Amount Added as another row — check for a restatement counted twice; ",""),""),""))</f>
        <v/>
      </c>
    </row>
    <row r="39" customFormat="false" ht="15" hidden="false" customHeight="false" outlineLevel="0" collapsed="false">
      <c r="A39" s="18" t="n">
        <f aca="false">IF(AND('SC Change Orders'!$A21="",'SC Change Orders'!$B21="",'SC Change Orders'!$C21=""),"",21)</f>
        <v>21</v>
      </c>
      <c r="B39" s="31" t="str">
        <f aca="false">IF($A39="","",'SC Change Orders'!$A21)</f>
        <v>EPIC ADVISORS GROUP LLC</v>
      </c>
      <c r="C39" s="18" t="n">
        <f aca="false">IF($A39="","",'SC Change Orders'!$B21)</f>
        <v>10138</v>
      </c>
      <c r="D39" s="32" t="n">
        <f aca="false">IF($A39="","",'SC Change Orders'!$C21)</f>
        <v>46227</v>
      </c>
      <c r="E39" s="31" t="n">
        <f aca="false">IF($A39="","",'SC Change Orders'!$D21)</f>
        <v>5</v>
      </c>
      <c r="F39" s="33" t="str">
        <f aca="false">IF($A39="","",'SC Change Orders'!$E21)</f>
        <v>New</v>
      </c>
      <c r="G39" s="33" t="n">
        <f aca="false">IF($A39="","",'SC Change Orders'!$F21)</f>
        <v>137791.5</v>
      </c>
      <c r="H39" s="33" t="n">
        <f aca="false">IF($A39="","",'SC Change Orders'!$G21)</f>
        <v>137791.5</v>
      </c>
      <c r="I39" s="34" t="str">
        <f aca="false">IF($A39="","",IF(AND(ISNUMBER('SC Change Orders'!$C21),'SC Change Orders'!$C21&gt;=Controls!$C$5,'SC Change Orders'!$C21&lt;=Controls!$C$6),"Yes","No"))</f>
        <v>Yes</v>
      </c>
      <c r="J39" s="31" t="str">
        <f aca="false">IF($A39="","",IF($K39="","OK",$K39))</f>
        <v>Original Amount held as text — ignored by MINIFS; </v>
      </c>
      <c r="K39" s="0" t="str">
        <f aca="false">IF($A39="","",IF(NOT(ISNUMBER('SC Change Orders'!$B21)),"PO not numeric — row is invisible to the tracker; ","")&amp;IF(NOT(ISNUMBER('SC Change Orders'!$C21)),"Date missing or text — row excluded; ",  IF(OR('SC Change Orders'!$C21&lt;Controls!$C$5,'SC Change Orders'!$C21&gt;Controls!$C$6),"Dated outside the FY window — excluded; ",""))&amp;IF(AND('SC Change Orders'!$E21&lt;&gt;"",NOT(ISNUMBER('SC Change Orders'!$E21))),"Original Amount held as text — ignored by MINIFS; ","")&amp;IF(AND('SC Change Orders'!$F21&lt;&gt;"",NOT(ISNUMBER('SC Change Orders'!$F21))),"Amount Added held as text — ignored by SUMIFS; ","")&amp;IF(ISNUMBER('SC Change Orders'!$E21),IF(ISNUMBER('SC Change Orders'!$F21),IF(ISNUMBER('SC Change Orders'!$G21),  IF('SC Change Orders'!$G21&gt;0,IF(ROUND('SC Change Orders'!$E21+'SC Change Orders'!$F21,2)&lt;&gt;ROUND('SC Change Orders'!$G21,2),  "Original + Added &lt;&gt; Total Line Cost Allotted; ",""),""),""),""),"")&amp;IF(AND(ISNUMBER('SC Change Orders'!$B21),COUNTIFS('SC Change Orders'!$B$2:$B$501,'SC Change Orders'!$B21,'SC Change Orders'!$C$2:$C$501,'SC Change Orders'!$C21,'SC Change Orders'!$D$2:$D$501,'SC Change Orders'!$D21,'SC Change Orders'!$F$2:$F$501,'SC Change Orders'!$F21,'SC Change Orders'!$E$2:$E$501,'SC Change Orders'!$E21)&gt;1),"Duplicate of another row — funds counted twice; ","")&amp;IF(ISNUMBER('SC Change Orders'!$F21),IF('SC Change Orders'!$F21&lt;&gt;0,IF(AND(ISNUMBER('SC Change Orders'!$B21),NOT(COUNTIFS('SC Change Orders'!$B$2:$B$501,'SC Change Orders'!$B21,'SC Change Orders'!$C$2:$C$501,'SC Change Orders'!$C21,'SC Change Orders'!$D$2:$D$501,'SC Change Orders'!$D21,'SC Change Orders'!$F$2:$F$501,'SC Change Orders'!$F21,'SC Change Orders'!$E$2:$E$501,'SC Change Orders'!$E21)&gt;1),COUNTIFS('SC Change Orders'!$B$2:$B$501,'SC Change Orders'!$B21,'SC Change Orders'!$F$2:$F$501,'SC Change Orders'!$F21)&gt;1),  "Same PO and Amount Added as another row — check for a restatement counted twice; ",""),""),""))</f>
        <v>Original Amount held as text — ignored by MINIFS; </v>
      </c>
    </row>
    <row r="40" customFormat="false" ht="15" hidden="false" customHeight="false" outlineLevel="0" collapsed="false">
      <c r="A40" s="18" t="n">
        <f aca="false">IF(AND('SC Change Orders'!$A22="",'SC Change Orders'!$B22="",'SC Change Orders'!$C22=""),"",22)</f>
        <v>22</v>
      </c>
      <c r="B40" s="31" t="str">
        <f aca="false">IF($A40="","",'SC Change Orders'!$A22)</f>
        <v>EXPERIAN HEALTH</v>
      </c>
      <c r="C40" s="18" t="n">
        <f aca="false">IF($A40="","",'SC Change Orders'!$B22)</f>
        <v>10473</v>
      </c>
      <c r="D40" s="32" t="n">
        <f aca="false">IF($A40="","",'SC Change Orders'!$C22)</f>
        <v>46190</v>
      </c>
      <c r="E40" s="31" t="n">
        <f aca="false">IF($A40="","",'SC Change Orders'!$D22)</f>
        <v>1</v>
      </c>
      <c r="F40" s="33" t="n">
        <f aca="false">IF($A40="","",'SC Change Orders'!$E22)</f>
        <v>1300000</v>
      </c>
      <c r="G40" s="33" t="str">
        <f aca="false">IF($A40="","",'SC Change Orders'!$F22)</f>
        <v>168,00.00</v>
      </c>
      <c r="H40" s="33" t="n">
        <f aca="false">IF($A40="","",'SC Change Orders'!$G22)</f>
        <v>1468000</v>
      </c>
      <c r="I40" s="34" t="str">
        <f aca="false">IF($A40="","",IF(AND(ISNUMBER('SC Change Orders'!$C22),'SC Change Orders'!$C22&gt;=Controls!$C$5,'SC Change Orders'!$C22&lt;=Controls!$C$6),"Yes","No"))</f>
        <v>Yes</v>
      </c>
      <c r="J40" s="31" t="str">
        <f aca="false">IF($A40="","",IF($K40="","OK",$K40))</f>
        <v>Amount Added held as text — ignored by SUMIFS; </v>
      </c>
      <c r="K40" s="0" t="str">
        <f aca="false">IF($A40="","",IF(NOT(ISNUMBER('SC Change Orders'!$B22)),"PO not numeric — row is invisible to the tracker; ","")&amp;IF(NOT(ISNUMBER('SC Change Orders'!$C22)),"Date missing or text — row excluded; ",  IF(OR('SC Change Orders'!$C22&lt;Controls!$C$5,'SC Change Orders'!$C22&gt;Controls!$C$6),"Dated outside the FY window — excluded; ",""))&amp;IF(AND('SC Change Orders'!$E22&lt;&gt;"",NOT(ISNUMBER('SC Change Orders'!$E22))),"Original Amount held as text — ignored by MINIFS; ","")&amp;IF(AND('SC Change Orders'!$F22&lt;&gt;"",NOT(ISNUMBER('SC Change Orders'!$F22))),"Amount Added held as text — ignored by SUMIFS; ","")&amp;IF(ISNUMBER('SC Change Orders'!$E22),IF(ISNUMBER('SC Change Orders'!$F22),IF(ISNUMBER('SC Change Orders'!$G22),  IF('SC Change Orders'!$G22&gt;0,IF(ROUND('SC Change Orders'!$E22+'SC Change Orders'!$F22,2)&lt;&gt;ROUND('SC Change Orders'!$G22,2),  "Original + Added &lt;&gt; Total Line Cost Allotted; ",""),""),""),""),"")&amp;IF(AND(ISNUMBER('SC Change Orders'!$B22),COUNTIFS('SC Change Orders'!$B$2:$B$501,'SC Change Orders'!$B22,'SC Change Orders'!$C$2:$C$501,'SC Change Orders'!$C22,'SC Change Orders'!$D$2:$D$501,'SC Change Orders'!$D22,'SC Change Orders'!$F$2:$F$501,'SC Change Orders'!$F22,'SC Change Orders'!$E$2:$E$501,'SC Change Orders'!$E22)&gt;1),"Duplicate of another row — funds counted twice; ","")&amp;IF(ISNUMBER('SC Change Orders'!$F22),IF('SC Change Orders'!$F22&lt;&gt;0,IF(AND(ISNUMBER('SC Change Orders'!$B22),NOT(COUNTIFS('SC Change Orders'!$B$2:$B$501,'SC Change Orders'!$B22,'SC Change Orders'!$C$2:$C$501,'SC Change Orders'!$C22,'SC Change Orders'!$D$2:$D$501,'SC Change Orders'!$D22,'SC Change Orders'!$F$2:$F$501,'SC Change Orders'!$F22,'SC Change Orders'!$E$2:$E$501,'SC Change Orders'!$E22)&gt;1),COUNTIFS('SC Change Orders'!$B$2:$B$501,'SC Change Orders'!$B22,'SC Change Orders'!$F$2:$F$501,'SC Change Orders'!$F22)&gt;1),  "Same PO and Amount Added as another row — check for a restatement counted twice; ",""),""),""))</f>
        <v>Amount Added held as text — ignored by SUMIFS; </v>
      </c>
    </row>
    <row r="41" customFormat="false" ht="15" hidden="false" customHeight="false" outlineLevel="0" collapsed="false">
      <c r="A41" s="18" t="n">
        <f aca="false">IF(AND('SC Change Orders'!$A23="",'SC Change Orders'!$B23="",'SC Change Orders'!$C23=""),"",23)</f>
        <v>23</v>
      </c>
      <c r="B41" s="31" t="str">
        <f aca="false">IF($A41="","",'SC Change Orders'!$A23)</f>
        <v>EXPERIAN HEALTH</v>
      </c>
      <c r="C41" s="18" t="n">
        <f aca="false">IF($A41="","",'SC Change Orders'!$B23)</f>
        <v>10473</v>
      </c>
      <c r="D41" s="32" t="n">
        <f aca="false">IF($A41="","",'SC Change Orders'!$C23)</f>
        <v>46220</v>
      </c>
      <c r="E41" s="31" t="n">
        <f aca="false">IF($A41="","",'SC Change Orders'!$D23)</f>
        <v>1</v>
      </c>
      <c r="F41" s="33" t="n">
        <f aca="false">IF($A41="","",'SC Change Orders'!$E23)</f>
        <v>1468000</v>
      </c>
      <c r="G41" s="33" t="n">
        <f aca="false">IF($A41="","",'SC Change Orders'!$F23)</f>
        <v>71000</v>
      </c>
      <c r="H41" s="33" t="n">
        <f aca="false">IF($A41="","",'SC Change Orders'!$G23)</f>
        <v>1539000</v>
      </c>
      <c r="I41" s="34" t="str">
        <f aca="false">IF($A41="","",IF(AND(ISNUMBER('SC Change Orders'!$C23),'SC Change Orders'!$C23&gt;=Controls!$C$5,'SC Change Orders'!$C23&lt;=Controls!$C$6),"Yes","No"))</f>
        <v>Yes</v>
      </c>
      <c r="J41" s="31" t="str">
        <f aca="false">IF($A41="","",IF($K41="","OK",$K41))</f>
        <v>OK</v>
      </c>
      <c r="K41" s="0" t="str">
        <f aca="false">IF($A41="","",IF(NOT(ISNUMBER('SC Change Orders'!$B23)),"PO not numeric — row is invisible to the tracker; ","")&amp;IF(NOT(ISNUMBER('SC Change Orders'!$C23)),"Date missing or text — row excluded; ",  IF(OR('SC Change Orders'!$C23&lt;Controls!$C$5,'SC Change Orders'!$C23&gt;Controls!$C$6),"Dated outside the FY window — excluded; ",""))&amp;IF(AND('SC Change Orders'!$E23&lt;&gt;"",NOT(ISNUMBER('SC Change Orders'!$E23))),"Original Amount held as text — ignored by MINIFS; ","")&amp;IF(AND('SC Change Orders'!$F23&lt;&gt;"",NOT(ISNUMBER('SC Change Orders'!$F23))),"Amount Added held as text — ignored by SUMIFS; ","")&amp;IF(ISNUMBER('SC Change Orders'!$E23),IF(ISNUMBER('SC Change Orders'!$F23),IF(ISNUMBER('SC Change Orders'!$G23),  IF('SC Change Orders'!$G23&gt;0,IF(ROUND('SC Change Orders'!$E23+'SC Change Orders'!$F23,2)&lt;&gt;ROUND('SC Change Orders'!$G23,2),  "Original + Added &lt;&gt; Total Line Cost Allotted; ",""),""),""),""),"")&amp;IF(AND(ISNUMBER('SC Change Orders'!$B23),COUNTIFS('SC Change Orders'!$B$2:$B$501,'SC Change Orders'!$B23,'SC Change Orders'!$C$2:$C$501,'SC Change Orders'!$C23,'SC Change Orders'!$D$2:$D$501,'SC Change Orders'!$D23,'SC Change Orders'!$F$2:$F$501,'SC Change Orders'!$F23,'SC Change Orders'!$E$2:$E$501,'SC Change Orders'!$E23)&gt;1),"Duplicate of another row — funds counted twice; ","")&amp;IF(ISNUMBER('SC Change Orders'!$F23),IF('SC Change Orders'!$F23&lt;&gt;0,IF(AND(ISNUMBER('SC Change Orders'!$B23),NOT(COUNTIFS('SC Change Orders'!$B$2:$B$501,'SC Change Orders'!$B23,'SC Change Orders'!$C$2:$C$501,'SC Change Orders'!$C23,'SC Change Orders'!$D$2:$D$501,'SC Change Orders'!$D23,'SC Change Orders'!$F$2:$F$501,'SC Change Orders'!$F23,'SC Change Orders'!$E$2:$E$501,'SC Change Orders'!$E23)&gt;1),COUNTIFS('SC Change Orders'!$B$2:$B$501,'SC Change Orders'!$B23,'SC Change Orders'!$F$2:$F$501,'SC Change Orders'!$F23)&gt;1),  "Same PO and Amount Added as another row — check for a restatement counted twice; ",""),""),""))</f>
        <v/>
      </c>
    </row>
    <row r="42" customFormat="false" ht="15" hidden="false" customHeight="false" outlineLevel="0" collapsed="false">
      <c r="A42" s="18" t="n">
        <f aca="false">IF(AND('SC Change Orders'!$A24="",'SC Change Orders'!$B24="",'SC Change Orders'!$C24=""),"",24)</f>
        <v>24</v>
      </c>
      <c r="B42" s="31" t="str">
        <f aca="false">IF($A42="","",'SC Change Orders'!$A24)</f>
        <v>EXPERIAN HEALTH</v>
      </c>
      <c r="C42" s="18" t="n">
        <f aca="false">IF($A42="","",'SC Change Orders'!$B24)</f>
        <v>10473</v>
      </c>
      <c r="D42" s="32" t="n">
        <f aca="false">IF($A42="","",'SC Change Orders'!$C24)</f>
        <v>46244</v>
      </c>
      <c r="E42" s="31" t="str">
        <f aca="false">IF($A42="","",'SC Change Orders'!$D24)</f>
        <v>3 FY 2027</v>
      </c>
      <c r="F42" s="33" t="n">
        <f aca="false">IF($A42="","",'SC Change Orders'!$E24)</f>
        <v>0</v>
      </c>
      <c r="G42" s="33" t="n">
        <f aca="false">IF($A42="","",'SC Change Orders'!$F24)</f>
        <v>0</v>
      </c>
      <c r="H42" s="33" t="n">
        <f aca="false">IF($A42="","",'SC Change Orders'!$G24)</f>
        <v>0</v>
      </c>
      <c r="I42" s="34" t="str">
        <f aca="false">IF($A42="","",IF(AND(ISNUMBER('SC Change Orders'!$C24),'SC Change Orders'!$C24&gt;=Controls!$C$5,'SC Change Orders'!$C24&lt;=Controls!$C$6),"Yes","No"))</f>
        <v>Yes</v>
      </c>
      <c r="J42" s="31" t="str">
        <f aca="false">IF($A42="","",IF($K42="","OK",$K42))</f>
        <v>OK</v>
      </c>
      <c r="K42" s="0" t="str">
        <f aca="false">IF($A42="","",IF(NOT(ISNUMBER('SC Change Orders'!$B24)),"PO not numeric — row is invisible to the tracker; ","")&amp;IF(NOT(ISNUMBER('SC Change Orders'!$C24)),"Date missing or text — row excluded; ",  IF(OR('SC Change Orders'!$C24&lt;Controls!$C$5,'SC Change Orders'!$C24&gt;Controls!$C$6),"Dated outside the FY window — excluded; ",""))&amp;IF(AND('SC Change Orders'!$E24&lt;&gt;"",NOT(ISNUMBER('SC Change Orders'!$E24))),"Original Amount held as text — ignored by MINIFS; ","")&amp;IF(AND('SC Change Orders'!$F24&lt;&gt;"",NOT(ISNUMBER('SC Change Orders'!$F24))),"Amount Added held as text — ignored by SUMIFS; ","")&amp;IF(ISNUMBER('SC Change Orders'!$E24),IF(ISNUMBER('SC Change Orders'!$F24),IF(ISNUMBER('SC Change Orders'!$G24),  IF('SC Change Orders'!$G24&gt;0,IF(ROUND('SC Change Orders'!$E24+'SC Change Orders'!$F24,2)&lt;&gt;ROUND('SC Change Orders'!$G24,2),  "Original + Added &lt;&gt; Total Line Cost Allotted; ",""),""),""),""),"")&amp;IF(AND(ISNUMBER('SC Change Orders'!$B24),COUNTIFS('SC Change Orders'!$B$2:$B$501,'SC Change Orders'!$B24,'SC Change Orders'!$C$2:$C$501,'SC Change Orders'!$C24,'SC Change Orders'!$D$2:$D$501,'SC Change Orders'!$D24,'SC Change Orders'!$F$2:$F$501,'SC Change Orders'!$F24,'SC Change Orders'!$E$2:$E$501,'SC Change Orders'!$E24)&gt;1),"Duplicate of another row — funds counted twice; ","")&amp;IF(ISNUMBER('SC Change Orders'!$F24),IF('SC Change Orders'!$F24&lt;&gt;0,IF(AND(ISNUMBER('SC Change Orders'!$B24),NOT(COUNTIFS('SC Change Orders'!$B$2:$B$501,'SC Change Orders'!$B24,'SC Change Orders'!$C$2:$C$501,'SC Change Orders'!$C24,'SC Change Orders'!$D$2:$D$501,'SC Change Orders'!$D24,'SC Change Orders'!$F$2:$F$501,'SC Change Orders'!$F24,'SC Change Orders'!$E$2:$E$501,'SC Change Orders'!$E24)&gt;1),COUNTIFS('SC Change Orders'!$B$2:$B$501,'SC Change Orders'!$B24,'SC Change Orders'!$F$2:$F$501,'SC Change Orders'!$F24)&gt;1),  "Same PO and Amount Added as another row — check for a restatement counted twice; ",""),""),""))</f>
        <v/>
      </c>
    </row>
    <row r="43" customFormat="false" ht="15" hidden="false" customHeight="false" outlineLevel="0" collapsed="false">
      <c r="A43" s="18" t="n">
        <f aca="false">IF(AND('SC Change Orders'!$A25="",'SC Change Orders'!$B25="",'SC Change Orders'!$C25=""),"",25)</f>
        <v>25</v>
      </c>
      <c r="B43" s="31" t="str">
        <f aca="false">IF($A43="","",'SC Change Orders'!$A25)</f>
        <v>EXPERIAN HEALTH</v>
      </c>
      <c r="C43" s="18" t="n">
        <f aca="false">IF($A43="","",'SC Change Orders'!$B25)</f>
        <v>10473</v>
      </c>
      <c r="D43" s="32" t="n">
        <f aca="false">IF($A43="","",'SC Change Orders'!$C25)</f>
        <v>46248</v>
      </c>
      <c r="E43" s="31" t="str">
        <f aca="false">IF($A43="","",'SC Change Orders'!$D25)</f>
        <v>FY26</v>
      </c>
      <c r="F43" s="33" t="n">
        <f aca="false">IF($A43="","",'SC Change Orders'!$E25)</f>
        <v>1539000</v>
      </c>
      <c r="G43" s="33" t="n">
        <f aca="false">IF($A43="","",'SC Change Orders'!$F25)</f>
        <v>63000</v>
      </c>
      <c r="H43" s="33" t="n">
        <f aca="false">IF($A43="","",'SC Change Orders'!$G25)</f>
        <v>1602000</v>
      </c>
      <c r="I43" s="34" t="str">
        <f aca="false">IF($A43="","",IF(AND(ISNUMBER('SC Change Orders'!$C25),'SC Change Orders'!$C25&gt;=Controls!$C$5,'SC Change Orders'!$C25&lt;=Controls!$C$6),"Yes","No"))</f>
        <v>Yes</v>
      </c>
      <c r="J43" s="31" t="str">
        <f aca="false">IF($A43="","",IF($K43="","OK",$K43))</f>
        <v>OK</v>
      </c>
      <c r="K43" s="0" t="str">
        <f aca="false">IF($A43="","",IF(NOT(ISNUMBER('SC Change Orders'!$B25)),"PO not numeric — row is invisible to the tracker; ","")&amp;IF(NOT(ISNUMBER('SC Change Orders'!$C25)),"Date missing or text — row excluded; ",  IF(OR('SC Change Orders'!$C25&lt;Controls!$C$5,'SC Change Orders'!$C25&gt;Controls!$C$6),"Dated outside the FY window — excluded; ",""))&amp;IF(AND('SC Change Orders'!$E25&lt;&gt;"",NOT(ISNUMBER('SC Change Orders'!$E25))),"Original Amount held as text — ignored by MINIFS; ","")&amp;IF(AND('SC Change Orders'!$F25&lt;&gt;"",NOT(ISNUMBER('SC Change Orders'!$F25))),"Amount Added held as text — ignored by SUMIFS; ","")&amp;IF(ISNUMBER('SC Change Orders'!$E25),IF(ISNUMBER('SC Change Orders'!$F25),IF(ISNUMBER('SC Change Orders'!$G25),  IF('SC Change Orders'!$G25&gt;0,IF(ROUND('SC Change Orders'!$E25+'SC Change Orders'!$F25,2)&lt;&gt;ROUND('SC Change Orders'!$G25,2),  "Original + Added &lt;&gt; Total Line Cost Allotted; ",""),""),""),""),"")&amp;IF(AND(ISNUMBER('SC Change Orders'!$B25),COUNTIFS('SC Change Orders'!$B$2:$B$501,'SC Change Orders'!$B25,'SC Change Orders'!$C$2:$C$501,'SC Change Orders'!$C25,'SC Change Orders'!$D$2:$D$501,'SC Change Orders'!$D25,'SC Change Orders'!$F$2:$F$501,'SC Change Orders'!$F25,'SC Change Orders'!$E$2:$E$501,'SC Change Orders'!$E25)&gt;1),"Duplicate of another row — funds counted twice; ","")&amp;IF(ISNUMBER('SC Change Orders'!$F25),IF('SC Change Orders'!$F25&lt;&gt;0,IF(AND(ISNUMBER('SC Change Orders'!$B25),NOT(COUNTIFS('SC Change Orders'!$B$2:$B$501,'SC Change Orders'!$B25,'SC Change Orders'!$C$2:$C$501,'SC Change Orders'!$C25,'SC Change Orders'!$D$2:$D$501,'SC Change Orders'!$D25,'SC Change Orders'!$F$2:$F$501,'SC Change Orders'!$F25,'SC Change Orders'!$E$2:$E$501,'SC Change Orders'!$E25)&gt;1),COUNTIFS('SC Change Orders'!$B$2:$B$501,'SC Change Orders'!$B25,'SC Change Orders'!$F$2:$F$501,'SC Change Orders'!$F25)&gt;1),  "Same PO and Amount Added as another row — check for a restatement counted twice; ",""),""),""))</f>
        <v/>
      </c>
    </row>
    <row r="44" customFormat="false" ht="15" hidden="false" customHeight="false" outlineLevel="0" collapsed="false">
      <c r="A44" s="18" t="n">
        <f aca="false">IF(AND('SC Change Orders'!$A26="",'SC Change Orders'!$B26="",'SC Change Orders'!$C26=""),"",26)</f>
        <v>26</v>
      </c>
      <c r="B44" s="31" t="str">
        <f aca="false">IF($A44="","",'SC Change Orders'!$A26)</f>
        <v>EXPERIAN HEALTH</v>
      </c>
      <c r="C44" s="18" t="n">
        <f aca="false">IF($A44="","",'SC Change Orders'!$B26)</f>
        <v>10473</v>
      </c>
      <c r="D44" s="32" t="n">
        <f aca="false">IF($A44="","",'SC Change Orders'!$C26)</f>
        <v>46254</v>
      </c>
      <c r="E44" s="31" t="str">
        <f aca="false">IF($A44="","",'SC Change Orders'!$D26)</f>
        <v>Monthly Costs</v>
      </c>
      <c r="F44" s="33" t="n">
        <f aca="false">IF($A44="","",'SC Change Orders'!$E26)</f>
        <v>1602000</v>
      </c>
      <c r="G44" s="33" t="n">
        <f aca="false">IF($A44="","",'SC Change Orders'!$F26)</f>
        <v>374790</v>
      </c>
      <c r="H44" s="33" t="n">
        <f aca="false">IF($A44="","",'SC Change Orders'!$G26)</f>
        <v>1976790</v>
      </c>
      <c r="I44" s="34" t="str">
        <f aca="false">IF($A44="","",IF(AND(ISNUMBER('SC Change Orders'!$C26),'SC Change Orders'!$C26&gt;=Controls!$C$5,'SC Change Orders'!$C26&lt;=Controls!$C$6),"Yes","No"))</f>
        <v>Yes</v>
      </c>
      <c r="J44" s="31" t="str">
        <f aca="false">IF($A44="","",IF($K44="","OK",$K44))</f>
        <v>OK</v>
      </c>
      <c r="K44" s="0" t="str">
        <f aca="false">IF($A44="","",IF(NOT(ISNUMBER('SC Change Orders'!$B26)),"PO not numeric — row is invisible to the tracker; ","")&amp;IF(NOT(ISNUMBER('SC Change Orders'!$C26)),"Date missing or text — row excluded; ",  IF(OR('SC Change Orders'!$C26&lt;Controls!$C$5,'SC Change Orders'!$C26&gt;Controls!$C$6),"Dated outside the FY window — excluded; ",""))&amp;IF(AND('SC Change Orders'!$E26&lt;&gt;"",NOT(ISNUMBER('SC Change Orders'!$E26))),"Original Amount held as text — ignored by MINIFS; ","")&amp;IF(AND('SC Change Orders'!$F26&lt;&gt;"",NOT(ISNUMBER('SC Change Orders'!$F26))),"Amount Added held as text — ignored by SUMIFS; ","")&amp;IF(ISNUMBER('SC Change Orders'!$E26),IF(ISNUMBER('SC Change Orders'!$F26),IF(ISNUMBER('SC Change Orders'!$G26),  IF('SC Change Orders'!$G26&gt;0,IF(ROUND('SC Change Orders'!$E26+'SC Change Orders'!$F26,2)&lt;&gt;ROUND('SC Change Orders'!$G26,2),  "Original + Added &lt;&gt; Total Line Cost Allotted; ",""),""),""),""),"")&amp;IF(AND(ISNUMBER('SC Change Orders'!$B26),COUNTIFS('SC Change Orders'!$B$2:$B$501,'SC Change Orders'!$B26,'SC Change Orders'!$C$2:$C$501,'SC Change Orders'!$C26,'SC Change Orders'!$D$2:$D$501,'SC Change Orders'!$D26,'SC Change Orders'!$F$2:$F$501,'SC Change Orders'!$F26,'SC Change Orders'!$E$2:$E$501,'SC Change Orders'!$E26)&gt;1),"Duplicate of another row — funds counted twice; ","")&amp;IF(ISNUMBER('SC Change Orders'!$F26),IF('SC Change Orders'!$F26&lt;&gt;0,IF(AND(ISNUMBER('SC Change Orders'!$B26),NOT(COUNTIFS('SC Change Orders'!$B$2:$B$501,'SC Change Orders'!$B26,'SC Change Orders'!$C$2:$C$501,'SC Change Orders'!$C26,'SC Change Orders'!$D$2:$D$501,'SC Change Orders'!$D26,'SC Change Orders'!$F$2:$F$501,'SC Change Orders'!$F26,'SC Change Orders'!$E$2:$E$501,'SC Change Orders'!$E26)&gt;1),COUNTIFS('SC Change Orders'!$B$2:$B$501,'SC Change Orders'!$B26,'SC Change Orders'!$F$2:$F$501,'SC Change Orders'!$F26)&gt;1),  "Same PO and Amount Added as another row — check for a restatement counted twice; ",""),""),""))</f>
        <v/>
      </c>
    </row>
    <row r="45" customFormat="false" ht="15" hidden="false" customHeight="false" outlineLevel="0" collapsed="false">
      <c r="A45" s="18" t="n">
        <f aca="false">IF(AND('SC Change Orders'!$A27="",'SC Change Orders'!$B27="",'SC Change Orders'!$C27=""),"",27)</f>
        <v>27</v>
      </c>
      <c r="B45" s="31" t="str">
        <f aca="false">IF($A45="","",'SC Change Orders'!$A27)</f>
        <v>FINTHRIVE HEALTHCARE INC</v>
      </c>
      <c r="C45" s="18" t="str">
        <f aca="false">IF($A45="","",'SC Change Orders'!$B27)</f>
        <v>TBD</v>
      </c>
      <c r="D45" s="32" t="str">
        <f aca="false">IF($A45="","",'SC Change Orders'!$C27)</f>
        <v>TBD</v>
      </c>
      <c r="E45" s="31" t="str">
        <f aca="false">IF($A45="","",'SC Change Orders'!$D27)</f>
        <v>New</v>
      </c>
      <c r="F45" s="33" t="n">
        <f aca="false">IF($A45="","",'SC Change Orders'!$E27)</f>
        <v>0</v>
      </c>
      <c r="G45" s="33" t="n">
        <f aca="false">IF($A45="","",'SC Change Orders'!$F27)</f>
        <v>0</v>
      </c>
      <c r="H45" s="33" t="n">
        <f aca="false">IF($A45="","",'SC Change Orders'!$G27)</f>
        <v>0</v>
      </c>
      <c r="I45" s="34" t="str">
        <f aca="false">IF($A45="","",IF(AND(ISNUMBER('SC Change Orders'!$C27),'SC Change Orders'!$C27&gt;=Controls!$C$5,'SC Change Orders'!$C27&lt;=Controls!$C$6),"Yes","No"))</f>
        <v>No</v>
      </c>
      <c r="J45" s="31" t="str">
        <f aca="false">IF($A45="","",IF($K45="","OK",$K45))</f>
        <v>PO not numeric — row is invisible to the tracker; Date missing or text — row excluded; </v>
      </c>
      <c r="K45" s="0" t="str">
        <f aca="false">IF($A45="","",IF(NOT(ISNUMBER('SC Change Orders'!$B27)),"PO not numeric — row is invisible to the tracker; ","")&amp;IF(NOT(ISNUMBER('SC Change Orders'!$C27)),"Date missing or text — row excluded; ",  IF(OR('SC Change Orders'!$C27&lt;Controls!$C$5,'SC Change Orders'!$C27&gt;Controls!$C$6),"Dated outside the FY window — excluded; ",""))&amp;IF(AND('SC Change Orders'!$E27&lt;&gt;"",NOT(ISNUMBER('SC Change Orders'!$E27))),"Original Amount held as text — ignored by MINIFS; ","")&amp;IF(AND('SC Change Orders'!$F27&lt;&gt;"",NOT(ISNUMBER('SC Change Orders'!$F27))),"Amount Added held as text — ignored by SUMIFS; ","")&amp;IF(ISNUMBER('SC Change Orders'!$E27),IF(ISNUMBER('SC Change Orders'!$F27),IF(ISNUMBER('SC Change Orders'!$G27),  IF('SC Change Orders'!$G27&gt;0,IF(ROUND('SC Change Orders'!$E27+'SC Change Orders'!$F27,2)&lt;&gt;ROUND('SC Change Orders'!$G27,2),  "Original + Added &lt;&gt; Total Line Cost Allotted; ",""),""),""),""),"")&amp;IF(AND(ISNUMBER('SC Change Orders'!$B27),COUNTIFS('SC Change Orders'!$B$2:$B$501,'SC Change Orders'!$B27,'SC Change Orders'!$C$2:$C$501,'SC Change Orders'!$C27,'SC Change Orders'!$D$2:$D$501,'SC Change Orders'!$D27,'SC Change Orders'!$F$2:$F$501,'SC Change Orders'!$F27,'SC Change Orders'!$E$2:$E$501,'SC Change Orders'!$E27)&gt;1),"Duplicate of another row — funds counted twice; ","")&amp;IF(ISNUMBER('SC Change Orders'!$F27),IF('SC Change Orders'!$F27&lt;&gt;0,IF(AND(ISNUMBER('SC Change Orders'!$B27),NOT(COUNTIFS('SC Change Orders'!$B$2:$B$501,'SC Change Orders'!$B27,'SC Change Orders'!$C$2:$C$501,'SC Change Orders'!$C27,'SC Change Orders'!$D$2:$D$501,'SC Change Orders'!$D27,'SC Change Orders'!$F$2:$F$501,'SC Change Orders'!$F27,'SC Change Orders'!$E$2:$E$501,'SC Change Orders'!$E27)&gt;1),COUNTIFS('SC Change Orders'!$B$2:$B$501,'SC Change Orders'!$B27,'SC Change Orders'!$F$2:$F$501,'SC Change Orders'!$F27)&gt;1),  "Same PO and Amount Added as another row — check for a restatement counted twice; ",""),""),""))</f>
        <v>PO not numeric — row is invisible to the tracker; Date missing or text — row excluded; </v>
      </c>
    </row>
    <row r="46" customFormat="false" ht="15" hidden="false" customHeight="false" outlineLevel="0" collapsed="false">
      <c r="A46" s="18" t="n">
        <f aca="false">IF(AND('SC Change Orders'!$A28="",'SC Change Orders'!$B28="",'SC Change Orders'!$C28=""),"",28)</f>
        <v>28</v>
      </c>
      <c r="B46" s="31" t="str">
        <f aca="false">IF($A46="","",'SC Change Orders'!$A28)</f>
        <v>GUIDEHOUSE INC</v>
      </c>
      <c r="C46" s="18" t="n">
        <f aca="false">IF($A46="","",'SC Change Orders'!$B28)</f>
        <v>10782</v>
      </c>
      <c r="D46" s="32" t="n">
        <f aca="false">IF($A46="","",'SC Change Orders'!$C28)</f>
        <v>46210</v>
      </c>
      <c r="E46" s="31" t="str">
        <f aca="false">IF($A46="","",'SC Change Orders'!$D28)</f>
        <v>Coding</v>
      </c>
      <c r="F46" s="33" t="n">
        <f aca="false">IF($A46="","",'SC Change Orders'!$E28)</f>
        <v>288447</v>
      </c>
      <c r="G46" s="33" t="n">
        <f aca="false">IF($A46="","",'SC Change Orders'!$F28)</f>
        <v>271067.69</v>
      </c>
      <c r="H46" s="33" t="n">
        <f aca="false">IF($A46="","",'SC Change Orders'!$G28)</f>
        <v>559514.69</v>
      </c>
      <c r="I46" s="34" t="str">
        <f aca="false">IF($A46="","",IF(AND(ISNUMBER('SC Change Orders'!$C28),'SC Change Orders'!$C28&gt;=Controls!$C$5,'SC Change Orders'!$C28&lt;=Controls!$C$6),"Yes","No"))</f>
        <v>Yes</v>
      </c>
      <c r="J46" s="31" t="str">
        <f aca="false">IF($A46="","",IF($K46="","OK",$K46))</f>
        <v>Same PO and Amount Added as another row — check for a restatement counted twice; </v>
      </c>
      <c r="K46" s="0" t="str">
        <f aca="false">IF($A46="","",IF(NOT(ISNUMBER('SC Change Orders'!$B28)),"PO not numeric — row is invisible to the tracker; ","")&amp;IF(NOT(ISNUMBER('SC Change Orders'!$C28)),"Date missing or text — row excluded; ",  IF(OR('SC Change Orders'!$C28&lt;Controls!$C$5,'SC Change Orders'!$C28&gt;Controls!$C$6),"Dated outside the FY window — excluded; ",""))&amp;IF(AND('SC Change Orders'!$E28&lt;&gt;"",NOT(ISNUMBER('SC Change Orders'!$E28))),"Original Amount held as text — ignored by MINIFS; ","")&amp;IF(AND('SC Change Orders'!$F28&lt;&gt;"",NOT(ISNUMBER('SC Change Orders'!$F28))),"Amount Added held as text — ignored by SUMIFS; ","")&amp;IF(ISNUMBER('SC Change Orders'!$E28),IF(ISNUMBER('SC Change Orders'!$F28),IF(ISNUMBER('SC Change Orders'!$G28),  IF('SC Change Orders'!$G28&gt;0,IF(ROUND('SC Change Orders'!$E28+'SC Change Orders'!$F28,2)&lt;&gt;ROUND('SC Change Orders'!$G28,2),  "Original + Added &lt;&gt; Total Line Cost Allotted; ",""),""),""),""),"")&amp;IF(AND(ISNUMBER('SC Change Orders'!$B28),COUNTIFS('SC Change Orders'!$B$2:$B$501,'SC Change Orders'!$B28,'SC Change Orders'!$C$2:$C$501,'SC Change Orders'!$C28,'SC Change Orders'!$D$2:$D$501,'SC Change Orders'!$D28,'SC Change Orders'!$F$2:$F$501,'SC Change Orders'!$F28,'SC Change Orders'!$E$2:$E$501,'SC Change Orders'!$E28)&gt;1),"Duplicate of another row — funds counted twice; ","")&amp;IF(ISNUMBER('SC Change Orders'!$F28),IF('SC Change Orders'!$F28&lt;&gt;0,IF(AND(ISNUMBER('SC Change Orders'!$B28),NOT(COUNTIFS('SC Change Orders'!$B$2:$B$501,'SC Change Orders'!$B28,'SC Change Orders'!$C$2:$C$501,'SC Change Orders'!$C28,'SC Change Orders'!$D$2:$D$501,'SC Change Orders'!$D28,'SC Change Orders'!$F$2:$F$501,'SC Change Orders'!$F28,'SC Change Orders'!$E$2:$E$501,'SC Change Orders'!$E28)&gt;1),COUNTIFS('SC Change Orders'!$B$2:$B$501,'SC Change Orders'!$B28,'SC Change Orders'!$F$2:$F$501,'SC Change Orders'!$F28)&gt;1),  "Same PO and Amount Added as another row — check for a restatement counted twice; ",""),""),""))</f>
        <v>Same PO and Amount Added as another row — check for a restatement counted twice; </v>
      </c>
    </row>
    <row r="47" customFormat="false" ht="15" hidden="false" customHeight="false" outlineLevel="0" collapsed="false">
      <c r="A47" s="18" t="n">
        <f aca="false">IF(AND('SC Change Orders'!$A29="",'SC Change Orders'!$B29="",'SC Change Orders'!$C29=""),"",29)</f>
        <v>29</v>
      </c>
      <c r="B47" s="31" t="str">
        <f aca="false">IF($A47="","",'SC Change Orders'!$A29)</f>
        <v>GUIDEHOUSE INC</v>
      </c>
      <c r="C47" s="18" t="n">
        <f aca="false">IF($A47="","",'SC Change Orders'!$B29)</f>
        <v>10782</v>
      </c>
      <c r="D47" s="32" t="n">
        <f aca="false">IF($A47="","",'SC Change Orders'!$C29)</f>
        <v>46226</v>
      </c>
      <c r="E47" s="31" t="n">
        <f aca="false">IF($A47="","",'SC Change Orders'!$D29)</f>
        <v>1</v>
      </c>
      <c r="F47" s="33" t="n">
        <f aca="false">IF($A47="","",'SC Change Orders'!$E29)</f>
        <v>559514.69</v>
      </c>
      <c r="G47" s="33" t="n">
        <f aca="false">IF($A47="","",'SC Change Orders'!$F29)</f>
        <v>148112.5</v>
      </c>
      <c r="H47" s="33" t="n">
        <f aca="false">IF($A47="","",'SC Change Orders'!$G29)</f>
        <v>707626.94</v>
      </c>
      <c r="I47" s="34" t="str">
        <f aca="false">IF($A47="","",IF(AND(ISNUMBER('SC Change Orders'!$C29),'SC Change Orders'!$C29&gt;=Controls!$C$5,'SC Change Orders'!$C29&lt;=Controls!$C$6),"Yes","No"))</f>
        <v>Yes</v>
      </c>
      <c r="J47" s="31" t="str">
        <f aca="false">IF($A47="","",IF($K47="","OK",$K47))</f>
        <v>Original + Added &lt;&gt; Total Line Cost Allotted; </v>
      </c>
      <c r="K47" s="0" t="str">
        <f aca="false">IF($A47="","",IF(NOT(ISNUMBER('SC Change Orders'!$B29)),"PO not numeric — row is invisible to the tracker; ","")&amp;IF(NOT(ISNUMBER('SC Change Orders'!$C29)),"Date missing or text — row excluded; ",  IF(OR('SC Change Orders'!$C29&lt;Controls!$C$5,'SC Change Orders'!$C29&gt;Controls!$C$6),"Dated outside the FY window — excluded; ",""))&amp;IF(AND('SC Change Orders'!$E29&lt;&gt;"",NOT(ISNUMBER('SC Change Orders'!$E29))),"Original Amount held as text — ignored by MINIFS; ","")&amp;IF(AND('SC Change Orders'!$F29&lt;&gt;"",NOT(ISNUMBER('SC Change Orders'!$F29))),"Amount Added held as text — ignored by SUMIFS; ","")&amp;IF(ISNUMBER('SC Change Orders'!$E29),IF(ISNUMBER('SC Change Orders'!$F29),IF(ISNUMBER('SC Change Orders'!$G29),  IF('SC Change Orders'!$G29&gt;0,IF(ROUND('SC Change Orders'!$E29+'SC Change Orders'!$F29,2)&lt;&gt;ROUND('SC Change Orders'!$G29,2),  "Original + Added &lt;&gt; Total Line Cost Allotted; ",""),""),""),""),"")&amp;IF(AND(ISNUMBER('SC Change Orders'!$B29),COUNTIFS('SC Change Orders'!$B$2:$B$501,'SC Change Orders'!$B29,'SC Change Orders'!$C$2:$C$501,'SC Change Orders'!$C29,'SC Change Orders'!$D$2:$D$501,'SC Change Orders'!$D29,'SC Change Orders'!$F$2:$F$501,'SC Change Orders'!$F29,'SC Change Orders'!$E$2:$E$501,'SC Change Orders'!$E29)&gt;1),"Duplicate of another row — funds counted twice; ","")&amp;IF(ISNUMBER('SC Change Orders'!$F29),IF('SC Change Orders'!$F29&lt;&gt;0,IF(AND(ISNUMBER('SC Change Orders'!$B29),NOT(COUNTIFS('SC Change Orders'!$B$2:$B$501,'SC Change Orders'!$B29,'SC Change Orders'!$C$2:$C$501,'SC Change Orders'!$C29,'SC Change Orders'!$D$2:$D$501,'SC Change Orders'!$D29,'SC Change Orders'!$F$2:$F$501,'SC Change Orders'!$F29,'SC Change Orders'!$E$2:$E$501,'SC Change Orders'!$E29)&gt;1),COUNTIFS('SC Change Orders'!$B$2:$B$501,'SC Change Orders'!$B29,'SC Change Orders'!$F$2:$F$501,'SC Change Orders'!$F29)&gt;1),  "Same PO and Amount Added as another row — check for a restatement counted twice; ",""),""),""))</f>
        <v>Original + Added &lt;&gt; Total Line Cost Allotted; </v>
      </c>
    </row>
    <row r="48" customFormat="false" ht="15" hidden="false" customHeight="false" outlineLevel="0" collapsed="false">
      <c r="A48" s="18" t="n">
        <f aca="false">IF(AND('SC Change Orders'!$A30="",'SC Change Orders'!$B30="",'SC Change Orders'!$C30=""),"",30)</f>
        <v>30</v>
      </c>
      <c r="B48" s="31" t="str">
        <f aca="false">IF($A48="","",'SC Change Orders'!$A30)</f>
        <v>GUIDEHOUSE INC</v>
      </c>
      <c r="C48" s="18" t="n">
        <f aca="false">IF($A48="","",'SC Change Orders'!$B30)</f>
        <v>10783</v>
      </c>
      <c r="D48" s="32" t="n">
        <f aca="false">IF($A48="","",'SC Change Orders'!$C30)</f>
        <v>46226</v>
      </c>
      <c r="E48" s="31" t="n">
        <f aca="false">IF($A48="","",'SC Change Orders'!$D30)</f>
        <v>1</v>
      </c>
      <c r="F48" s="33" t="n">
        <f aca="false">IF($A48="","",'SC Change Orders'!$E30)</f>
        <v>47625</v>
      </c>
      <c r="G48" s="33" t="n">
        <f aca="false">IF($A48="","",'SC Change Orders'!$F30)</f>
        <v>35181.25</v>
      </c>
      <c r="H48" s="33" t="n">
        <f aca="false">IF($A48="","",'SC Change Orders'!$G30)</f>
        <v>82806.25</v>
      </c>
      <c r="I48" s="34" t="str">
        <f aca="false">IF($A48="","",IF(AND(ISNUMBER('SC Change Orders'!$C30),'SC Change Orders'!$C30&gt;=Controls!$C$5,'SC Change Orders'!$C30&lt;=Controls!$C$6),"Yes","No"))</f>
        <v>Yes</v>
      </c>
      <c r="J48" s="31" t="str">
        <f aca="false">IF($A48="","",IF($K48="","OK",$K48))</f>
        <v>OK</v>
      </c>
      <c r="K48" s="0" t="str">
        <f aca="false">IF($A48="","",IF(NOT(ISNUMBER('SC Change Orders'!$B30)),"PO not numeric — row is invisible to the tracker; ","")&amp;IF(NOT(ISNUMBER('SC Change Orders'!$C30)),"Date missing or text — row excluded; ",  IF(OR('SC Change Orders'!$C30&lt;Controls!$C$5,'SC Change Orders'!$C30&gt;Controls!$C$6),"Dated outside the FY window — excluded; ",""))&amp;IF(AND('SC Change Orders'!$E30&lt;&gt;"",NOT(ISNUMBER('SC Change Orders'!$E30))),"Original Amount held as text — ignored by MINIFS; ","")&amp;IF(AND('SC Change Orders'!$F30&lt;&gt;"",NOT(ISNUMBER('SC Change Orders'!$F30))),"Amount Added held as text — ignored by SUMIFS; ","")&amp;IF(ISNUMBER('SC Change Orders'!$E30),IF(ISNUMBER('SC Change Orders'!$F30),IF(ISNUMBER('SC Change Orders'!$G30),  IF('SC Change Orders'!$G30&gt;0,IF(ROUND('SC Change Orders'!$E30+'SC Change Orders'!$F30,2)&lt;&gt;ROUND('SC Change Orders'!$G30,2),  "Original + Added &lt;&gt; Total Line Cost Allotted; ",""),""),""),""),"")&amp;IF(AND(ISNUMBER('SC Change Orders'!$B30),COUNTIFS('SC Change Orders'!$B$2:$B$501,'SC Change Orders'!$B30,'SC Change Orders'!$C$2:$C$501,'SC Change Orders'!$C30,'SC Change Orders'!$D$2:$D$501,'SC Change Orders'!$D30,'SC Change Orders'!$F$2:$F$501,'SC Change Orders'!$F30,'SC Change Orders'!$E$2:$E$501,'SC Change Orders'!$E30)&gt;1),"Duplicate of another row — funds counted twice; ","")&amp;IF(ISNUMBER('SC Change Orders'!$F30),IF('SC Change Orders'!$F30&lt;&gt;0,IF(AND(ISNUMBER('SC Change Orders'!$B30),NOT(COUNTIFS('SC Change Orders'!$B$2:$B$501,'SC Change Orders'!$B30,'SC Change Orders'!$C$2:$C$501,'SC Change Orders'!$C30,'SC Change Orders'!$D$2:$D$501,'SC Change Orders'!$D30,'SC Change Orders'!$F$2:$F$501,'SC Change Orders'!$F30,'SC Change Orders'!$E$2:$E$501,'SC Change Orders'!$E30)&gt;1),COUNTIFS('SC Change Orders'!$B$2:$B$501,'SC Change Orders'!$B30,'SC Change Orders'!$F$2:$F$501,'SC Change Orders'!$F30)&gt;1),  "Same PO and Amount Added as another row — check for a restatement counted twice; ",""),""),""))</f>
        <v/>
      </c>
    </row>
    <row r="49" customFormat="false" ht="15" hidden="false" customHeight="false" outlineLevel="0" collapsed="false">
      <c r="A49" s="18" t="n">
        <f aca="false">IF(AND('SC Change Orders'!$A31="",'SC Change Orders'!$B31="",'SC Change Orders'!$C31=""),"",31)</f>
        <v>31</v>
      </c>
      <c r="B49" s="31" t="str">
        <f aca="false">IF($A49="","",'SC Change Orders'!$A31)</f>
        <v>GUIDEHOUSE INC</v>
      </c>
      <c r="C49" s="18" t="n">
        <f aca="false">IF($A49="","",'SC Change Orders'!$B31)</f>
        <v>10782</v>
      </c>
      <c r="D49" s="32" t="n">
        <f aca="false">IF($A49="","",'SC Change Orders'!$C31)</f>
        <v>46254</v>
      </c>
      <c r="E49" s="31" t="str">
        <f aca="false">IF($A49="","",'SC Change Orders'!$D31)</f>
        <v>FY26 Supplemental Staffing</v>
      </c>
      <c r="F49" s="33" t="n">
        <f aca="false">IF($A49="","",'SC Change Orders'!$E31)</f>
        <v>288447</v>
      </c>
      <c r="G49" s="33" t="n">
        <f aca="false">IF($A49="","",'SC Change Orders'!$F31)</f>
        <v>271067.69</v>
      </c>
      <c r="H49" s="33" t="n">
        <f aca="false">IF($A49="","",'SC Change Orders'!$G31)</f>
        <v>559514.69</v>
      </c>
      <c r="I49" s="34" t="str">
        <f aca="false">IF($A49="","",IF(AND(ISNUMBER('SC Change Orders'!$C31),'SC Change Orders'!$C31&gt;=Controls!$C$5,'SC Change Orders'!$C31&lt;=Controls!$C$6),"Yes","No"))</f>
        <v>Yes</v>
      </c>
      <c r="J49" s="31" t="str">
        <f aca="false">IF($A49="","",IF($K49="","OK",$K49))</f>
        <v>Same PO and Amount Added as another row — check for a restatement counted twice; </v>
      </c>
      <c r="K49" s="0" t="str">
        <f aca="false">IF($A49="","",IF(NOT(ISNUMBER('SC Change Orders'!$B31)),"PO not numeric — row is invisible to the tracker; ","")&amp;IF(NOT(ISNUMBER('SC Change Orders'!$C31)),"Date missing or text — row excluded; ",  IF(OR('SC Change Orders'!$C31&lt;Controls!$C$5,'SC Change Orders'!$C31&gt;Controls!$C$6),"Dated outside the FY window — excluded; ",""))&amp;IF(AND('SC Change Orders'!$E31&lt;&gt;"",NOT(ISNUMBER('SC Change Orders'!$E31))),"Original Amount held as text — ignored by MINIFS; ","")&amp;IF(AND('SC Change Orders'!$F31&lt;&gt;"",NOT(ISNUMBER('SC Change Orders'!$F31))),"Amount Added held as text — ignored by SUMIFS; ","")&amp;IF(ISNUMBER('SC Change Orders'!$E31),IF(ISNUMBER('SC Change Orders'!$F31),IF(ISNUMBER('SC Change Orders'!$G31),  IF('SC Change Orders'!$G31&gt;0,IF(ROUND('SC Change Orders'!$E31+'SC Change Orders'!$F31,2)&lt;&gt;ROUND('SC Change Orders'!$G31,2),  "Original + Added &lt;&gt; Total Line Cost Allotted; ",""),""),""),""),"")&amp;IF(AND(ISNUMBER('SC Change Orders'!$B31),COUNTIFS('SC Change Orders'!$B$2:$B$501,'SC Change Orders'!$B31,'SC Change Orders'!$C$2:$C$501,'SC Change Orders'!$C31,'SC Change Orders'!$D$2:$D$501,'SC Change Orders'!$D31,'SC Change Orders'!$F$2:$F$501,'SC Change Orders'!$F31,'SC Change Orders'!$E$2:$E$501,'SC Change Orders'!$E31)&gt;1),"Duplicate of another row — funds counted twice; ","")&amp;IF(ISNUMBER('SC Change Orders'!$F31),IF('SC Change Orders'!$F31&lt;&gt;0,IF(AND(ISNUMBER('SC Change Orders'!$B31),NOT(COUNTIFS('SC Change Orders'!$B$2:$B$501,'SC Change Orders'!$B31,'SC Change Orders'!$C$2:$C$501,'SC Change Orders'!$C31,'SC Change Orders'!$D$2:$D$501,'SC Change Orders'!$D31,'SC Change Orders'!$F$2:$F$501,'SC Change Orders'!$F31,'SC Change Orders'!$E$2:$E$501,'SC Change Orders'!$E31)&gt;1),COUNTIFS('SC Change Orders'!$B$2:$B$501,'SC Change Orders'!$B31,'SC Change Orders'!$F$2:$F$501,'SC Change Orders'!$F31)&gt;1),  "Same PO and Amount Added as another row — check for a restatement counted twice; ",""),""),""))</f>
        <v>Same PO and Amount Added as another row — check for a restatement counted twice; </v>
      </c>
    </row>
    <row r="50" customFormat="false" ht="15" hidden="false" customHeight="false" outlineLevel="0" collapsed="false">
      <c r="A50" s="18" t="n">
        <f aca="false">IF(AND('SC Change Orders'!$A32="",'SC Change Orders'!$B32="",'SC Change Orders'!$C32=""),"",32)</f>
        <v>32</v>
      </c>
      <c r="B50" s="31" t="str">
        <f aca="false">IF($A50="","",'SC Change Orders'!$A32)</f>
        <v>GUIDEHOUSE INC</v>
      </c>
      <c r="C50" s="18" t="n">
        <f aca="false">IF($A50="","",'SC Change Orders'!$B32)</f>
        <v>10782</v>
      </c>
      <c r="D50" s="32" t="n">
        <f aca="false">IF($A50="","",'SC Change Orders'!$C32)</f>
        <v>46296</v>
      </c>
      <c r="E50" s="31" t="str">
        <f aca="false">IF($A50="","",'SC Change Orders'!$D32)</f>
        <v>FY27 Start</v>
      </c>
      <c r="F50" s="33" t="n">
        <f aca="false">IF($A50="","",'SC Change Orders'!$E32)</f>
        <v>500000</v>
      </c>
      <c r="G50" s="33" t="n">
        <f aca="false">IF($A50="","",'SC Change Orders'!$F32)</f>
        <v>0</v>
      </c>
      <c r="H50" s="33" t="n">
        <f aca="false">IF($A50="","",'SC Change Orders'!$G32)</f>
        <v>0</v>
      </c>
      <c r="I50" s="34" t="str">
        <f aca="false">IF($A50="","",IF(AND(ISNUMBER('SC Change Orders'!$C32),'SC Change Orders'!$C32&gt;=Controls!$C$5,'SC Change Orders'!$C32&lt;=Controls!$C$6),"Yes","No"))</f>
        <v>No</v>
      </c>
      <c r="J50" s="31" t="str">
        <f aca="false">IF($A50="","",IF($K50="","OK",$K50))</f>
        <v>Dated outside the FY window — excluded; </v>
      </c>
      <c r="K50" s="0" t="str">
        <f aca="false">IF($A50="","",IF(NOT(ISNUMBER('SC Change Orders'!$B32)),"PO not numeric — row is invisible to the tracker; ","")&amp;IF(NOT(ISNUMBER('SC Change Orders'!$C32)),"Date missing or text — row excluded; ",  IF(OR('SC Change Orders'!$C32&lt;Controls!$C$5,'SC Change Orders'!$C32&gt;Controls!$C$6),"Dated outside the FY window — excluded; ",""))&amp;IF(AND('SC Change Orders'!$E32&lt;&gt;"",NOT(ISNUMBER('SC Change Orders'!$E32))),"Original Amount held as text — ignored by MINIFS; ","")&amp;IF(AND('SC Change Orders'!$F32&lt;&gt;"",NOT(ISNUMBER('SC Change Orders'!$F32))),"Amount Added held as text — ignored by SUMIFS; ","")&amp;IF(ISNUMBER('SC Change Orders'!$E32),IF(ISNUMBER('SC Change Orders'!$F32),IF(ISNUMBER('SC Change Orders'!$G32),  IF('SC Change Orders'!$G32&gt;0,IF(ROUND('SC Change Orders'!$E32+'SC Change Orders'!$F32,2)&lt;&gt;ROUND('SC Change Orders'!$G32,2),  "Original + Added &lt;&gt; Total Line Cost Allotted; ",""),""),""),""),"")&amp;IF(AND(ISNUMBER('SC Change Orders'!$B32),COUNTIFS('SC Change Orders'!$B$2:$B$501,'SC Change Orders'!$B32,'SC Change Orders'!$C$2:$C$501,'SC Change Orders'!$C32,'SC Change Orders'!$D$2:$D$501,'SC Change Orders'!$D32,'SC Change Orders'!$F$2:$F$501,'SC Change Orders'!$F32,'SC Change Orders'!$E$2:$E$501,'SC Change Orders'!$E32)&gt;1),"Duplicate of another row — funds counted twice; ","")&amp;IF(ISNUMBER('SC Change Orders'!$F32),IF('SC Change Orders'!$F32&lt;&gt;0,IF(AND(ISNUMBER('SC Change Orders'!$B32),NOT(COUNTIFS('SC Change Orders'!$B$2:$B$501,'SC Change Orders'!$B32,'SC Change Orders'!$C$2:$C$501,'SC Change Orders'!$C32,'SC Change Orders'!$D$2:$D$501,'SC Change Orders'!$D32,'SC Change Orders'!$F$2:$F$501,'SC Change Orders'!$F32,'SC Change Orders'!$E$2:$E$501,'SC Change Orders'!$E32)&gt;1),COUNTIFS('SC Change Orders'!$B$2:$B$501,'SC Change Orders'!$B32,'SC Change Orders'!$F$2:$F$501,'SC Change Orders'!$F32)&gt;1),  "Same PO and Amount Added as another row — check for a restatement counted twice; ",""),""),""))</f>
        <v>Dated outside the FY window — excluded; </v>
      </c>
    </row>
    <row r="51" customFormat="false" ht="15" hidden="false" customHeight="false" outlineLevel="0" collapsed="false">
      <c r="A51" s="18" t="n">
        <f aca="false">IF(AND('SC Change Orders'!$A33="",'SC Change Orders'!$B33="",'SC Change Orders'!$C33=""),"",33)</f>
        <v>33</v>
      </c>
      <c r="B51" s="31" t="str">
        <f aca="false">IF($A51="","",'SC Change Orders'!$A33)</f>
        <v>HYVE HEALTHCARE</v>
      </c>
      <c r="C51" s="18" t="n">
        <f aca="false">IF($A51="","",'SC Change Orders'!$B33)</f>
        <v>12263</v>
      </c>
      <c r="D51" s="32" t="n">
        <f aca="false">IF($A51="","",'SC Change Orders'!$C33)</f>
        <v>46235</v>
      </c>
      <c r="E51" s="31" t="str">
        <f aca="false">IF($A51="","",'SC Change Orders'!$D33)</f>
        <v>Created</v>
      </c>
      <c r="F51" s="33" t="n">
        <f aca="false">IF($A51="","",'SC Change Orders'!$E33)</f>
        <v>96000</v>
      </c>
      <c r="G51" s="33" t="n">
        <f aca="false">IF($A51="","",'SC Change Orders'!$F33)</f>
        <v>0</v>
      </c>
      <c r="H51" s="33" t="n">
        <f aca="false">IF($A51="","",'SC Change Orders'!$G33)</f>
        <v>96000</v>
      </c>
      <c r="I51" s="34" t="str">
        <f aca="false">IF($A51="","",IF(AND(ISNUMBER('SC Change Orders'!$C33),'SC Change Orders'!$C33&gt;=Controls!$C$5,'SC Change Orders'!$C33&lt;=Controls!$C$6),"Yes","No"))</f>
        <v>Yes</v>
      </c>
      <c r="J51" s="31" t="str">
        <f aca="false">IF($A51="","",IF($K51="","OK",$K51))</f>
        <v>OK</v>
      </c>
      <c r="K51" s="0" t="str">
        <f aca="false">IF($A51="","",IF(NOT(ISNUMBER('SC Change Orders'!$B33)),"PO not numeric — row is invisible to the tracker; ","")&amp;IF(NOT(ISNUMBER('SC Change Orders'!$C33)),"Date missing or text — row excluded; ",  IF(OR('SC Change Orders'!$C33&lt;Controls!$C$5,'SC Change Orders'!$C33&gt;Controls!$C$6),"Dated outside the FY window — excluded; ",""))&amp;IF(AND('SC Change Orders'!$E33&lt;&gt;"",NOT(ISNUMBER('SC Change Orders'!$E33))),"Original Amount held as text — ignored by MINIFS; ","")&amp;IF(AND('SC Change Orders'!$F33&lt;&gt;"",NOT(ISNUMBER('SC Change Orders'!$F33))),"Amount Added held as text — ignored by SUMIFS; ","")&amp;IF(ISNUMBER('SC Change Orders'!$E33),IF(ISNUMBER('SC Change Orders'!$F33),IF(ISNUMBER('SC Change Orders'!$G33),  IF('SC Change Orders'!$G33&gt;0,IF(ROUND('SC Change Orders'!$E33+'SC Change Orders'!$F33,2)&lt;&gt;ROUND('SC Change Orders'!$G33,2),  "Original + Added &lt;&gt; Total Line Cost Allotted; ",""),""),""),""),"")&amp;IF(AND(ISNUMBER('SC Change Orders'!$B33),COUNTIFS('SC Change Orders'!$B$2:$B$501,'SC Change Orders'!$B33,'SC Change Orders'!$C$2:$C$501,'SC Change Orders'!$C33,'SC Change Orders'!$D$2:$D$501,'SC Change Orders'!$D33,'SC Change Orders'!$F$2:$F$501,'SC Change Orders'!$F33,'SC Change Orders'!$E$2:$E$501,'SC Change Orders'!$E33)&gt;1),"Duplicate of another row — funds counted twice; ","")&amp;IF(ISNUMBER('SC Change Orders'!$F33),IF('SC Change Orders'!$F33&lt;&gt;0,IF(AND(ISNUMBER('SC Change Orders'!$B33),NOT(COUNTIFS('SC Change Orders'!$B$2:$B$501,'SC Change Orders'!$B33,'SC Change Orders'!$C$2:$C$501,'SC Change Orders'!$C33,'SC Change Orders'!$D$2:$D$501,'SC Change Orders'!$D33,'SC Change Orders'!$F$2:$F$501,'SC Change Orders'!$F33,'SC Change Orders'!$E$2:$E$501,'SC Change Orders'!$E33)&gt;1),COUNTIFS('SC Change Orders'!$B$2:$B$501,'SC Change Orders'!$B33,'SC Change Orders'!$F$2:$F$501,'SC Change Orders'!$F33)&gt;1),  "Same PO and Amount Added as another row — check for a restatement counted twice; ",""),""),""))</f>
        <v/>
      </c>
    </row>
    <row r="52" customFormat="false" ht="15" hidden="false" customHeight="false" outlineLevel="0" collapsed="false">
      <c r="A52" s="18" t="n">
        <f aca="false">IF(AND('SC Change Orders'!$A34="",'SC Change Orders'!$B34="",'SC Change Orders'!$C34=""),"",34)</f>
        <v>34</v>
      </c>
      <c r="B52" s="31" t="str">
        <f aca="false">IF($A52="","",'SC Change Orders'!$A34)</f>
        <v>HYVE HEALTHCARE</v>
      </c>
      <c r="C52" s="18" t="n">
        <f aca="false">IF($A52="","",'SC Change Orders'!$B34)</f>
        <v>12263</v>
      </c>
      <c r="D52" s="32" t="n">
        <f aca="false">IF($A52="","",'SC Change Orders'!$C34)</f>
        <v>46244</v>
      </c>
      <c r="E52" s="31" t="str">
        <f aca="false">IF($A52="","",'SC Change Orders'!$D34)</f>
        <v>Cost Center</v>
      </c>
      <c r="F52" s="33" t="n">
        <f aca="false">IF($A52="","",'SC Change Orders'!$E34)</f>
        <v>96000</v>
      </c>
      <c r="G52" s="33" t="str">
        <f aca="false">IF($A52="","",'SC Change Orders'!$F34)</f>
        <v>NA</v>
      </c>
      <c r="H52" s="33" t="n">
        <f aca="false">IF($A52="","",'SC Change Orders'!$G34)</f>
        <v>96000</v>
      </c>
      <c r="I52" s="34" t="str">
        <f aca="false">IF($A52="","",IF(AND(ISNUMBER('SC Change Orders'!$C34),'SC Change Orders'!$C34&gt;=Controls!$C$5,'SC Change Orders'!$C34&lt;=Controls!$C$6),"Yes","No"))</f>
        <v>Yes</v>
      </c>
      <c r="J52" s="31" t="str">
        <f aca="false">IF($A52="","",IF($K52="","OK",$K52))</f>
        <v>Amount Added held as text — ignored by SUMIFS; </v>
      </c>
      <c r="K52" s="0" t="str">
        <f aca="false">IF($A52="","",IF(NOT(ISNUMBER('SC Change Orders'!$B34)),"PO not numeric — row is invisible to the tracker; ","")&amp;IF(NOT(ISNUMBER('SC Change Orders'!$C34)),"Date missing or text — row excluded; ",  IF(OR('SC Change Orders'!$C34&lt;Controls!$C$5,'SC Change Orders'!$C34&gt;Controls!$C$6),"Dated outside the FY window — excluded; ",""))&amp;IF(AND('SC Change Orders'!$E34&lt;&gt;"",NOT(ISNUMBER('SC Change Orders'!$E34))),"Original Amount held as text — ignored by MINIFS; ","")&amp;IF(AND('SC Change Orders'!$F34&lt;&gt;"",NOT(ISNUMBER('SC Change Orders'!$F34))),"Amount Added held as text — ignored by SUMIFS; ","")&amp;IF(ISNUMBER('SC Change Orders'!$E34),IF(ISNUMBER('SC Change Orders'!$F34),IF(ISNUMBER('SC Change Orders'!$G34),  IF('SC Change Orders'!$G34&gt;0,IF(ROUND('SC Change Orders'!$E34+'SC Change Orders'!$F34,2)&lt;&gt;ROUND('SC Change Orders'!$G34,2),  "Original + Added &lt;&gt; Total Line Cost Allotted; ",""),""),""),""),"")&amp;IF(AND(ISNUMBER('SC Change Orders'!$B34),COUNTIFS('SC Change Orders'!$B$2:$B$501,'SC Change Orders'!$B34,'SC Change Orders'!$C$2:$C$501,'SC Change Orders'!$C34,'SC Change Orders'!$D$2:$D$501,'SC Change Orders'!$D34,'SC Change Orders'!$F$2:$F$501,'SC Change Orders'!$F34,'SC Change Orders'!$E$2:$E$501,'SC Change Orders'!$E34)&gt;1),"Duplicate of another row — funds counted twice; ","")&amp;IF(ISNUMBER('SC Change Orders'!$F34),IF('SC Change Orders'!$F34&lt;&gt;0,IF(AND(ISNUMBER('SC Change Orders'!$B34),NOT(COUNTIFS('SC Change Orders'!$B$2:$B$501,'SC Change Orders'!$B34,'SC Change Orders'!$C$2:$C$501,'SC Change Orders'!$C34,'SC Change Orders'!$D$2:$D$501,'SC Change Orders'!$D34,'SC Change Orders'!$F$2:$F$501,'SC Change Orders'!$F34,'SC Change Orders'!$E$2:$E$501,'SC Change Orders'!$E34)&gt;1),COUNTIFS('SC Change Orders'!$B$2:$B$501,'SC Change Orders'!$B34,'SC Change Orders'!$F$2:$F$501,'SC Change Orders'!$F34)&gt;1),  "Same PO and Amount Added as another row — check for a restatement counted twice; ",""),""),""))</f>
        <v>Amount Added held as text — ignored by SUMIFS; </v>
      </c>
    </row>
    <row r="53" customFormat="false" ht="15" hidden="false" customHeight="false" outlineLevel="0" collapsed="false">
      <c r="A53" s="18" t="n">
        <f aca="false">IF(AND('SC Change Orders'!$A35="",'SC Change Orders'!$B35="",'SC Change Orders'!$C35=""),"",35)</f>
        <v>35</v>
      </c>
      <c r="B53" s="31" t="str">
        <f aca="false">IF($A53="","",'SC Change Orders'!$A35)</f>
        <v>MEDLYTIX LLC</v>
      </c>
      <c r="C53" s="18" t="n">
        <f aca="false">IF($A53="","",'SC Change Orders'!$B35)</f>
        <v>12088</v>
      </c>
      <c r="D53" s="32" t="n">
        <f aca="false">IF($A53="","",'SC Change Orders'!$C35)</f>
        <v>46188</v>
      </c>
      <c r="E53" s="31" t="str">
        <f aca="false">IF($A53="","",'SC Change Orders'!$D35)</f>
        <v>Created</v>
      </c>
      <c r="F53" s="33" t="n">
        <f aca="false">IF($A53="","",'SC Change Orders'!$E35)</f>
        <v>0</v>
      </c>
      <c r="G53" s="33" t="n">
        <f aca="false">IF($A53="","",'SC Change Orders'!$F35)</f>
        <v>0</v>
      </c>
      <c r="H53" s="33" t="n">
        <f aca="false">IF($A53="","",'SC Change Orders'!$G35)</f>
        <v>0</v>
      </c>
      <c r="I53" s="34" t="str">
        <f aca="false">IF($A53="","",IF(AND(ISNUMBER('SC Change Orders'!$C35),'SC Change Orders'!$C35&gt;=Controls!$C$5,'SC Change Orders'!$C35&lt;=Controls!$C$6),"Yes","No"))</f>
        <v>Yes</v>
      </c>
      <c r="J53" s="31" t="str">
        <f aca="false">IF($A53="","",IF($K53="","OK",$K53))</f>
        <v>OK</v>
      </c>
      <c r="K53" s="0" t="str">
        <f aca="false">IF($A53="","",IF(NOT(ISNUMBER('SC Change Orders'!$B35)),"PO not numeric — row is invisible to the tracker; ","")&amp;IF(NOT(ISNUMBER('SC Change Orders'!$C35)),"Date missing or text — row excluded; ",  IF(OR('SC Change Orders'!$C35&lt;Controls!$C$5,'SC Change Orders'!$C35&gt;Controls!$C$6),"Dated outside the FY window — excluded; ",""))&amp;IF(AND('SC Change Orders'!$E35&lt;&gt;"",NOT(ISNUMBER('SC Change Orders'!$E35))),"Original Amount held as text — ignored by MINIFS; ","")&amp;IF(AND('SC Change Orders'!$F35&lt;&gt;"",NOT(ISNUMBER('SC Change Orders'!$F35))),"Amount Added held as text — ignored by SUMIFS; ","")&amp;IF(ISNUMBER('SC Change Orders'!$E35),IF(ISNUMBER('SC Change Orders'!$F35),IF(ISNUMBER('SC Change Orders'!$G35),  IF('SC Change Orders'!$G35&gt;0,IF(ROUND('SC Change Orders'!$E35+'SC Change Orders'!$F35,2)&lt;&gt;ROUND('SC Change Orders'!$G35,2),  "Original + Added &lt;&gt; Total Line Cost Allotted; ",""),""),""),""),"")&amp;IF(AND(ISNUMBER('SC Change Orders'!$B35),COUNTIFS('SC Change Orders'!$B$2:$B$501,'SC Change Orders'!$B35,'SC Change Orders'!$C$2:$C$501,'SC Change Orders'!$C35,'SC Change Orders'!$D$2:$D$501,'SC Change Orders'!$D35,'SC Change Orders'!$F$2:$F$501,'SC Change Orders'!$F35,'SC Change Orders'!$E$2:$E$501,'SC Change Orders'!$E35)&gt;1),"Duplicate of another row — funds counted twice; ","")&amp;IF(ISNUMBER('SC Change Orders'!$F35),IF('SC Change Orders'!$F35&lt;&gt;0,IF(AND(ISNUMBER('SC Change Orders'!$B35),NOT(COUNTIFS('SC Change Orders'!$B$2:$B$501,'SC Change Orders'!$B35,'SC Change Orders'!$C$2:$C$501,'SC Change Orders'!$C35,'SC Change Orders'!$D$2:$D$501,'SC Change Orders'!$D35,'SC Change Orders'!$F$2:$F$501,'SC Change Orders'!$F35,'SC Change Orders'!$E$2:$E$501,'SC Change Orders'!$E35)&gt;1),COUNTIFS('SC Change Orders'!$B$2:$B$501,'SC Change Orders'!$B35,'SC Change Orders'!$F$2:$F$501,'SC Change Orders'!$F35)&gt;1),  "Same PO and Amount Added as another row — check for a restatement counted twice; ",""),""),""))</f>
        <v/>
      </c>
    </row>
    <row r="54" customFormat="false" ht="15" hidden="false" customHeight="false" outlineLevel="0" collapsed="false">
      <c r="A54" s="18" t="n">
        <f aca="false">IF(AND('SC Change Orders'!$A36="",'SC Change Orders'!$B36="",'SC Change Orders'!$C36=""),"",36)</f>
        <v>36</v>
      </c>
      <c r="B54" s="31" t="str">
        <f aca="false">IF($A54="","",'SC Change Orders'!$A36)</f>
        <v>UASI</v>
      </c>
      <c r="C54" s="18" t="n">
        <f aca="false">IF($A54="","",'SC Change Orders'!$B36)</f>
        <v>12584</v>
      </c>
      <c r="D54" s="32" t="n">
        <f aca="false">IF($A54="","",'SC Change Orders'!$C36)</f>
        <v>46251</v>
      </c>
      <c r="E54" s="31" t="str">
        <f aca="false">IF($A54="","",'SC Change Orders'!$D36)</f>
        <v>Created</v>
      </c>
      <c r="F54" s="33" t="n">
        <f aca="false">IF($A54="","",'SC Change Orders'!$E36)</f>
        <v>500000</v>
      </c>
      <c r="G54" s="33" t="n">
        <f aca="false">IF($A54="","",'SC Change Orders'!$F36)</f>
        <v>500000</v>
      </c>
      <c r="H54" s="33" t="n">
        <f aca="false">IF($A54="","",'SC Change Orders'!$G36)</f>
        <v>500000</v>
      </c>
      <c r="I54" s="34" t="str">
        <f aca="false">IF($A54="","",IF(AND(ISNUMBER('SC Change Orders'!$C36),'SC Change Orders'!$C36&gt;=Controls!$C$5,'SC Change Orders'!$C36&lt;=Controls!$C$6),"Yes","No"))</f>
        <v>Yes</v>
      </c>
      <c r="J54" s="31" t="str">
        <f aca="false">IF($A54="","",IF($K54="","OK",$K54))</f>
        <v>Original + Added &lt;&gt; Total Line Cost Allotted; </v>
      </c>
      <c r="K54" s="0" t="str">
        <f aca="false">IF($A54="","",IF(NOT(ISNUMBER('SC Change Orders'!$B36)),"PO not numeric — row is invisible to the tracker; ","")&amp;IF(NOT(ISNUMBER('SC Change Orders'!$C36)),"Date missing or text — row excluded; ",  IF(OR('SC Change Orders'!$C36&lt;Controls!$C$5,'SC Change Orders'!$C36&gt;Controls!$C$6),"Dated outside the FY window — excluded; ",""))&amp;IF(AND('SC Change Orders'!$E36&lt;&gt;"",NOT(ISNUMBER('SC Change Orders'!$E36))),"Original Amount held as text — ignored by MINIFS; ","")&amp;IF(AND('SC Change Orders'!$F36&lt;&gt;"",NOT(ISNUMBER('SC Change Orders'!$F36))),"Amount Added held as text — ignored by SUMIFS; ","")&amp;IF(ISNUMBER('SC Change Orders'!$E36),IF(ISNUMBER('SC Change Orders'!$F36),IF(ISNUMBER('SC Change Orders'!$G36),  IF('SC Change Orders'!$G36&gt;0,IF(ROUND('SC Change Orders'!$E36+'SC Change Orders'!$F36,2)&lt;&gt;ROUND('SC Change Orders'!$G36,2),  "Original + Added &lt;&gt; Total Line Cost Allotted; ",""),""),""),""),"")&amp;IF(AND(ISNUMBER('SC Change Orders'!$B36),COUNTIFS('SC Change Orders'!$B$2:$B$501,'SC Change Orders'!$B36,'SC Change Orders'!$C$2:$C$501,'SC Change Orders'!$C36,'SC Change Orders'!$D$2:$D$501,'SC Change Orders'!$D36,'SC Change Orders'!$F$2:$F$501,'SC Change Orders'!$F36,'SC Change Orders'!$E$2:$E$501,'SC Change Orders'!$E36)&gt;1),"Duplicate of another row — funds counted twice; ","")&amp;IF(ISNUMBER('SC Change Orders'!$F36),IF('SC Change Orders'!$F36&lt;&gt;0,IF(AND(ISNUMBER('SC Change Orders'!$B36),NOT(COUNTIFS('SC Change Orders'!$B$2:$B$501,'SC Change Orders'!$B36,'SC Change Orders'!$C$2:$C$501,'SC Change Orders'!$C36,'SC Change Orders'!$D$2:$D$501,'SC Change Orders'!$D36,'SC Change Orders'!$F$2:$F$501,'SC Change Orders'!$F36,'SC Change Orders'!$E$2:$E$501,'SC Change Orders'!$E36)&gt;1),COUNTIFS('SC Change Orders'!$B$2:$B$501,'SC Change Orders'!$B36,'SC Change Orders'!$F$2:$F$501,'SC Change Orders'!$F36)&gt;1),  "Same PO and Amount Added as another row — check for a restatement counted twice; ",""),""),""))</f>
        <v>Original + Added &lt;&gt; Total Line Cost Allotted; </v>
      </c>
    </row>
    <row r="55" customFormat="false" ht="15" hidden="false" customHeight="false" outlineLevel="0" collapsed="false">
      <c r="A55" s="18" t="n">
        <f aca="false">IF(AND('SC Change Orders'!$A37="",'SC Change Orders'!$B37="",'SC Change Orders'!$C37=""),"",37)</f>
        <v>37</v>
      </c>
      <c r="B55" s="31" t="str">
        <f aca="false">IF($A55="","",'SC Change Orders'!$A37)</f>
        <v>WAYSTAR HEALTH</v>
      </c>
      <c r="C55" s="18" t="n">
        <f aca="false">IF($A55="","",'SC Change Orders'!$B37)</f>
        <v>11053</v>
      </c>
      <c r="D55" s="32" t="n">
        <f aca="false">IF($A55="","",'SC Change Orders'!$C37)</f>
        <v>46126</v>
      </c>
      <c r="E55" s="31" t="str">
        <f aca="false">IF($A55="","",'SC Change Orders'!$D37)</f>
        <v>esolutions/clearinghouse</v>
      </c>
      <c r="F55" s="33" t="n">
        <f aca="false">IF($A55="","",'SC Change Orders'!$E37)</f>
        <v>216000</v>
      </c>
      <c r="G55" s="33" t="n">
        <f aca="false">IF($A55="","",'SC Change Orders'!$F37)</f>
        <v>760000</v>
      </c>
      <c r="H55" s="33" t="n">
        <f aca="false">IF($A55="","",'SC Change Orders'!$G37)</f>
        <v>0</v>
      </c>
      <c r="I55" s="34" t="str">
        <f aca="false">IF($A55="","",IF(AND(ISNUMBER('SC Change Orders'!$C37),'SC Change Orders'!$C37&gt;=Controls!$C$5,'SC Change Orders'!$C37&lt;=Controls!$C$6),"Yes","No"))</f>
        <v>Yes</v>
      </c>
      <c r="J55" s="31" t="str">
        <f aca="false">IF($A55="","",IF($K55="","OK",$K55))</f>
        <v>OK</v>
      </c>
      <c r="K55" s="0" t="str">
        <f aca="false">IF($A55="","",IF(NOT(ISNUMBER('SC Change Orders'!$B37)),"PO not numeric — row is invisible to the tracker; ","")&amp;IF(NOT(ISNUMBER('SC Change Orders'!$C37)),"Date missing or text — row excluded; ",  IF(OR('SC Change Orders'!$C37&lt;Controls!$C$5,'SC Change Orders'!$C37&gt;Controls!$C$6),"Dated outside the FY window — excluded; ",""))&amp;IF(AND('SC Change Orders'!$E37&lt;&gt;"",NOT(ISNUMBER('SC Change Orders'!$E37))),"Original Amount held as text — ignored by MINIFS; ","")&amp;IF(AND('SC Change Orders'!$F37&lt;&gt;"",NOT(ISNUMBER('SC Change Orders'!$F37))),"Amount Added held as text — ignored by SUMIFS; ","")&amp;IF(ISNUMBER('SC Change Orders'!$E37),IF(ISNUMBER('SC Change Orders'!$F37),IF(ISNUMBER('SC Change Orders'!$G37),  IF('SC Change Orders'!$G37&gt;0,IF(ROUND('SC Change Orders'!$E37+'SC Change Orders'!$F37,2)&lt;&gt;ROUND('SC Change Orders'!$G37,2),  "Original + Added &lt;&gt; Total Line Cost Allotted; ",""),""),""),""),"")&amp;IF(AND(ISNUMBER('SC Change Orders'!$B37),COUNTIFS('SC Change Orders'!$B$2:$B$501,'SC Change Orders'!$B37,'SC Change Orders'!$C$2:$C$501,'SC Change Orders'!$C37,'SC Change Orders'!$D$2:$D$501,'SC Change Orders'!$D37,'SC Change Orders'!$F$2:$F$501,'SC Change Orders'!$F37,'SC Change Orders'!$E$2:$E$501,'SC Change Orders'!$E37)&gt;1),"Duplicate of another row — funds counted twice; ","")&amp;IF(ISNUMBER('SC Change Orders'!$F37),IF('SC Change Orders'!$F37&lt;&gt;0,IF(AND(ISNUMBER('SC Change Orders'!$B37),NOT(COUNTIFS('SC Change Orders'!$B$2:$B$501,'SC Change Orders'!$B37,'SC Change Orders'!$C$2:$C$501,'SC Change Orders'!$C37,'SC Change Orders'!$D$2:$D$501,'SC Change Orders'!$D37,'SC Change Orders'!$F$2:$F$501,'SC Change Orders'!$F37,'SC Change Orders'!$E$2:$E$501,'SC Change Orders'!$E37)&gt;1),COUNTIFS('SC Change Orders'!$B$2:$B$501,'SC Change Orders'!$B37,'SC Change Orders'!$F$2:$F$501,'SC Change Orders'!$F37)&gt;1),  "Same PO and Amount Added as another row — check for a restatement counted twice; ",""),""),""))</f>
        <v/>
      </c>
    </row>
    <row r="56" customFormat="false" ht="15" hidden="false" customHeight="false" outlineLevel="0" collapsed="false">
      <c r="A56" s="18" t="n">
        <f aca="false">IF(AND('SC Change Orders'!$A38="",'SC Change Orders'!$B38="",'SC Change Orders'!$C38=""),"",38)</f>
        <v>38</v>
      </c>
      <c r="B56" s="31" t="str">
        <f aca="false">IF($A56="","",'SC Change Orders'!$A38)</f>
        <v>WAYSTAR HEALTH</v>
      </c>
      <c r="C56" s="18" t="n">
        <f aca="false">IF($A56="","",'SC Change Orders'!$B38)</f>
        <v>11631</v>
      </c>
      <c r="D56" s="32" t="n">
        <f aca="false">IF($A56="","",'SC Change Orders'!$C38)</f>
        <v>46254</v>
      </c>
      <c r="E56" s="31" t="str">
        <f aca="false">IF($A56="","",'SC Change Orders'!$D38)</f>
        <v>RTA</v>
      </c>
      <c r="F56" s="33" t="n">
        <f aca="false">IF($A56="","",'SC Change Orders'!$E38)</f>
        <v>135960</v>
      </c>
      <c r="G56" s="33" t="n">
        <f aca="false">IF($A56="","",'SC Change Orders'!$F38)</f>
        <v>132000</v>
      </c>
      <c r="H56" s="33" t="n">
        <f aca="false">IF($A56="","",'SC Change Orders'!$G38)</f>
        <v>267960</v>
      </c>
      <c r="I56" s="34" t="str">
        <f aca="false">IF($A56="","",IF(AND(ISNUMBER('SC Change Orders'!$C38),'SC Change Orders'!$C38&gt;=Controls!$C$5,'SC Change Orders'!$C38&lt;=Controls!$C$6),"Yes","No"))</f>
        <v>Yes</v>
      </c>
      <c r="J56" s="31" t="str">
        <f aca="false">IF($A56="","",IF($K56="","OK",$K56))</f>
        <v>OK</v>
      </c>
      <c r="K56" s="0" t="str">
        <f aca="false">IF($A56="","",IF(NOT(ISNUMBER('SC Change Orders'!$B38)),"PO not numeric — row is invisible to the tracker; ","")&amp;IF(NOT(ISNUMBER('SC Change Orders'!$C38)),"Date missing or text — row excluded; ",  IF(OR('SC Change Orders'!$C38&lt;Controls!$C$5,'SC Change Orders'!$C38&gt;Controls!$C$6),"Dated outside the FY window — excluded; ",""))&amp;IF(AND('SC Change Orders'!$E38&lt;&gt;"",NOT(ISNUMBER('SC Change Orders'!$E38))),"Original Amount held as text — ignored by MINIFS; ","")&amp;IF(AND('SC Change Orders'!$F38&lt;&gt;"",NOT(ISNUMBER('SC Change Orders'!$F38))),"Amount Added held as text — ignored by SUMIFS; ","")&amp;IF(ISNUMBER('SC Change Orders'!$E38),IF(ISNUMBER('SC Change Orders'!$F38),IF(ISNUMBER('SC Change Orders'!$G38),  IF('SC Change Orders'!$G38&gt;0,IF(ROUND('SC Change Orders'!$E38+'SC Change Orders'!$F38,2)&lt;&gt;ROUND('SC Change Orders'!$G38,2),  "Original + Added &lt;&gt; Total Line Cost Allotted; ",""),""),""),""),"")&amp;IF(AND(ISNUMBER('SC Change Orders'!$B38),COUNTIFS('SC Change Orders'!$B$2:$B$501,'SC Change Orders'!$B38,'SC Change Orders'!$C$2:$C$501,'SC Change Orders'!$C38,'SC Change Orders'!$D$2:$D$501,'SC Change Orders'!$D38,'SC Change Orders'!$F$2:$F$501,'SC Change Orders'!$F38,'SC Change Orders'!$E$2:$E$501,'SC Change Orders'!$E38)&gt;1),"Duplicate of another row — funds counted twice; ","")&amp;IF(ISNUMBER('SC Change Orders'!$F38),IF('SC Change Orders'!$F38&lt;&gt;0,IF(AND(ISNUMBER('SC Change Orders'!$B38),NOT(COUNTIFS('SC Change Orders'!$B$2:$B$501,'SC Change Orders'!$B38,'SC Change Orders'!$C$2:$C$501,'SC Change Orders'!$C38,'SC Change Orders'!$D$2:$D$501,'SC Change Orders'!$D38,'SC Change Orders'!$F$2:$F$501,'SC Change Orders'!$F38,'SC Change Orders'!$E$2:$E$501,'SC Change Orders'!$E38)&gt;1),COUNTIFS('SC Change Orders'!$B$2:$B$501,'SC Change Orders'!$B38,'SC Change Orders'!$F$2:$F$501,'SC Change Orders'!$F38)&gt;1),  "Same PO and Amount Added as another row — check for a restatement counted twice; ",""),""),""))</f>
        <v/>
      </c>
    </row>
    <row r="57" customFormat="false" ht="15" hidden="false" customHeight="false" outlineLevel="0" collapsed="false">
      <c r="A57" s="18" t="str">
        <f aca="false">IF(AND('SC Change Orders'!$A39="",'SC Change Orders'!$B39="",'SC Change Orders'!$C39=""),"",39)</f>
        <v/>
      </c>
      <c r="B57" s="31" t="str">
        <f aca="false">IF($A57="","",'SC Change Orders'!$A39)</f>
        <v/>
      </c>
      <c r="C57" s="18" t="str">
        <f aca="false">IF($A57="","",'SC Change Orders'!$B39)</f>
        <v/>
      </c>
      <c r="D57" s="32" t="str">
        <f aca="false">IF($A57="","",'SC Change Orders'!$C39)</f>
        <v/>
      </c>
      <c r="E57" s="31" t="str">
        <f aca="false">IF($A57="","",'SC Change Orders'!$D39)</f>
        <v/>
      </c>
      <c r="F57" s="33" t="str">
        <f aca="false">IF($A57="","",'SC Change Orders'!$E39)</f>
        <v/>
      </c>
      <c r="G57" s="33" t="str">
        <f aca="false">IF($A57="","",'SC Change Orders'!$F39)</f>
        <v/>
      </c>
      <c r="H57" s="33" t="str">
        <f aca="false">IF($A57="","",'SC Change Orders'!$G39)</f>
        <v/>
      </c>
      <c r="I57" s="34" t="str">
        <f aca="false">IF($A57="","",IF(AND(ISNUMBER('SC Change Orders'!$C39),'SC Change Orders'!$C39&gt;=Controls!$C$5,'SC Change Orders'!$C39&lt;=Controls!$C$6),"Yes","No"))</f>
        <v/>
      </c>
      <c r="J57" s="31" t="str">
        <f aca="false">IF($A57="","",IF($K57="","OK",$K57))</f>
        <v/>
      </c>
      <c r="K57" s="0" t="str">
        <f aca="false">IF($A57="","",IF(NOT(ISNUMBER('SC Change Orders'!$B39)),"PO not numeric — row is invisible to the tracker; ","")&amp;IF(NOT(ISNUMBER('SC Change Orders'!$C39)),"Date missing or text — row excluded; ",  IF(OR('SC Change Orders'!$C39&lt;Controls!$C$5,'SC Change Orders'!$C39&gt;Controls!$C$6),"Dated outside the FY window — excluded; ",""))&amp;IF(AND('SC Change Orders'!$E39&lt;&gt;"",NOT(ISNUMBER('SC Change Orders'!$E39))),"Original Amount held as text — ignored by MINIFS; ","")&amp;IF(AND('SC Change Orders'!$F39&lt;&gt;"",NOT(ISNUMBER('SC Change Orders'!$F39))),"Amount Added held as text — ignored by SUMIFS; ","")&amp;IF(ISNUMBER('SC Change Orders'!$E39),IF(ISNUMBER('SC Change Orders'!$F39),IF(ISNUMBER('SC Change Orders'!$G39),  IF('SC Change Orders'!$G39&gt;0,IF(ROUND('SC Change Orders'!$E39+'SC Change Orders'!$F39,2)&lt;&gt;ROUND('SC Change Orders'!$G39,2),  "Original + Added &lt;&gt; Total Line Cost Allotted; ",""),""),""),""),"")&amp;IF(AND(ISNUMBER('SC Change Orders'!$B39),COUNTIFS('SC Change Orders'!$B$2:$B$501,'SC Change Orders'!$B39,'SC Change Orders'!$C$2:$C$501,'SC Change Orders'!$C39,'SC Change Orders'!$D$2:$D$501,'SC Change Orders'!$D39,'SC Change Orders'!$F$2:$F$501,'SC Change Orders'!$F39,'SC Change Orders'!$E$2:$E$501,'SC Change Orders'!$E39)&gt;1),"Duplicate of another row — funds counted twice; ","")&amp;IF(ISNUMBER('SC Change Orders'!$F39),IF('SC Change Orders'!$F39&lt;&gt;0,IF(AND(ISNUMBER('SC Change Orders'!$B39),NOT(COUNTIFS('SC Change Orders'!$B$2:$B$501,'SC Change Orders'!$B39,'SC Change Orders'!$C$2:$C$501,'SC Change Orders'!$C39,'SC Change Orders'!$D$2:$D$501,'SC Change Orders'!$D39,'SC Change Orders'!$F$2:$F$501,'SC Change Orders'!$F39,'SC Change Orders'!$E$2:$E$501,'SC Change Orders'!$E39)&gt;1),COUNTIFS('SC Change Orders'!$B$2:$B$501,'SC Change Orders'!$B39,'SC Change Orders'!$F$2:$F$501,'SC Change Orders'!$F39)&gt;1),  "Same PO and Amount Added as another row — check for a restatement counted twice; ",""),""),""))</f>
        <v/>
      </c>
    </row>
    <row r="58" customFormat="false" ht="15" hidden="false" customHeight="false" outlineLevel="0" collapsed="false">
      <c r="A58" s="18" t="str">
        <f aca="false">IF(AND('SC Change Orders'!$A40="",'SC Change Orders'!$B40="",'SC Change Orders'!$C40=""),"",40)</f>
        <v/>
      </c>
      <c r="B58" s="31" t="str">
        <f aca="false">IF($A58="","",'SC Change Orders'!$A40)</f>
        <v/>
      </c>
      <c r="C58" s="18" t="str">
        <f aca="false">IF($A58="","",'SC Change Orders'!$B40)</f>
        <v/>
      </c>
      <c r="D58" s="32" t="str">
        <f aca="false">IF($A58="","",'SC Change Orders'!$C40)</f>
        <v/>
      </c>
      <c r="E58" s="31" t="str">
        <f aca="false">IF($A58="","",'SC Change Orders'!$D40)</f>
        <v/>
      </c>
      <c r="F58" s="33" t="str">
        <f aca="false">IF($A58="","",'SC Change Orders'!$E40)</f>
        <v/>
      </c>
      <c r="G58" s="33" t="str">
        <f aca="false">IF($A58="","",'SC Change Orders'!$F40)</f>
        <v/>
      </c>
      <c r="H58" s="33" t="str">
        <f aca="false">IF($A58="","",'SC Change Orders'!$G40)</f>
        <v/>
      </c>
      <c r="I58" s="34" t="str">
        <f aca="false">IF($A58="","",IF(AND(ISNUMBER('SC Change Orders'!$C40),'SC Change Orders'!$C40&gt;=Controls!$C$5,'SC Change Orders'!$C40&lt;=Controls!$C$6),"Yes","No"))</f>
        <v/>
      </c>
      <c r="J58" s="31" t="str">
        <f aca="false">IF($A58="","",IF($K58="","OK",$K58))</f>
        <v/>
      </c>
      <c r="K58" s="0" t="str">
        <f aca="false">IF($A58="","",IF(NOT(ISNUMBER('SC Change Orders'!$B40)),"PO not numeric — row is invisible to the tracker; ","")&amp;IF(NOT(ISNUMBER('SC Change Orders'!$C40)),"Date missing or text — row excluded; ",  IF(OR('SC Change Orders'!$C40&lt;Controls!$C$5,'SC Change Orders'!$C40&gt;Controls!$C$6),"Dated outside the FY window — excluded; ",""))&amp;IF(AND('SC Change Orders'!$E40&lt;&gt;"",NOT(ISNUMBER('SC Change Orders'!$E40))),"Original Amount held as text — ignored by MINIFS; ","")&amp;IF(AND('SC Change Orders'!$F40&lt;&gt;"",NOT(ISNUMBER('SC Change Orders'!$F40))),"Amount Added held as text — ignored by SUMIFS; ","")&amp;IF(ISNUMBER('SC Change Orders'!$E40),IF(ISNUMBER('SC Change Orders'!$F40),IF(ISNUMBER('SC Change Orders'!$G40),  IF('SC Change Orders'!$G40&gt;0,IF(ROUND('SC Change Orders'!$E40+'SC Change Orders'!$F40,2)&lt;&gt;ROUND('SC Change Orders'!$G40,2),  "Original + Added &lt;&gt; Total Line Cost Allotted; ",""),""),""),""),"")&amp;IF(AND(ISNUMBER('SC Change Orders'!$B40),COUNTIFS('SC Change Orders'!$B$2:$B$501,'SC Change Orders'!$B40,'SC Change Orders'!$C$2:$C$501,'SC Change Orders'!$C40,'SC Change Orders'!$D$2:$D$501,'SC Change Orders'!$D40,'SC Change Orders'!$F$2:$F$501,'SC Change Orders'!$F40,'SC Change Orders'!$E$2:$E$501,'SC Change Orders'!$E40)&gt;1),"Duplicate of another row — funds counted twice; ","")&amp;IF(ISNUMBER('SC Change Orders'!$F40),IF('SC Change Orders'!$F40&lt;&gt;0,IF(AND(ISNUMBER('SC Change Orders'!$B40),NOT(COUNTIFS('SC Change Orders'!$B$2:$B$501,'SC Change Orders'!$B40,'SC Change Orders'!$C$2:$C$501,'SC Change Orders'!$C40,'SC Change Orders'!$D$2:$D$501,'SC Change Orders'!$D40,'SC Change Orders'!$F$2:$F$501,'SC Change Orders'!$F40,'SC Change Orders'!$E$2:$E$501,'SC Change Orders'!$E40)&gt;1),COUNTIFS('SC Change Orders'!$B$2:$B$501,'SC Change Orders'!$B40,'SC Change Orders'!$F$2:$F$501,'SC Change Orders'!$F40)&gt;1),  "Same PO and Amount Added as another row — check for a restatement counted twice; ",""),""),""))</f>
        <v/>
      </c>
    </row>
    <row r="59" customFormat="false" ht="15" hidden="false" customHeight="false" outlineLevel="0" collapsed="false">
      <c r="A59" s="18" t="str">
        <f aca="false">IF(AND('SC Change Orders'!$A41="",'SC Change Orders'!$B41="",'SC Change Orders'!$C41=""),"",41)</f>
        <v/>
      </c>
      <c r="B59" s="31" t="str">
        <f aca="false">IF($A59="","",'SC Change Orders'!$A41)</f>
        <v/>
      </c>
      <c r="C59" s="18" t="str">
        <f aca="false">IF($A59="","",'SC Change Orders'!$B41)</f>
        <v/>
      </c>
      <c r="D59" s="32" t="str">
        <f aca="false">IF($A59="","",'SC Change Orders'!$C41)</f>
        <v/>
      </c>
      <c r="E59" s="31" t="str">
        <f aca="false">IF($A59="","",'SC Change Orders'!$D41)</f>
        <v/>
      </c>
      <c r="F59" s="33" t="str">
        <f aca="false">IF($A59="","",'SC Change Orders'!$E41)</f>
        <v/>
      </c>
      <c r="G59" s="33" t="str">
        <f aca="false">IF($A59="","",'SC Change Orders'!$F41)</f>
        <v/>
      </c>
      <c r="H59" s="33" t="str">
        <f aca="false">IF($A59="","",'SC Change Orders'!$G41)</f>
        <v/>
      </c>
      <c r="I59" s="34" t="str">
        <f aca="false">IF($A59="","",IF(AND(ISNUMBER('SC Change Orders'!$C41),'SC Change Orders'!$C41&gt;=Controls!$C$5,'SC Change Orders'!$C41&lt;=Controls!$C$6),"Yes","No"))</f>
        <v/>
      </c>
      <c r="J59" s="31" t="str">
        <f aca="false">IF($A59="","",IF($K59="","OK",$K59))</f>
        <v/>
      </c>
      <c r="K59" s="0" t="str">
        <f aca="false">IF($A59="","",IF(NOT(ISNUMBER('SC Change Orders'!$B41)),"PO not numeric — row is invisible to the tracker; ","")&amp;IF(NOT(ISNUMBER('SC Change Orders'!$C41)),"Date missing or text — row excluded; ",  IF(OR('SC Change Orders'!$C41&lt;Controls!$C$5,'SC Change Orders'!$C41&gt;Controls!$C$6),"Dated outside the FY window — excluded; ",""))&amp;IF(AND('SC Change Orders'!$E41&lt;&gt;"",NOT(ISNUMBER('SC Change Orders'!$E41))),"Original Amount held as text — ignored by MINIFS; ","")&amp;IF(AND('SC Change Orders'!$F41&lt;&gt;"",NOT(ISNUMBER('SC Change Orders'!$F41))),"Amount Added held as text — ignored by SUMIFS; ","")&amp;IF(ISNUMBER('SC Change Orders'!$E41),IF(ISNUMBER('SC Change Orders'!$F41),IF(ISNUMBER('SC Change Orders'!$G41),  IF('SC Change Orders'!$G41&gt;0,IF(ROUND('SC Change Orders'!$E41+'SC Change Orders'!$F41,2)&lt;&gt;ROUND('SC Change Orders'!$G41,2),  "Original + Added &lt;&gt; Total Line Cost Allotted; ",""),""),""),""),"")&amp;IF(AND(ISNUMBER('SC Change Orders'!$B41),COUNTIFS('SC Change Orders'!$B$2:$B$501,'SC Change Orders'!$B41,'SC Change Orders'!$C$2:$C$501,'SC Change Orders'!$C41,'SC Change Orders'!$D$2:$D$501,'SC Change Orders'!$D41,'SC Change Orders'!$F$2:$F$501,'SC Change Orders'!$F41,'SC Change Orders'!$E$2:$E$501,'SC Change Orders'!$E41)&gt;1),"Duplicate of another row — funds counted twice; ","")&amp;IF(ISNUMBER('SC Change Orders'!$F41),IF('SC Change Orders'!$F41&lt;&gt;0,IF(AND(ISNUMBER('SC Change Orders'!$B41),NOT(COUNTIFS('SC Change Orders'!$B$2:$B$501,'SC Change Orders'!$B41,'SC Change Orders'!$C$2:$C$501,'SC Change Orders'!$C41,'SC Change Orders'!$D$2:$D$501,'SC Change Orders'!$D41,'SC Change Orders'!$F$2:$F$501,'SC Change Orders'!$F41,'SC Change Orders'!$E$2:$E$501,'SC Change Orders'!$E41)&gt;1),COUNTIFS('SC Change Orders'!$B$2:$B$501,'SC Change Orders'!$B41,'SC Change Orders'!$F$2:$F$501,'SC Change Orders'!$F41)&gt;1),  "Same PO and Amount Added as another row — check for a restatement counted twice; ",""),""),""))</f>
        <v/>
      </c>
    </row>
    <row r="60" customFormat="false" ht="15" hidden="false" customHeight="false" outlineLevel="0" collapsed="false">
      <c r="A60" s="18" t="str">
        <f aca="false">IF(AND('SC Change Orders'!$A42="",'SC Change Orders'!$B42="",'SC Change Orders'!$C42=""),"",42)</f>
        <v/>
      </c>
      <c r="B60" s="31" t="str">
        <f aca="false">IF($A60="","",'SC Change Orders'!$A42)</f>
        <v/>
      </c>
      <c r="C60" s="18" t="str">
        <f aca="false">IF($A60="","",'SC Change Orders'!$B42)</f>
        <v/>
      </c>
      <c r="D60" s="32" t="str">
        <f aca="false">IF($A60="","",'SC Change Orders'!$C42)</f>
        <v/>
      </c>
      <c r="E60" s="31" t="str">
        <f aca="false">IF($A60="","",'SC Change Orders'!$D42)</f>
        <v/>
      </c>
      <c r="F60" s="33" t="str">
        <f aca="false">IF($A60="","",'SC Change Orders'!$E42)</f>
        <v/>
      </c>
      <c r="G60" s="33" t="str">
        <f aca="false">IF($A60="","",'SC Change Orders'!$F42)</f>
        <v/>
      </c>
      <c r="H60" s="33" t="str">
        <f aca="false">IF($A60="","",'SC Change Orders'!$G42)</f>
        <v/>
      </c>
      <c r="I60" s="34" t="str">
        <f aca="false">IF($A60="","",IF(AND(ISNUMBER('SC Change Orders'!$C42),'SC Change Orders'!$C42&gt;=Controls!$C$5,'SC Change Orders'!$C42&lt;=Controls!$C$6),"Yes","No"))</f>
        <v/>
      </c>
      <c r="J60" s="31" t="str">
        <f aca="false">IF($A60="","",IF($K60="","OK",$K60))</f>
        <v/>
      </c>
      <c r="K60" s="0" t="str">
        <f aca="false">IF($A60="","",IF(NOT(ISNUMBER('SC Change Orders'!$B42)),"PO not numeric — row is invisible to the tracker; ","")&amp;IF(NOT(ISNUMBER('SC Change Orders'!$C42)),"Date missing or text — row excluded; ",  IF(OR('SC Change Orders'!$C42&lt;Controls!$C$5,'SC Change Orders'!$C42&gt;Controls!$C$6),"Dated outside the FY window — excluded; ",""))&amp;IF(AND('SC Change Orders'!$E42&lt;&gt;"",NOT(ISNUMBER('SC Change Orders'!$E42))),"Original Amount held as text — ignored by MINIFS; ","")&amp;IF(AND('SC Change Orders'!$F42&lt;&gt;"",NOT(ISNUMBER('SC Change Orders'!$F42))),"Amount Added held as text — ignored by SUMIFS; ","")&amp;IF(ISNUMBER('SC Change Orders'!$E42),IF(ISNUMBER('SC Change Orders'!$F42),IF(ISNUMBER('SC Change Orders'!$G42),  IF('SC Change Orders'!$G42&gt;0,IF(ROUND('SC Change Orders'!$E42+'SC Change Orders'!$F42,2)&lt;&gt;ROUND('SC Change Orders'!$G42,2),  "Original + Added &lt;&gt; Total Line Cost Allotted; ",""),""),""),""),"")&amp;IF(AND(ISNUMBER('SC Change Orders'!$B42),COUNTIFS('SC Change Orders'!$B$2:$B$501,'SC Change Orders'!$B42,'SC Change Orders'!$C$2:$C$501,'SC Change Orders'!$C42,'SC Change Orders'!$D$2:$D$501,'SC Change Orders'!$D42,'SC Change Orders'!$F$2:$F$501,'SC Change Orders'!$F42,'SC Change Orders'!$E$2:$E$501,'SC Change Orders'!$E42)&gt;1),"Duplicate of another row — funds counted twice; ","")&amp;IF(ISNUMBER('SC Change Orders'!$F42),IF('SC Change Orders'!$F42&lt;&gt;0,IF(AND(ISNUMBER('SC Change Orders'!$B42),NOT(COUNTIFS('SC Change Orders'!$B$2:$B$501,'SC Change Orders'!$B42,'SC Change Orders'!$C$2:$C$501,'SC Change Orders'!$C42,'SC Change Orders'!$D$2:$D$501,'SC Change Orders'!$D42,'SC Change Orders'!$F$2:$F$501,'SC Change Orders'!$F42,'SC Change Orders'!$E$2:$E$501,'SC Change Orders'!$E42)&gt;1),COUNTIFS('SC Change Orders'!$B$2:$B$501,'SC Change Orders'!$B42,'SC Change Orders'!$F$2:$F$501,'SC Change Orders'!$F42)&gt;1),  "Same PO and Amount Added as another row — check for a restatement counted twice; ",""),""),""))</f>
        <v/>
      </c>
    </row>
    <row r="61" customFormat="false" ht="15" hidden="false" customHeight="false" outlineLevel="0" collapsed="false">
      <c r="A61" s="18" t="str">
        <f aca="false">IF(AND('SC Change Orders'!$A43="",'SC Change Orders'!$B43="",'SC Change Orders'!$C43=""),"",43)</f>
        <v/>
      </c>
      <c r="B61" s="31" t="str">
        <f aca="false">IF($A61="","",'SC Change Orders'!$A43)</f>
        <v/>
      </c>
      <c r="C61" s="18" t="str">
        <f aca="false">IF($A61="","",'SC Change Orders'!$B43)</f>
        <v/>
      </c>
      <c r="D61" s="32" t="str">
        <f aca="false">IF($A61="","",'SC Change Orders'!$C43)</f>
        <v/>
      </c>
      <c r="E61" s="31" t="str">
        <f aca="false">IF($A61="","",'SC Change Orders'!$D43)</f>
        <v/>
      </c>
      <c r="F61" s="33" t="str">
        <f aca="false">IF($A61="","",'SC Change Orders'!$E43)</f>
        <v/>
      </c>
      <c r="G61" s="33" t="str">
        <f aca="false">IF($A61="","",'SC Change Orders'!$F43)</f>
        <v/>
      </c>
      <c r="H61" s="33" t="str">
        <f aca="false">IF($A61="","",'SC Change Orders'!$G43)</f>
        <v/>
      </c>
      <c r="I61" s="34" t="str">
        <f aca="false">IF($A61="","",IF(AND(ISNUMBER('SC Change Orders'!$C43),'SC Change Orders'!$C43&gt;=Controls!$C$5,'SC Change Orders'!$C43&lt;=Controls!$C$6),"Yes","No"))</f>
        <v/>
      </c>
      <c r="J61" s="31" t="str">
        <f aca="false">IF($A61="","",IF($K61="","OK",$K61))</f>
        <v/>
      </c>
      <c r="K61" s="0" t="str">
        <f aca="false">IF($A61="","",IF(NOT(ISNUMBER('SC Change Orders'!$B43)),"PO not numeric — row is invisible to the tracker; ","")&amp;IF(NOT(ISNUMBER('SC Change Orders'!$C43)),"Date missing or text — row excluded; ",  IF(OR('SC Change Orders'!$C43&lt;Controls!$C$5,'SC Change Orders'!$C43&gt;Controls!$C$6),"Dated outside the FY window — excluded; ",""))&amp;IF(AND('SC Change Orders'!$E43&lt;&gt;"",NOT(ISNUMBER('SC Change Orders'!$E43))),"Original Amount held as text — ignored by MINIFS; ","")&amp;IF(AND('SC Change Orders'!$F43&lt;&gt;"",NOT(ISNUMBER('SC Change Orders'!$F43))),"Amount Added held as text — ignored by SUMIFS; ","")&amp;IF(ISNUMBER('SC Change Orders'!$E43),IF(ISNUMBER('SC Change Orders'!$F43),IF(ISNUMBER('SC Change Orders'!$G43),  IF('SC Change Orders'!$G43&gt;0,IF(ROUND('SC Change Orders'!$E43+'SC Change Orders'!$F43,2)&lt;&gt;ROUND('SC Change Orders'!$G43,2),  "Original + Added &lt;&gt; Total Line Cost Allotted; ",""),""),""),""),"")&amp;IF(AND(ISNUMBER('SC Change Orders'!$B43),COUNTIFS('SC Change Orders'!$B$2:$B$501,'SC Change Orders'!$B43,'SC Change Orders'!$C$2:$C$501,'SC Change Orders'!$C43,'SC Change Orders'!$D$2:$D$501,'SC Change Orders'!$D43,'SC Change Orders'!$F$2:$F$501,'SC Change Orders'!$F43,'SC Change Orders'!$E$2:$E$501,'SC Change Orders'!$E43)&gt;1),"Duplicate of another row — funds counted twice; ","")&amp;IF(ISNUMBER('SC Change Orders'!$F43),IF('SC Change Orders'!$F43&lt;&gt;0,IF(AND(ISNUMBER('SC Change Orders'!$B43),NOT(COUNTIFS('SC Change Orders'!$B$2:$B$501,'SC Change Orders'!$B43,'SC Change Orders'!$C$2:$C$501,'SC Change Orders'!$C43,'SC Change Orders'!$D$2:$D$501,'SC Change Orders'!$D43,'SC Change Orders'!$F$2:$F$501,'SC Change Orders'!$F43,'SC Change Orders'!$E$2:$E$501,'SC Change Orders'!$E43)&gt;1),COUNTIFS('SC Change Orders'!$B$2:$B$501,'SC Change Orders'!$B43,'SC Change Orders'!$F$2:$F$501,'SC Change Orders'!$F43)&gt;1),  "Same PO and Amount Added as another row — check for a restatement counted twice; ",""),""),""))</f>
        <v/>
      </c>
    </row>
    <row r="62" customFormat="false" ht="15" hidden="false" customHeight="false" outlineLevel="0" collapsed="false">
      <c r="A62" s="18" t="str">
        <f aca="false">IF(AND('SC Change Orders'!$A44="",'SC Change Orders'!$B44="",'SC Change Orders'!$C44=""),"",44)</f>
        <v/>
      </c>
      <c r="B62" s="31" t="str">
        <f aca="false">IF($A62="","",'SC Change Orders'!$A44)</f>
        <v/>
      </c>
      <c r="C62" s="18" t="str">
        <f aca="false">IF($A62="","",'SC Change Orders'!$B44)</f>
        <v/>
      </c>
      <c r="D62" s="32" t="str">
        <f aca="false">IF($A62="","",'SC Change Orders'!$C44)</f>
        <v/>
      </c>
      <c r="E62" s="31" t="str">
        <f aca="false">IF($A62="","",'SC Change Orders'!$D44)</f>
        <v/>
      </c>
      <c r="F62" s="33" t="str">
        <f aca="false">IF($A62="","",'SC Change Orders'!$E44)</f>
        <v/>
      </c>
      <c r="G62" s="33" t="str">
        <f aca="false">IF($A62="","",'SC Change Orders'!$F44)</f>
        <v/>
      </c>
      <c r="H62" s="33" t="str">
        <f aca="false">IF($A62="","",'SC Change Orders'!$G44)</f>
        <v/>
      </c>
      <c r="I62" s="34" t="str">
        <f aca="false">IF($A62="","",IF(AND(ISNUMBER('SC Change Orders'!$C44),'SC Change Orders'!$C44&gt;=Controls!$C$5,'SC Change Orders'!$C44&lt;=Controls!$C$6),"Yes","No"))</f>
        <v/>
      </c>
      <c r="J62" s="31" t="str">
        <f aca="false">IF($A62="","",IF($K62="","OK",$K62))</f>
        <v/>
      </c>
      <c r="K62" s="0" t="str">
        <f aca="false">IF($A62="","",IF(NOT(ISNUMBER('SC Change Orders'!$B44)),"PO not numeric — row is invisible to the tracker; ","")&amp;IF(NOT(ISNUMBER('SC Change Orders'!$C44)),"Date missing or text — row excluded; ",  IF(OR('SC Change Orders'!$C44&lt;Controls!$C$5,'SC Change Orders'!$C44&gt;Controls!$C$6),"Dated outside the FY window — excluded; ",""))&amp;IF(AND('SC Change Orders'!$E44&lt;&gt;"",NOT(ISNUMBER('SC Change Orders'!$E44))),"Original Amount held as text — ignored by MINIFS; ","")&amp;IF(AND('SC Change Orders'!$F44&lt;&gt;"",NOT(ISNUMBER('SC Change Orders'!$F44))),"Amount Added held as text — ignored by SUMIFS; ","")&amp;IF(ISNUMBER('SC Change Orders'!$E44),IF(ISNUMBER('SC Change Orders'!$F44),IF(ISNUMBER('SC Change Orders'!$G44),  IF('SC Change Orders'!$G44&gt;0,IF(ROUND('SC Change Orders'!$E44+'SC Change Orders'!$F44,2)&lt;&gt;ROUND('SC Change Orders'!$G44,2),  "Original + Added &lt;&gt; Total Line Cost Allotted; ",""),""),""),""),"")&amp;IF(AND(ISNUMBER('SC Change Orders'!$B44),COUNTIFS('SC Change Orders'!$B$2:$B$501,'SC Change Orders'!$B44,'SC Change Orders'!$C$2:$C$501,'SC Change Orders'!$C44,'SC Change Orders'!$D$2:$D$501,'SC Change Orders'!$D44,'SC Change Orders'!$F$2:$F$501,'SC Change Orders'!$F44,'SC Change Orders'!$E$2:$E$501,'SC Change Orders'!$E44)&gt;1),"Duplicate of another row — funds counted twice; ","")&amp;IF(ISNUMBER('SC Change Orders'!$F44),IF('SC Change Orders'!$F44&lt;&gt;0,IF(AND(ISNUMBER('SC Change Orders'!$B44),NOT(COUNTIFS('SC Change Orders'!$B$2:$B$501,'SC Change Orders'!$B44,'SC Change Orders'!$C$2:$C$501,'SC Change Orders'!$C44,'SC Change Orders'!$D$2:$D$501,'SC Change Orders'!$D44,'SC Change Orders'!$F$2:$F$501,'SC Change Orders'!$F44,'SC Change Orders'!$E$2:$E$501,'SC Change Orders'!$E44)&gt;1),COUNTIFS('SC Change Orders'!$B$2:$B$501,'SC Change Orders'!$B44,'SC Change Orders'!$F$2:$F$501,'SC Change Orders'!$F44)&gt;1),  "Same PO and Amount Added as another row — check for a restatement counted twice; ",""),""),""))</f>
        <v/>
      </c>
    </row>
    <row r="63" customFormat="false" ht="15" hidden="false" customHeight="false" outlineLevel="0" collapsed="false">
      <c r="A63" s="18" t="str">
        <f aca="false">IF(AND('SC Change Orders'!$A45="",'SC Change Orders'!$B45="",'SC Change Orders'!$C45=""),"",45)</f>
        <v/>
      </c>
      <c r="B63" s="31" t="str">
        <f aca="false">IF($A63="","",'SC Change Orders'!$A45)</f>
        <v/>
      </c>
      <c r="C63" s="18" t="str">
        <f aca="false">IF($A63="","",'SC Change Orders'!$B45)</f>
        <v/>
      </c>
      <c r="D63" s="32" t="str">
        <f aca="false">IF($A63="","",'SC Change Orders'!$C45)</f>
        <v/>
      </c>
      <c r="E63" s="31" t="str">
        <f aca="false">IF($A63="","",'SC Change Orders'!$D45)</f>
        <v/>
      </c>
      <c r="F63" s="33" t="str">
        <f aca="false">IF($A63="","",'SC Change Orders'!$E45)</f>
        <v/>
      </c>
      <c r="G63" s="33" t="str">
        <f aca="false">IF($A63="","",'SC Change Orders'!$F45)</f>
        <v/>
      </c>
      <c r="H63" s="33" t="str">
        <f aca="false">IF($A63="","",'SC Change Orders'!$G45)</f>
        <v/>
      </c>
      <c r="I63" s="34" t="str">
        <f aca="false">IF($A63="","",IF(AND(ISNUMBER('SC Change Orders'!$C45),'SC Change Orders'!$C45&gt;=Controls!$C$5,'SC Change Orders'!$C45&lt;=Controls!$C$6),"Yes","No"))</f>
        <v/>
      </c>
      <c r="J63" s="31" t="str">
        <f aca="false">IF($A63="","",IF($K63="","OK",$K63))</f>
        <v/>
      </c>
      <c r="K63" s="0" t="str">
        <f aca="false">IF($A63="","",IF(NOT(ISNUMBER('SC Change Orders'!$B45)),"PO not numeric — row is invisible to the tracker; ","")&amp;IF(NOT(ISNUMBER('SC Change Orders'!$C45)),"Date missing or text — row excluded; ",  IF(OR('SC Change Orders'!$C45&lt;Controls!$C$5,'SC Change Orders'!$C45&gt;Controls!$C$6),"Dated outside the FY window — excluded; ",""))&amp;IF(AND('SC Change Orders'!$E45&lt;&gt;"",NOT(ISNUMBER('SC Change Orders'!$E45))),"Original Amount held as text — ignored by MINIFS; ","")&amp;IF(AND('SC Change Orders'!$F45&lt;&gt;"",NOT(ISNUMBER('SC Change Orders'!$F45))),"Amount Added held as text — ignored by SUMIFS; ","")&amp;IF(ISNUMBER('SC Change Orders'!$E45),IF(ISNUMBER('SC Change Orders'!$F45),IF(ISNUMBER('SC Change Orders'!$G45),  IF('SC Change Orders'!$G45&gt;0,IF(ROUND('SC Change Orders'!$E45+'SC Change Orders'!$F45,2)&lt;&gt;ROUND('SC Change Orders'!$G45,2),  "Original + Added &lt;&gt; Total Line Cost Allotted; ",""),""),""),""),"")&amp;IF(AND(ISNUMBER('SC Change Orders'!$B45),COUNTIFS('SC Change Orders'!$B$2:$B$501,'SC Change Orders'!$B45,'SC Change Orders'!$C$2:$C$501,'SC Change Orders'!$C45,'SC Change Orders'!$D$2:$D$501,'SC Change Orders'!$D45,'SC Change Orders'!$F$2:$F$501,'SC Change Orders'!$F45,'SC Change Orders'!$E$2:$E$501,'SC Change Orders'!$E45)&gt;1),"Duplicate of another row — funds counted twice; ","")&amp;IF(ISNUMBER('SC Change Orders'!$F45),IF('SC Change Orders'!$F45&lt;&gt;0,IF(AND(ISNUMBER('SC Change Orders'!$B45),NOT(COUNTIFS('SC Change Orders'!$B$2:$B$501,'SC Change Orders'!$B45,'SC Change Orders'!$C$2:$C$501,'SC Change Orders'!$C45,'SC Change Orders'!$D$2:$D$501,'SC Change Orders'!$D45,'SC Change Orders'!$F$2:$F$501,'SC Change Orders'!$F45,'SC Change Orders'!$E$2:$E$501,'SC Change Orders'!$E45)&gt;1),COUNTIFS('SC Change Orders'!$B$2:$B$501,'SC Change Orders'!$B45,'SC Change Orders'!$F$2:$F$501,'SC Change Orders'!$F45)&gt;1),  "Same PO and Amount Added as another row — check for a restatement counted twice; ",""),""),""))</f>
        <v/>
      </c>
    </row>
    <row r="64" customFormat="false" ht="15" hidden="false" customHeight="false" outlineLevel="0" collapsed="false">
      <c r="A64" s="18" t="str">
        <f aca="false">IF(AND('SC Change Orders'!$A46="",'SC Change Orders'!$B46="",'SC Change Orders'!$C46=""),"",46)</f>
        <v/>
      </c>
      <c r="B64" s="31" t="str">
        <f aca="false">IF($A64="","",'SC Change Orders'!$A46)</f>
        <v/>
      </c>
      <c r="C64" s="18" t="str">
        <f aca="false">IF($A64="","",'SC Change Orders'!$B46)</f>
        <v/>
      </c>
      <c r="D64" s="32" t="str">
        <f aca="false">IF($A64="","",'SC Change Orders'!$C46)</f>
        <v/>
      </c>
      <c r="E64" s="31" t="str">
        <f aca="false">IF($A64="","",'SC Change Orders'!$D46)</f>
        <v/>
      </c>
      <c r="F64" s="33" t="str">
        <f aca="false">IF($A64="","",'SC Change Orders'!$E46)</f>
        <v/>
      </c>
      <c r="G64" s="33" t="str">
        <f aca="false">IF($A64="","",'SC Change Orders'!$F46)</f>
        <v/>
      </c>
      <c r="H64" s="33" t="str">
        <f aca="false">IF($A64="","",'SC Change Orders'!$G46)</f>
        <v/>
      </c>
      <c r="I64" s="34" t="str">
        <f aca="false">IF($A64="","",IF(AND(ISNUMBER('SC Change Orders'!$C46),'SC Change Orders'!$C46&gt;=Controls!$C$5,'SC Change Orders'!$C46&lt;=Controls!$C$6),"Yes","No"))</f>
        <v/>
      </c>
      <c r="J64" s="31" t="str">
        <f aca="false">IF($A64="","",IF($K64="","OK",$K64))</f>
        <v/>
      </c>
      <c r="K64" s="0" t="str">
        <f aca="false">IF($A64="","",IF(NOT(ISNUMBER('SC Change Orders'!$B46)),"PO not numeric — row is invisible to the tracker; ","")&amp;IF(NOT(ISNUMBER('SC Change Orders'!$C46)),"Date missing or text — row excluded; ",  IF(OR('SC Change Orders'!$C46&lt;Controls!$C$5,'SC Change Orders'!$C46&gt;Controls!$C$6),"Dated outside the FY window — excluded; ",""))&amp;IF(AND('SC Change Orders'!$E46&lt;&gt;"",NOT(ISNUMBER('SC Change Orders'!$E46))),"Original Amount held as text — ignored by MINIFS; ","")&amp;IF(AND('SC Change Orders'!$F46&lt;&gt;"",NOT(ISNUMBER('SC Change Orders'!$F46))),"Amount Added held as text — ignored by SUMIFS; ","")&amp;IF(ISNUMBER('SC Change Orders'!$E46),IF(ISNUMBER('SC Change Orders'!$F46),IF(ISNUMBER('SC Change Orders'!$G46),  IF('SC Change Orders'!$G46&gt;0,IF(ROUND('SC Change Orders'!$E46+'SC Change Orders'!$F46,2)&lt;&gt;ROUND('SC Change Orders'!$G46,2),  "Original + Added &lt;&gt; Total Line Cost Allotted; ",""),""),""),""),"")&amp;IF(AND(ISNUMBER('SC Change Orders'!$B46),COUNTIFS('SC Change Orders'!$B$2:$B$501,'SC Change Orders'!$B46,'SC Change Orders'!$C$2:$C$501,'SC Change Orders'!$C46,'SC Change Orders'!$D$2:$D$501,'SC Change Orders'!$D46,'SC Change Orders'!$F$2:$F$501,'SC Change Orders'!$F46,'SC Change Orders'!$E$2:$E$501,'SC Change Orders'!$E46)&gt;1),"Duplicate of another row — funds counted twice; ","")&amp;IF(ISNUMBER('SC Change Orders'!$F46),IF('SC Change Orders'!$F46&lt;&gt;0,IF(AND(ISNUMBER('SC Change Orders'!$B46),NOT(COUNTIFS('SC Change Orders'!$B$2:$B$501,'SC Change Orders'!$B46,'SC Change Orders'!$C$2:$C$501,'SC Change Orders'!$C46,'SC Change Orders'!$D$2:$D$501,'SC Change Orders'!$D46,'SC Change Orders'!$F$2:$F$501,'SC Change Orders'!$F46,'SC Change Orders'!$E$2:$E$501,'SC Change Orders'!$E46)&gt;1),COUNTIFS('SC Change Orders'!$B$2:$B$501,'SC Change Orders'!$B46,'SC Change Orders'!$F$2:$F$501,'SC Change Orders'!$F46)&gt;1),  "Same PO and Amount Added as another row — check for a restatement counted twice; ",""),""),""))</f>
        <v/>
      </c>
    </row>
    <row r="65" customFormat="false" ht="15" hidden="false" customHeight="false" outlineLevel="0" collapsed="false">
      <c r="A65" s="18" t="str">
        <f aca="false">IF(AND('SC Change Orders'!$A47="",'SC Change Orders'!$B47="",'SC Change Orders'!$C47=""),"",47)</f>
        <v/>
      </c>
      <c r="B65" s="31" t="str">
        <f aca="false">IF($A65="","",'SC Change Orders'!$A47)</f>
        <v/>
      </c>
      <c r="C65" s="18" t="str">
        <f aca="false">IF($A65="","",'SC Change Orders'!$B47)</f>
        <v/>
      </c>
      <c r="D65" s="32" t="str">
        <f aca="false">IF($A65="","",'SC Change Orders'!$C47)</f>
        <v/>
      </c>
      <c r="E65" s="31" t="str">
        <f aca="false">IF($A65="","",'SC Change Orders'!$D47)</f>
        <v/>
      </c>
      <c r="F65" s="33" t="str">
        <f aca="false">IF($A65="","",'SC Change Orders'!$E47)</f>
        <v/>
      </c>
      <c r="G65" s="33" t="str">
        <f aca="false">IF($A65="","",'SC Change Orders'!$F47)</f>
        <v/>
      </c>
      <c r="H65" s="33" t="str">
        <f aca="false">IF($A65="","",'SC Change Orders'!$G47)</f>
        <v/>
      </c>
      <c r="I65" s="34" t="str">
        <f aca="false">IF($A65="","",IF(AND(ISNUMBER('SC Change Orders'!$C47),'SC Change Orders'!$C47&gt;=Controls!$C$5,'SC Change Orders'!$C47&lt;=Controls!$C$6),"Yes","No"))</f>
        <v/>
      </c>
      <c r="J65" s="31" t="str">
        <f aca="false">IF($A65="","",IF($K65="","OK",$K65))</f>
        <v/>
      </c>
      <c r="K65" s="0" t="str">
        <f aca="false">IF($A65="","",IF(NOT(ISNUMBER('SC Change Orders'!$B47)),"PO not numeric — row is invisible to the tracker; ","")&amp;IF(NOT(ISNUMBER('SC Change Orders'!$C47)),"Date missing or text — row excluded; ",  IF(OR('SC Change Orders'!$C47&lt;Controls!$C$5,'SC Change Orders'!$C47&gt;Controls!$C$6),"Dated outside the FY window — excluded; ",""))&amp;IF(AND('SC Change Orders'!$E47&lt;&gt;"",NOT(ISNUMBER('SC Change Orders'!$E47))),"Original Amount held as text — ignored by MINIFS; ","")&amp;IF(AND('SC Change Orders'!$F47&lt;&gt;"",NOT(ISNUMBER('SC Change Orders'!$F47))),"Amount Added held as text — ignored by SUMIFS; ","")&amp;IF(ISNUMBER('SC Change Orders'!$E47),IF(ISNUMBER('SC Change Orders'!$F47),IF(ISNUMBER('SC Change Orders'!$G47),  IF('SC Change Orders'!$G47&gt;0,IF(ROUND('SC Change Orders'!$E47+'SC Change Orders'!$F47,2)&lt;&gt;ROUND('SC Change Orders'!$G47,2),  "Original + Added &lt;&gt; Total Line Cost Allotted; ",""),""),""),""),"")&amp;IF(AND(ISNUMBER('SC Change Orders'!$B47),COUNTIFS('SC Change Orders'!$B$2:$B$501,'SC Change Orders'!$B47,'SC Change Orders'!$C$2:$C$501,'SC Change Orders'!$C47,'SC Change Orders'!$D$2:$D$501,'SC Change Orders'!$D47,'SC Change Orders'!$F$2:$F$501,'SC Change Orders'!$F47,'SC Change Orders'!$E$2:$E$501,'SC Change Orders'!$E47)&gt;1),"Duplicate of another row — funds counted twice; ","")&amp;IF(ISNUMBER('SC Change Orders'!$F47),IF('SC Change Orders'!$F47&lt;&gt;0,IF(AND(ISNUMBER('SC Change Orders'!$B47),NOT(COUNTIFS('SC Change Orders'!$B$2:$B$501,'SC Change Orders'!$B47,'SC Change Orders'!$C$2:$C$501,'SC Change Orders'!$C47,'SC Change Orders'!$D$2:$D$501,'SC Change Orders'!$D47,'SC Change Orders'!$F$2:$F$501,'SC Change Orders'!$F47,'SC Change Orders'!$E$2:$E$501,'SC Change Orders'!$E47)&gt;1),COUNTIFS('SC Change Orders'!$B$2:$B$501,'SC Change Orders'!$B47,'SC Change Orders'!$F$2:$F$501,'SC Change Orders'!$F47)&gt;1),  "Same PO and Amount Added as another row — check for a restatement counted twice; ",""),""),""))</f>
        <v/>
      </c>
    </row>
    <row r="66" customFormat="false" ht="15" hidden="false" customHeight="false" outlineLevel="0" collapsed="false">
      <c r="A66" s="18" t="str">
        <f aca="false">IF(AND('SC Change Orders'!$A48="",'SC Change Orders'!$B48="",'SC Change Orders'!$C48=""),"",48)</f>
        <v/>
      </c>
      <c r="B66" s="31" t="str">
        <f aca="false">IF($A66="","",'SC Change Orders'!$A48)</f>
        <v/>
      </c>
      <c r="C66" s="18" t="str">
        <f aca="false">IF($A66="","",'SC Change Orders'!$B48)</f>
        <v/>
      </c>
      <c r="D66" s="32" t="str">
        <f aca="false">IF($A66="","",'SC Change Orders'!$C48)</f>
        <v/>
      </c>
      <c r="E66" s="31" t="str">
        <f aca="false">IF($A66="","",'SC Change Orders'!$D48)</f>
        <v/>
      </c>
      <c r="F66" s="33" t="str">
        <f aca="false">IF($A66="","",'SC Change Orders'!$E48)</f>
        <v/>
      </c>
      <c r="G66" s="33" t="str">
        <f aca="false">IF($A66="","",'SC Change Orders'!$F48)</f>
        <v/>
      </c>
      <c r="H66" s="33" t="str">
        <f aca="false">IF($A66="","",'SC Change Orders'!$G48)</f>
        <v/>
      </c>
      <c r="I66" s="34" t="str">
        <f aca="false">IF($A66="","",IF(AND(ISNUMBER('SC Change Orders'!$C48),'SC Change Orders'!$C48&gt;=Controls!$C$5,'SC Change Orders'!$C48&lt;=Controls!$C$6),"Yes","No"))</f>
        <v/>
      </c>
      <c r="J66" s="31" t="str">
        <f aca="false">IF($A66="","",IF($K66="","OK",$K66))</f>
        <v/>
      </c>
      <c r="K66" s="0" t="str">
        <f aca="false">IF($A66="","",IF(NOT(ISNUMBER('SC Change Orders'!$B48)),"PO not numeric — row is invisible to the tracker; ","")&amp;IF(NOT(ISNUMBER('SC Change Orders'!$C48)),"Date missing or text — row excluded; ",  IF(OR('SC Change Orders'!$C48&lt;Controls!$C$5,'SC Change Orders'!$C48&gt;Controls!$C$6),"Dated outside the FY window — excluded; ",""))&amp;IF(AND('SC Change Orders'!$E48&lt;&gt;"",NOT(ISNUMBER('SC Change Orders'!$E48))),"Original Amount held as text — ignored by MINIFS; ","")&amp;IF(AND('SC Change Orders'!$F48&lt;&gt;"",NOT(ISNUMBER('SC Change Orders'!$F48))),"Amount Added held as text — ignored by SUMIFS; ","")&amp;IF(ISNUMBER('SC Change Orders'!$E48),IF(ISNUMBER('SC Change Orders'!$F48),IF(ISNUMBER('SC Change Orders'!$G48),  IF('SC Change Orders'!$G48&gt;0,IF(ROUND('SC Change Orders'!$E48+'SC Change Orders'!$F48,2)&lt;&gt;ROUND('SC Change Orders'!$G48,2),  "Original + Added &lt;&gt; Total Line Cost Allotted; ",""),""),""),""),"")&amp;IF(AND(ISNUMBER('SC Change Orders'!$B48),COUNTIFS('SC Change Orders'!$B$2:$B$501,'SC Change Orders'!$B48,'SC Change Orders'!$C$2:$C$501,'SC Change Orders'!$C48,'SC Change Orders'!$D$2:$D$501,'SC Change Orders'!$D48,'SC Change Orders'!$F$2:$F$501,'SC Change Orders'!$F48,'SC Change Orders'!$E$2:$E$501,'SC Change Orders'!$E48)&gt;1),"Duplicate of another row — funds counted twice; ","")&amp;IF(ISNUMBER('SC Change Orders'!$F48),IF('SC Change Orders'!$F48&lt;&gt;0,IF(AND(ISNUMBER('SC Change Orders'!$B48),NOT(COUNTIFS('SC Change Orders'!$B$2:$B$501,'SC Change Orders'!$B48,'SC Change Orders'!$C$2:$C$501,'SC Change Orders'!$C48,'SC Change Orders'!$D$2:$D$501,'SC Change Orders'!$D48,'SC Change Orders'!$F$2:$F$501,'SC Change Orders'!$F48,'SC Change Orders'!$E$2:$E$501,'SC Change Orders'!$E48)&gt;1),COUNTIFS('SC Change Orders'!$B$2:$B$501,'SC Change Orders'!$B48,'SC Change Orders'!$F$2:$F$501,'SC Change Orders'!$F48)&gt;1),  "Same PO and Amount Added as another row — check for a restatement counted twice; ",""),""),""))</f>
        <v/>
      </c>
    </row>
    <row r="67" customFormat="false" ht="15" hidden="false" customHeight="false" outlineLevel="0" collapsed="false">
      <c r="A67" s="18" t="str">
        <f aca="false">IF(AND('SC Change Orders'!$A49="",'SC Change Orders'!$B49="",'SC Change Orders'!$C49=""),"",49)</f>
        <v/>
      </c>
      <c r="B67" s="31" t="str">
        <f aca="false">IF($A67="","",'SC Change Orders'!$A49)</f>
        <v/>
      </c>
      <c r="C67" s="18" t="str">
        <f aca="false">IF($A67="","",'SC Change Orders'!$B49)</f>
        <v/>
      </c>
      <c r="D67" s="32" t="str">
        <f aca="false">IF($A67="","",'SC Change Orders'!$C49)</f>
        <v/>
      </c>
      <c r="E67" s="31" t="str">
        <f aca="false">IF($A67="","",'SC Change Orders'!$D49)</f>
        <v/>
      </c>
      <c r="F67" s="33" t="str">
        <f aca="false">IF($A67="","",'SC Change Orders'!$E49)</f>
        <v/>
      </c>
      <c r="G67" s="33" t="str">
        <f aca="false">IF($A67="","",'SC Change Orders'!$F49)</f>
        <v/>
      </c>
      <c r="H67" s="33" t="str">
        <f aca="false">IF($A67="","",'SC Change Orders'!$G49)</f>
        <v/>
      </c>
      <c r="I67" s="34" t="str">
        <f aca="false">IF($A67="","",IF(AND(ISNUMBER('SC Change Orders'!$C49),'SC Change Orders'!$C49&gt;=Controls!$C$5,'SC Change Orders'!$C49&lt;=Controls!$C$6),"Yes","No"))</f>
        <v/>
      </c>
      <c r="J67" s="31" t="str">
        <f aca="false">IF($A67="","",IF($K67="","OK",$K67))</f>
        <v/>
      </c>
      <c r="K67" s="0" t="str">
        <f aca="false">IF($A67="","",IF(NOT(ISNUMBER('SC Change Orders'!$B49)),"PO not numeric — row is invisible to the tracker; ","")&amp;IF(NOT(ISNUMBER('SC Change Orders'!$C49)),"Date missing or text — row excluded; ",  IF(OR('SC Change Orders'!$C49&lt;Controls!$C$5,'SC Change Orders'!$C49&gt;Controls!$C$6),"Dated outside the FY window — excluded; ",""))&amp;IF(AND('SC Change Orders'!$E49&lt;&gt;"",NOT(ISNUMBER('SC Change Orders'!$E49))),"Original Amount held as text — ignored by MINIFS; ","")&amp;IF(AND('SC Change Orders'!$F49&lt;&gt;"",NOT(ISNUMBER('SC Change Orders'!$F49))),"Amount Added held as text — ignored by SUMIFS; ","")&amp;IF(ISNUMBER('SC Change Orders'!$E49),IF(ISNUMBER('SC Change Orders'!$F49),IF(ISNUMBER('SC Change Orders'!$G49),  IF('SC Change Orders'!$G49&gt;0,IF(ROUND('SC Change Orders'!$E49+'SC Change Orders'!$F49,2)&lt;&gt;ROUND('SC Change Orders'!$G49,2),  "Original + Added &lt;&gt; Total Line Cost Allotted; ",""),""),""),""),"")&amp;IF(AND(ISNUMBER('SC Change Orders'!$B49),COUNTIFS('SC Change Orders'!$B$2:$B$501,'SC Change Orders'!$B49,'SC Change Orders'!$C$2:$C$501,'SC Change Orders'!$C49,'SC Change Orders'!$D$2:$D$501,'SC Change Orders'!$D49,'SC Change Orders'!$F$2:$F$501,'SC Change Orders'!$F49,'SC Change Orders'!$E$2:$E$501,'SC Change Orders'!$E49)&gt;1),"Duplicate of another row — funds counted twice; ","")&amp;IF(ISNUMBER('SC Change Orders'!$F49),IF('SC Change Orders'!$F49&lt;&gt;0,IF(AND(ISNUMBER('SC Change Orders'!$B49),NOT(COUNTIFS('SC Change Orders'!$B$2:$B$501,'SC Change Orders'!$B49,'SC Change Orders'!$C$2:$C$501,'SC Change Orders'!$C49,'SC Change Orders'!$D$2:$D$501,'SC Change Orders'!$D49,'SC Change Orders'!$F$2:$F$501,'SC Change Orders'!$F49,'SC Change Orders'!$E$2:$E$501,'SC Change Orders'!$E49)&gt;1),COUNTIFS('SC Change Orders'!$B$2:$B$501,'SC Change Orders'!$B49,'SC Change Orders'!$F$2:$F$501,'SC Change Orders'!$F49)&gt;1),  "Same PO and Amount Added as another row — check for a restatement counted twice; ",""),""),""))</f>
        <v/>
      </c>
    </row>
    <row r="68" customFormat="false" ht="15" hidden="false" customHeight="false" outlineLevel="0" collapsed="false">
      <c r="A68" s="18" t="str">
        <f aca="false">IF(AND('SC Change Orders'!$A50="",'SC Change Orders'!$B50="",'SC Change Orders'!$C50=""),"",50)</f>
        <v/>
      </c>
      <c r="B68" s="31" t="str">
        <f aca="false">IF($A68="","",'SC Change Orders'!$A50)</f>
        <v/>
      </c>
      <c r="C68" s="18" t="str">
        <f aca="false">IF($A68="","",'SC Change Orders'!$B50)</f>
        <v/>
      </c>
      <c r="D68" s="32" t="str">
        <f aca="false">IF($A68="","",'SC Change Orders'!$C50)</f>
        <v/>
      </c>
      <c r="E68" s="31" t="str">
        <f aca="false">IF($A68="","",'SC Change Orders'!$D50)</f>
        <v/>
      </c>
      <c r="F68" s="33" t="str">
        <f aca="false">IF($A68="","",'SC Change Orders'!$E50)</f>
        <v/>
      </c>
      <c r="G68" s="33" t="str">
        <f aca="false">IF($A68="","",'SC Change Orders'!$F50)</f>
        <v/>
      </c>
      <c r="H68" s="33" t="str">
        <f aca="false">IF($A68="","",'SC Change Orders'!$G50)</f>
        <v/>
      </c>
      <c r="I68" s="34" t="str">
        <f aca="false">IF($A68="","",IF(AND(ISNUMBER('SC Change Orders'!$C50),'SC Change Orders'!$C50&gt;=Controls!$C$5,'SC Change Orders'!$C50&lt;=Controls!$C$6),"Yes","No"))</f>
        <v/>
      </c>
      <c r="J68" s="31" t="str">
        <f aca="false">IF($A68="","",IF($K68="","OK",$K68))</f>
        <v/>
      </c>
      <c r="K68" s="0" t="str">
        <f aca="false">IF($A68="","",IF(NOT(ISNUMBER('SC Change Orders'!$B50)),"PO not numeric — row is invisible to the tracker; ","")&amp;IF(NOT(ISNUMBER('SC Change Orders'!$C50)),"Date missing or text — row excluded; ",  IF(OR('SC Change Orders'!$C50&lt;Controls!$C$5,'SC Change Orders'!$C50&gt;Controls!$C$6),"Dated outside the FY window — excluded; ",""))&amp;IF(AND('SC Change Orders'!$E50&lt;&gt;"",NOT(ISNUMBER('SC Change Orders'!$E50))),"Original Amount held as text — ignored by MINIFS; ","")&amp;IF(AND('SC Change Orders'!$F50&lt;&gt;"",NOT(ISNUMBER('SC Change Orders'!$F50))),"Amount Added held as text — ignored by SUMIFS; ","")&amp;IF(ISNUMBER('SC Change Orders'!$E50),IF(ISNUMBER('SC Change Orders'!$F50),IF(ISNUMBER('SC Change Orders'!$G50),  IF('SC Change Orders'!$G50&gt;0,IF(ROUND('SC Change Orders'!$E50+'SC Change Orders'!$F50,2)&lt;&gt;ROUND('SC Change Orders'!$G50,2),  "Original + Added &lt;&gt; Total Line Cost Allotted; ",""),""),""),""),"")&amp;IF(AND(ISNUMBER('SC Change Orders'!$B50),COUNTIFS('SC Change Orders'!$B$2:$B$501,'SC Change Orders'!$B50,'SC Change Orders'!$C$2:$C$501,'SC Change Orders'!$C50,'SC Change Orders'!$D$2:$D$501,'SC Change Orders'!$D50,'SC Change Orders'!$F$2:$F$501,'SC Change Orders'!$F50,'SC Change Orders'!$E$2:$E$501,'SC Change Orders'!$E50)&gt;1),"Duplicate of another row — funds counted twice; ","")&amp;IF(ISNUMBER('SC Change Orders'!$F50),IF('SC Change Orders'!$F50&lt;&gt;0,IF(AND(ISNUMBER('SC Change Orders'!$B50),NOT(COUNTIFS('SC Change Orders'!$B$2:$B$501,'SC Change Orders'!$B50,'SC Change Orders'!$C$2:$C$501,'SC Change Orders'!$C50,'SC Change Orders'!$D$2:$D$501,'SC Change Orders'!$D50,'SC Change Orders'!$F$2:$F$501,'SC Change Orders'!$F50,'SC Change Orders'!$E$2:$E$501,'SC Change Orders'!$E50)&gt;1),COUNTIFS('SC Change Orders'!$B$2:$B$501,'SC Change Orders'!$B50,'SC Change Orders'!$F$2:$F$501,'SC Change Orders'!$F50)&gt;1),  "Same PO and Amount Added as another row — check for a restatement counted twice; ",""),""),""))</f>
        <v/>
      </c>
    </row>
    <row r="69" customFormat="false" ht="15" hidden="false" customHeight="false" outlineLevel="0" collapsed="false">
      <c r="A69" s="18" t="str">
        <f aca="false">IF(AND('SC Change Orders'!$A51="",'SC Change Orders'!$B51="",'SC Change Orders'!$C51=""),"",51)</f>
        <v/>
      </c>
      <c r="B69" s="31" t="str">
        <f aca="false">IF($A69="","",'SC Change Orders'!$A51)</f>
        <v/>
      </c>
      <c r="C69" s="18" t="str">
        <f aca="false">IF($A69="","",'SC Change Orders'!$B51)</f>
        <v/>
      </c>
      <c r="D69" s="32" t="str">
        <f aca="false">IF($A69="","",'SC Change Orders'!$C51)</f>
        <v/>
      </c>
      <c r="E69" s="31" t="str">
        <f aca="false">IF($A69="","",'SC Change Orders'!$D51)</f>
        <v/>
      </c>
      <c r="F69" s="33" t="str">
        <f aca="false">IF($A69="","",'SC Change Orders'!$E51)</f>
        <v/>
      </c>
      <c r="G69" s="33" t="str">
        <f aca="false">IF($A69="","",'SC Change Orders'!$F51)</f>
        <v/>
      </c>
      <c r="H69" s="33" t="str">
        <f aca="false">IF($A69="","",'SC Change Orders'!$G51)</f>
        <v/>
      </c>
      <c r="I69" s="34" t="str">
        <f aca="false">IF($A69="","",IF(AND(ISNUMBER('SC Change Orders'!$C51),'SC Change Orders'!$C51&gt;=Controls!$C$5,'SC Change Orders'!$C51&lt;=Controls!$C$6),"Yes","No"))</f>
        <v/>
      </c>
      <c r="J69" s="31" t="str">
        <f aca="false">IF($A69="","",IF($K69="","OK",$K69))</f>
        <v/>
      </c>
      <c r="K69" s="0" t="str">
        <f aca="false">IF($A69="","",IF(NOT(ISNUMBER('SC Change Orders'!$B51)),"PO not numeric — row is invisible to the tracker; ","")&amp;IF(NOT(ISNUMBER('SC Change Orders'!$C51)),"Date missing or text — row excluded; ",  IF(OR('SC Change Orders'!$C51&lt;Controls!$C$5,'SC Change Orders'!$C51&gt;Controls!$C$6),"Dated outside the FY window — excluded; ",""))&amp;IF(AND('SC Change Orders'!$E51&lt;&gt;"",NOT(ISNUMBER('SC Change Orders'!$E51))),"Original Amount held as text — ignored by MINIFS; ","")&amp;IF(AND('SC Change Orders'!$F51&lt;&gt;"",NOT(ISNUMBER('SC Change Orders'!$F51))),"Amount Added held as text — ignored by SUMIFS; ","")&amp;IF(ISNUMBER('SC Change Orders'!$E51),IF(ISNUMBER('SC Change Orders'!$F51),IF(ISNUMBER('SC Change Orders'!$G51),  IF('SC Change Orders'!$G51&gt;0,IF(ROUND('SC Change Orders'!$E51+'SC Change Orders'!$F51,2)&lt;&gt;ROUND('SC Change Orders'!$G51,2),  "Original + Added &lt;&gt; Total Line Cost Allotted; ",""),""),""),""),"")&amp;IF(AND(ISNUMBER('SC Change Orders'!$B51),COUNTIFS('SC Change Orders'!$B$2:$B$501,'SC Change Orders'!$B51,'SC Change Orders'!$C$2:$C$501,'SC Change Orders'!$C51,'SC Change Orders'!$D$2:$D$501,'SC Change Orders'!$D51,'SC Change Orders'!$F$2:$F$501,'SC Change Orders'!$F51,'SC Change Orders'!$E$2:$E$501,'SC Change Orders'!$E51)&gt;1),"Duplicate of another row — funds counted twice; ","")&amp;IF(ISNUMBER('SC Change Orders'!$F51),IF('SC Change Orders'!$F51&lt;&gt;0,IF(AND(ISNUMBER('SC Change Orders'!$B51),NOT(COUNTIFS('SC Change Orders'!$B$2:$B$501,'SC Change Orders'!$B51,'SC Change Orders'!$C$2:$C$501,'SC Change Orders'!$C51,'SC Change Orders'!$D$2:$D$501,'SC Change Orders'!$D51,'SC Change Orders'!$F$2:$F$501,'SC Change Orders'!$F51,'SC Change Orders'!$E$2:$E$501,'SC Change Orders'!$E51)&gt;1),COUNTIFS('SC Change Orders'!$B$2:$B$501,'SC Change Orders'!$B51,'SC Change Orders'!$F$2:$F$501,'SC Change Orders'!$F51)&gt;1),  "Same PO and Amount Added as another row — check for a restatement counted twice; ",""),""),""))</f>
        <v/>
      </c>
    </row>
    <row r="70" customFormat="false" ht="15" hidden="false" customHeight="false" outlineLevel="0" collapsed="false">
      <c r="A70" s="18" t="str">
        <f aca="false">IF(AND('SC Change Orders'!$A52="",'SC Change Orders'!$B52="",'SC Change Orders'!$C52=""),"",52)</f>
        <v/>
      </c>
      <c r="B70" s="31" t="str">
        <f aca="false">IF($A70="","",'SC Change Orders'!$A52)</f>
        <v/>
      </c>
      <c r="C70" s="18" t="str">
        <f aca="false">IF($A70="","",'SC Change Orders'!$B52)</f>
        <v/>
      </c>
      <c r="D70" s="32" t="str">
        <f aca="false">IF($A70="","",'SC Change Orders'!$C52)</f>
        <v/>
      </c>
      <c r="E70" s="31" t="str">
        <f aca="false">IF($A70="","",'SC Change Orders'!$D52)</f>
        <v/>
      </c>
      <c r="F70" s="33" t="str">
        <f aca="false">IF($A70="","",'SC Change Orders'!$E52)</f>
        <v/>
      </c>
      <c r="G70" s="33" t="str">
        <f aca="false">IF($A70="","",'SC Change Orders'!$F52)</f>
        <v/>
      </c>
      <c r="H70" s="33" t="str">
        <f aca="false">IF($A70="","",'SC Change Orders'!$G52)</f>
        <v/>
      </c>
      <c r="I70" s="34" t="str">
        <f aca="false">IF($A70="","",IF(AND(ISNUMBER('SC Change Orders'!$C52),'SC Change Orders'!$C52&gt;=Controls!$C$5,'SC Change Orders'!$C52&lt;=Controls!$C$6),"Yes","No"))</f>
        <v/>
      </c>
      <c r="J70" s="31" t="str">
        <f aca="false">IF($A70="","",IF($K70="","OK",$K70))</f>
        <v/>
      </c>
      <c r="K70" s="0" t="str">
        <f aca="false">IF($A70="","",IF(NOT(ISNUMBER('SC Change Orders'!$B52)),"PO not numeric — row is invisible to the tracker; ","")&amp;IF(NOT(ISNUMBER('SC Change Orders'!$C52)),"Date missing or text — row excluded; ",  IF(OR('SC Change Orders'!$C52&lt;Controls!$C$5,'SC Change Orders'!$C52&gt;Controls!$C$6),"Dated outside the FY window — excluded; ",""))&amp;IF(AND('SC Change Orders'!$E52&lt;&gt;"",NOT(ISNUMBER('SC Change Orders'!$E52))),"Original Amount held as text — ignored by MINIFS; ","")&amp;IF(AND('SC Change Orders'!$F52&lt;&gt;"",NOT(ISNUMBER('SC Change Orders'!$F52))),"Amount Added held as text — ignored by SUMIFS; ","")&amp;IF(ISNUMBER('SC Change Orders'!$E52),IF(ISNUMBER('SC Change Orders'!$F52),IF(ISNUMBER('SC Change Orders'!$G52),  IF('SC Change Orders'!$G52&gt;0,IF(ROUND('SC Change Orders'!$E52+'SC Change Orders'!$F52,2)&lt;&gt;ROUND('SC Change Orders'!$G52,2),  "Original + Added &lt;&gt; Total Line Cost Allotted; ",""),""),""),""),"")&amp;IF(AND(ISNUMBER('SC Change Orders'!$B52),COUNTIFS('SC Change Orders'!$B$2:$B$501,'SC Change Orders'!$B52,'SC Change Orders'!$C$2:$C$501,'SC Change Orders'!$C52,'SC Change Orders'!$D$2:$D$501,'SC Change Orders'!$D52,'SC Change Orders'!$F$2:$F$501,'SC Change Orders'!$F52,'SC Change Orders'!$E$2:$E$501,'SC Change Orders'!$E52)&gt;1),"Duplicate of another row — funds counted twice; ","")&amp;IF(ISNUMBER('SC Change Orders'!$F52),IF('SC Change Orders'!$F52&lt;&gt;0,IF(AND(ISNUMBER('SC Change Orders'!$B52),NOT(COUNTIFS('SC Change Orders'!$B$2:$B$501,'SC Change Orders'!$B52,'SC Change Orders'!$C$2:$C$501,'SC Change Orders'!$C52,'SC Change Orders'!$D$2:$D$501,'SC Change Orders'!$D52,'SC Change Orders'!$F$2:$F$501,'SC Change Orders'!$F52,'SC Change Orders'!$E$2:$E$501,'SC Change Orders'!$E52)&gt;1),COUNTIFS('SC Change Orders'!$B$2:$B$501,'SC Change Orders'!$B52,'SC Change Orders'!$F$2:$F$501,'SC Change Orders'!$F52)&gt;1),  "Same PO and Amount Added as another row — check for a restatement counted twice; ",""),""),""))</f>
        <v/>
      </c>
    </row>
    <row r="71" customFormat="false" ht="15" hidden="false" customHeight="false" outlineLevel="0" collapsed="false">
      <c r="A71" s="18" t="str">
        <f aca="false">IF(AND('SC Change Orders'!$A53="",'SC Change Orders'!$B53="",'SC Change Orders'!$C53=""),"",53)</f>
        <v/>
      </c>
      <c r="B71" s="31" t="str">
        <f aca="false">IF($A71="","",'SC Change Orders'!$A53)</f>
        <v/>
      </c>
      <c r="C71" s="18" t="str">
        <f aca="false">IF($A71="","",'SC Change Orders'!$B53)</f>
        <v/>
      </c>
      <c r="D71" s="32" t="str">
        <f aca="false">IF($A71="","",'SC Change Orders'!$C53)</f>
        <v/>
      </c>
      <c r="E71" s="31" t="str">
        <f aca="false">IF($A71="","",'SC Change Orders'!$D53)</f>
        <v/>
      </c>
      <c r="F71" s="33" t="str">
        <f aca="false">IF($A71="","",'SC Change Orders'!$E53)</f>
        <v/>
      </c>
      <c r="G71" s="33" t="str">
        <f aca="false">IF($A71="","",'SC Change Orders'!$F53)</f>
        <v/>
      </c>
      <c r="H71" s="33" t="str">
        <f aca="false">IF($A71="","",'SC Change Orders'!$G53)</f>
        <v/>
      </c>
      <c r="I71" s="34" t="str">
        <f aca="false">IF($A71="","",IF(AND(ISNUMBER('SC Change Orders'!$C53),'SC Change Orders'!$C53&gt;=Controls!$C$5,'SC Change Orders'!$C53&lt;=Controls!$C$6),"Yes","No"))</f>
        <v/>
      </c>
      <c r="J71" s="31" t="str">
        <f aca="false">IF($A71="","",IF($K71="","OK",$K71))</f>
        <v/>
      </c>
      <c r="K71" s="0" t="str">
        <f aca="false">IF($A71="","",IF(NOT(ISNUMBER('SC Change Orders'!$B53)),"PO not numeric — row is invisible to the tracker; ","")&amp;IF(NOT(ISNUMBER('SC Change Orders'!$C53)),"Date missing or text — row excluded; ",  IF(OR('SC Change Orders'!$C53&lt;Controls!$C$5,'SC Change Orders'!$C53&gt;Controls!$C$6),"Dated outside the FY window — excluded; ",""))&amp;IF(AND('SC Change Orders'!$E53&lt;&gt;"",NOT(ISNUMBER('SC Change Orders'!$E53))),"Original Amount held as text — ignored by MINIFS; ","")&amp;IF(AND('SC Change Orders'!$F53&lt;&gt;"",NOT(ISNUMBER('SC Change Orders'!$F53))),"Amount Added held as text — ignored by SUMIFS; ","")&amp;IF(ISNUMBER('SC Change Orders'!$E53),IF(ISNUMBER('SC Change Orders'!$F53),IF(ISNUMBER('SC Change Orders'!$G53),  IF('SC Change Orders'!$G53&gt;0,IF(ROUND('SC Change Orders'!$E53+'SC Change Orders'!$F53,2)&lt;&gt;ROUND('SC Change Orders'!$G53,2),  "Original + Added &lt;&gt; Total Line Cost Allotted; ",""),""),""),""),"")&amp;IF(AND(ISNUMBER('SC Change Orders'!$B53),COUNTIFS('SC Change Orders'!$B$2:$B$501,'SC Change Orders'!$B53,'SC Change Orders'!$C$2:$C$501,'SC Change Orders'!$C53,'SC Change Orders'!$D$2:$D$501,'SC Change Orders'!$D53,'SC Change Orders'!$F$2:$F$501,'SC Change Orders'!$F53,'SC Change Orders'!$E$2:$E$501,'SC Change Orders'!$E53)&gt;1),"Duplicate of another row — funds counted twice; ","")&amp;IF(ISNUMBER('SC Change Orders'!$F53),IF('SC Change Orders'!$F53&lt;&gt;0,IF(AND(ISNUMBER('SC Change Orders'!$B53),NOT(COUNTIFS('SC Change Orders'!$B$2:$B$501,'SC Change Orders'!$B53,'SC Change Orders'!$C$2:$C$501,'SC Change Orders'!$C53,'SC Change Orders'!$D$2:$D$501,'SC Change Orders'!$D53,'SC Change Orders'!$F$2:$F$501,'SC Change Orders'!$F53,'SC Change Orders'!$E$2:$E$501,'SC Change Orders'!$E53)&gt;1),COUNTIFS('SC Change Orders'!$B$2:$B$501,'SC Change Orders'!$B53,'SC Change Orders'!$F$2:$F$501,'SC Change Orders'!$F53)&gt;1),  "Same PO and Amount Added as another row — check for a restatement counted twice; ",""),""),""))</f>
        <v/>
      </c>
    </row>
    <row r="72" customFormat="false" ht="15" hidden="false" customHeight="false" outlineLevel="0" collapsed="false">
      <c r="A72" s="18" t="str">
        <f aca="false">IF(AND('SC Change Orders'!$A54="",'SC Change Orders'!$B54="",'SC Change Orders'!$C54=""),"",54)</f>
        <v/>
      </c>
      <c r="B72" s="31" t="str">
        <f aca="false">IF($A72="","",'SC Change Orders'!$A54)</f>
        <v/>
      </c>
      <c r="C72" s="18" t="str">
        <f aca="false">IF($A72="","",'SC Change Orders'!$B54)</f>
        <v/>
      </c>
      <c r="D72" s="32" t="str">
        <f aca="false">IF($A72="","",'SC Change Orders'!$C54)</f>
        <v/>
      </c>
      <c r="E72" s="31" t="str">
        <f aca="false">IF($A72="","",'SC Change Orders'!$D54)</f>
        <v/>
      </c>
      <c r="F72" s="33" t="str">
        <f aca="false">IF($A72="","",'SC Change Orders'!$E54)</f>
        <v/>
      </c>
      <c r="G72" s="33" t="str">
        <f aca="false">IF($A72="","",'SC Change Orders'!$F54)</f>
        <v/>
      </c>
      <c r="H72" s="33" t="str">
        <f aca="false">IF($A72="","",'SC Change Orders'!$G54)</f>
        <v/>
      </c>
      <c r="I72" s="34" t="str">
        <f aca="false">IF($A72="","",IF(AND(ISNUMBER('SC Change Orders'!$C54),'SC Change Orders'!$C54&gt;=Controls!$C$5,'SC Change Orders'!$C54&lt;=Controls!$C$6),"Yes","No"))</f>
        <v/>
      </c>
      <c r="J72" s="31" t="str">
        <f aca="false">IF($A72="","",IF($K72="","OK",$K72))</f>
        <v/>
      </c>
      <c r="K72" s="0" t="str">
        <f aca="false">IF($A72="","",IF(NOT(ISNUMBER('SC Change Orders'!$B54)),"PO not numeric — row is invisible to the tracker; ","")&amp;IF(NOT(ISNUMBER('SC Change Orders'!$C54)),"Date missing or text — row excluded; ",  IF(OR('SC Change Orders'!$C54&lt;Controls!$C$5,'SC Change Orders'!$C54&gt;Controls!$C$6),"Dated outside the FY window — excluded; ",""))&amp;IF(AND('SC Change Orders'!$E54&lt;&gt;"",NOT(ISNUMBER('SC Change Orders'!$E54))),"Original Amount held as text — ignored by MINIFS; ","")&amp;IF(AND('SC Change Orders'!$F54&lt;&gt;"",NOT(ISNUMBER('SC Change Orders'!$F54))),"Amount Added held as text — ignored by SUMIFS; ","")&amp;IF(ISNUMBER('SC Change Orders'!$E54),IF(ISNUMBER('SC Change Orders'!$F54),IF(ISNUMBER('SC Change Orders'!$G54),  IF('SC Change Orders'!$G54&gt;0,IF(ROUND('SC Change Orders'!$E54+'SC Change Orders'!$F54,2)&lt;&gt;ROUND('SC Change Orders'!$G54,2),  "Original + Added &lt;&gt; Total Line Cost Allotted; ",""),""),""),""),"")&amp;IF(AND(ISNUMBER('SC Change Orders'!$B54),COUNTIFS('SC Change Orders'!$B$2:$B$501,'SC Change Orders'!$B54,'SC Change Orders'!$C$2:$C$501,'SC Change Orders'!$C54,'SC Change Orders'!$D$2:$D$501,'SC Change Orders'!$D54,'SC Change Orders'!$F$2:$F$501,'SC Change Orders'!$F54,'SC Change Orders'!$E$2:$E$501,'SC Change Orders'!$E54)&gt;1),"Duplicate of another row — funds counted twice; ","")&amp;IF(ISNUMBER('SC Change Orders'!$F54),IF('SC Change Orders'!$F54&lt;&gt;0,IF(AND(ISNUMBER('SC Change Orders'!$B54),NOT(COUNTIFS('SC Change Orders'!$B$2:$B$501,'SC Change Orders'!$B54,'SC Change Orders'!$C$2:$C$501,'SC Change Orders'!$C54,'SC Change Orders'!$D$2:$D$501,'SC Change Orders'!$D54,'SC Change Orders'!$F$2:$F$501,'SC Change Orders'!$F54,'SC Change Orders'!$E$2:$E$501,'SC Change Orders'!$E54)&gt;1),COUNTIFS('SC Change Orders'!$B$2:$B$501,'SC Change Orders'!$B54,'SC Change Orders'!$F$2:$F$501,'SC Change Orders'!$F54)&gt;1),  "Same PO and Amount Added as another row — check for a restatement counted twice; ",""),""),""))</f>
        <v/>
      </c>
    </row>
    <row r="73" customFormat="false" ht="15" hidden="false" customHeight="false" outlineLevel="0" collapsed="false">
      <c r="A73" s="18" t="str">
        <f aca="false">IF(AND('SC Change Orders'!$A55="",'SC Change Orders'!$B55="",'SC Change Orders'!$C55=""),"",55)</f>
        <v/>
      </c>
      <c r="B73" s="31" t="str">
        <f aca="false">IF($A73="","",'SC Change Orders'!$A55)</f>
        <v/>
      </c>
      <c r="C73" s="18" t="str">
        <f aca="false">IF($A73="","",'SC Change Orders'!$B55)</f>
        <v/>
      </c>
      <c r="D73" s="32" t="str">
        <f aca="false">IF($A73="","",'SC Change Orders'!$C55)</f>
        <v/>
      </c>
      <c r="E73" s="31" t="str">
        <f aca="false">IF($A73="","",'SC Change Orders'!$D55)</f>
        <v/>
      </c>
      <c r="F73" s="33" t="str">
        <f aca="false">IF($A73="","",'SC Change Orders'!$E55)</f>
        <v/>
      </c>
      <c r="G73" s="33" t="str">
        <f aca="false">IF($A73="","",'SC Change Orders'!$F55)</f>
        <v/>
      </c>
      <c r="H73" s="33" t="str">
        <f aca="false">IF($A73="","",'SC Change Orders'!$G55)</f>
        <v/>
      </c>
      <c r="I73" s="34" t="str">
        <f aca="false">IF($A73="","",IF(AND(ISNUMBER('SC Change Orders'!$C55),'SC Change Orders'!$C55&gt;=Controls!$C$5,'SC Change Orders'!$C55&lt;=Controls!$C$6),"Yes","No"))</f>
        <v/>
      </c>
      <c r="J73" s="31" t="str">
        <f aca="false">IF($A73="","",IF($K73="","OK",$K73))</f>
        <v/>
      </c>
      <c r="K73" s="0" t="str">
        <f aca="false">IF($A73="","",IF(NOT(ISNUMBER('SC Change Orders'!$B55)),"PO not numeric — row is invisible to the tracker; ","")&amp;IF(NOT(ISNUMBER('SC Change Orders'!$C55)),"Date missing or text — row excluded; ",  IF(OR('SC Change Orders'!$C55&lt;Controls!$C$5,'SC Change Orders'!$C55&gt;Controls!$C$6),"Dated outside the FY window — excluded; ",""))&amp;IF(AND('SC Change Orders'!$E55&lt;&gt;"",NOT(ISNUMBER('SC Change Orders'!$E55))),"Original Amount held as text — ignored by MINIFS; ","")&amp;IF(AND('SC Change Orders'!$F55&lt;&gt;"",NOT(ISNUMBER('SC Change Orders'!$F55))),"Amount Added held as text — ignored by SUMIFS; ","")&amp;IF(ISNUMBER('SC Change Orders'!$E55),IF(ISNUMBER('SC Change Orders'!$F55),IF(ISNUMBER('SC Change Orders'!$G55),  IF('SC Change Orders'!$G55&gt;0,IF(ROUND('SC Change Orders'!$E55+'SC Change Orders'!$F55,2)&lt;&gt;ROUND('SC Change Orders'!$G55,2),  "Original + Added &lt;&gt; Total Line Cost Allotted; ",""),""),""),""),"")&amp;IF(AND(ISNUMBER('SC Change Orders'!$B55),COUNTIFS('SC Change Orders'!$B$2:$B$501,'SC Change Orders'!$B55,'SC Change Orders'!$C$2:$C$501,'SC Change Orders'!$C55,'SC Change Orders'!$D$2:$D$501,'SC Change Orders'!$D55,'SC Change Orders'!$F$2:$F$501,'SC Change Orders'!$F55,'SC Change Orders'!$E$2:$E$501,'SC Change Orders'!$E55)&gt;1),"Duplicate of another row — funds counted twice; ","")&amp;IF(ISNUMBER('SC Change Orders'!$F55),IF('SC Change Orders'!$F55&lt;&gt;0,IF(AND(ISNUMBER('SC Change Orders'!$B55),NOT(COUNTIFS('SC Change Orders'!$B$2:$B$501,'SC Change Orders'!$B55,'SC Change Orders'!$C$2:$C$501,'SC Change Orders'!$C55,'SC Change Orders'!$D$2:$D$501,'SC Change Orders'!$D55,'SC Change Orders'!$F$2:$F$501,'SC Change Orders'!$F55,'SC Change Orders'!$E$2:$E$501,'SC Change Orders'!$E55)&gt;1),COUNTIFS('SC Change Orders'!$B$2:$B$501,'SC Change Orders'!$B55,'SC Change Orders'!$F$2:$F$501,'SC Change Orders'!$F55)&gt;1),  "Same PO and Amount Added as another row — check for a restatement counted twice; ",""),""),""))</f>
        <v/>
      </c>
    </row>
    <row r="74" customFormat="false" ht="15" hidden="false" customHeight="false" outlineLevel="0" collapsed="false">
      <c r="A74" s="18" t="str">
        <f aca="false">IF(AND('SC Change Orders'!$A56="",'SC Change Orders'!$B56="",'SC Change Orders'!$C56=""),"",56)</f>
        <v/>
      </c>
      <c r="B74" s="31" t="str">
        <f aca="false">IF($A74="","",'SC Change Orders'!$A56)</f>
        <v/>
      </c>
      <c r="C74" s="18" t="str">
        <f aca="false">IF($A74="","",'SC Change Orders'!$B56)</f>
        <v/>
      </c>
      <c r="D74" s="32" t="str">
        <f aca="false">IF($A74="","",'SC Change Orders'!$C56)</f>
        <v/>
      </c>
      <c r="E74" s="31" t="str">
        <f aca="false">IF($A74="","",'SC Change Orders'!$D56)</f>
        <v/>
      </c>
      <c r="F74" s="33" t="str">
        <f aca="false">IF($A74="","",'SC Change Orders'!$E56)</f>
        <v/>
      </c>
      <c r="G74" s="33" t="str">
        <f aca="false">IF($A74="","",'SC Change Orders'!$F56)</f>
        <v/>
      </c>
      <c r="H74" s="33" t="str">
        <f aca="false">IF($A74="","",'SC Change Orders'!$G56)</f>
        <v/>
      </c>
      <c r="I74" s="34" t="str">
        <f aca="false">IF($A74="","",IF(AND(ISNUMBER('SC Change Orders'!$C56),'SC Change Orders'!$C56&gt;=Controls!$C$5,'SC Change Orders'!$C56&lt;=Controls!$C$6),"Yes","No"))</f>
        <v/>
      </c>
      <c r="J74" s="31" t="str">
        <f aca="false">IF($A74="","",IF($K74="","OK",$K74))</f>
        <v/>
      </c>
      <c r="K74" s="0" t="str">
        <f aca="false">IF($A74="","",IF(NOT(ISNUMBER('SC Change Orders'!$B56)),"PO not numeric — row is invisible to the tracker; ","")&amp;IF(NOT(ISNUMBER('SC Change Orders'!$C56)),"Date missing or text — row excluded; ",  IF(OR('SC Change Orders'!$C56&lt;Controls!$C$5,'SC Change Orders'!$C56&gt;Controls!$C$6),"Dated outside the FY window — excluded; ",""))&amp;IF(AND('SC Change Orders'!$E56&lt;&gt;"",NOT(ISNUMBER('SC Change Orders'!$E56))),"Original Amount held as text — ignored by MINIFS; ","")&amp;IF(AND('SC Change Orders'!$F56&lt;&gt;"",NOT(ISNUMBER('SC Change Orders'!$F56))),"Amount Added held as text — ignored by SUMIFS; ","")&amp;IF(ISNUMBER('SC Change Orders'!$E56),IF(ISNUMBER('SC Change Orders'!$F56),IF(ISNUMBER('SC Change Orders'!$G56),  IF('SC Change Orders'!$G56&gt;0,IF(ROUND('SC Change Orders'!$E56+'SC Change Orders'!$F56,2)&lt;&gt;ROUND('SC Change Orders'!$G56,2),  "Original + Added &lt;&gt; Total Line Cost Allotted; ",""),""),""),""),"")&amp;IF(AND(ISNUMBER('SC Change Orders'!$B56),COUNTIFS('SC Change Orders'!$B$2:$B$501,'SC Change Orders'!$B56,'SC Change Orders'!$C$2:$C$501,'SC Change Orders'!$C56,'SC Change Orders'!$D$2:$D$501,'SC Change Orders'!$D56,'SC Change Orders'!$F$2:$F$501,'SC Change Orders'!$F56,'SC Change Orders'!$E$2:$E$501,'SC Change Orders'!$E56)&gt;1),"Duplicate of another row — funds counted twice; ","")&amp;IF(ISNUMBER('SC Change Orders'!$F56),IF('SC Change Orders'!$F56&lt;&gt;0,IF(AND(ISNUMBER('SC Change Orders'!$B56),NOT(COUNTIFS('SC Change Orders'!$B$2:$B$501,'SC Change Orders'!$B56,'SC Change Orders'!$C$2:$C$501,'SC Change Orders'!$C56,'SC Change Orders'!$D$2:$D$501,'SC Change Orders'!$D56,'SC Change Orders'!$F$2:$F$501,'SC Change Orders'!$F56,'SC Change Orders'!$E$2:$E$501,'SC Change Orders'!$E56)&gt;1),COUNTIFS('SC Change Orders'!$B$2:$B$501,'SC Change Orders'!$B56,'SC Change Orders'!$F$2:$F$501,'SC Change Orders'!$F56)&gt;1),  "Same PO and Amount Added as another row — check for a restatement counted twice; ",""),""),""))</f>
        <v/>
      </c>
    </row>
    <row r="75" customFormat="false" ht="15" hidden="false" customHeight="false" outlineLevel="0" collapsed="false">
      <c r="A75" s="18" t="str">
        <f aca="false">IF(AND('SC Change Orders'!$A57="",'SC Change Orders'!$B57="",'SC Change Orders'!$C57=""),"",57)</f>
        <v/>
      </c>
      <c r="B75" s="31" t="str">
        <f aca="false">IF($A75="","",'SC Change Orders'!$A57)</f>
        <v/>
      </c>
      <c r="C75" s="18" t="str">
        <f aca="false">IF($A75="","",'SC Change Orders'!$B57)</f>
        <v/>
      </c>
      <c r="D75" s="32" t="str">
        <f aca="false">IF($A75="","",'SC Change Orders'!$C57)</f>
        <v/>
      </c>
      <c r="E75" s="31" t="str">
        <f aca="false">IF($A75="","",'SC Change Orders'!$D57)</f>
        <v/>
      </c>
      <c r="F75" s="33" t="str">
        <f aca="false">IF($A75="","",'SC Change Orders'!$E57)</f>
        <v/>
      </c>
      <c r="G75" s="33" t="str">
        <f aca="false">IF($A75="","",'SC Change Orders'!$F57)</f>
        <v/>
      </c>
      <c r="H75" s="33" t="str">
        <f aca="false">IF($A75="","",'SC Change Orders'!$G57)</f>
        <v/>
      </c>
      <c r="I75" s="34" t="str">
        <f aca="false">IF($A75="","",IF(AND(ISNUMBER('SC Change Orders'!$C57),'SC Change Orders'!$C57&gt;=Controls!$C$5,'SC Change Orders'!$C57&lt;=Controls!$C$6),"Yes","No"))</f>
        <v/>
      </c>
      <c r="J75" s="31" t="str">
        <f aca="false">IF($A75="","",IF($K75="","OK",$K75))</f>
        <v/>
      </c>
      <c r="K75" s="0" t="str">
        <f aca="false">IF($A75="","",IF(NOT(ISNUMBER('SC Change Orders'!$B57)),"PO not numeric — row is invisible to the tracker; ","")&amp;IF(NOT(ISNUMBER('SC Change Orders'!$C57)),"Date missing or text — row excluded; ",  IF(OR('SC Change Orders'!$C57&lt;Controls!$C$5,'SC Change Orders'!$C57&gt;Controls!$C$6),"Dated outside the FY window — excluded; ",""))&amp;IF(AND('SC Change Orders'!$E57&lt;&gt;"",NOT(ISNUMBER('SC Change Orders'!$E57))),"Original Amount held as text — ignored by MINIFS; ","")&amp;IF(AND('SC Change Orders'!$F57&lt;&gt;"",NOT(ISNUMBER('SC Change Orders'!$F57))),"Amount Added held as text — ignored by SUMIFS; ","")&amp;IF(ISNUMBER('SC Change Orders'!$E57),IF(ISNUMBER('SC Change Orders'!$F57),IF(ISNUMBER('SC Change Orders'!$G57),  IF('SC Change Orders'!$G57&gt;0,IF(ROUND('SC Change Orders'!$E57+'SC Change Orders'!$F57,2)&lt;&gt;ROUND('SC Change Orders'!$G57,2),  "Original + Added &lt;&gt; Total Line Cost Allotted; ",""),""),""),""),"")&amp;IF(AND(ISNUMBER('SC Change Orders'!$B57),COUNTIFS('SC Change Orders'!$B$2:$B$501,'SC Change Orders'!$B57,'SC Change Orders'!$C$2:$C$501,'SC Change Orders'!$C57,'SC Change Orders'!$D$2:$D$501,'SC Change Orders'!$D57,'SC Change Orders'!$F$2:$F$501,'SC Change Orders'!$F57,'SC Change Orders'!$E$2:$E$501,'SC Change Orders'!$E57)&gt;1),"Duplicate of another row — funds counted twice; ","")&amp;IF(ISNUMBER('SC Change Orders'!$F57),IF('SC Change Orders'!$F57&lt;&gt;0,IF(AND(ISNUMBER('SC Change Orders'!$B57),NOT(COUNTIFS('SC Change Orders'!$B$2:$B$501,'SC Change Orders'!$B57,'SC Change Orders'!$C$2:$C$501,'SC Change Orders'!$C57,'SC Change Orders'!$D$2:$D$501,'SC Change Orders'!$D57,'SC Change Orders'!$F$2:$F$501,'SC Change Orders'!$F57,'SC Change Orders'!$E$2:$E$501,'SC Change Orders'!$E57)&gt;1),COUNTIFS('SC Change Orders'!$B$2:$B$501,'SC Change Orders'!$B57,'SC Change Orders'!$F$2:$F$501,'SC Change Orders'!$F57)&gt;1),  "Same PO and Amount Added as another row — check for a restatement counted twice; ",""),""),""))</f>
        <v/>
      </c>
    </row>
    <row r="76" customFormat="false" ht="15" hidden="false" customHeight="false" outlineLevel="0" collapsed="false">
      <c r="A76" s="18" t="str">
        <f aca="false">IF(AND('SC Change Orders'!$A58="",'SC Change Orders'!$B58="",'SC Change Orders'!$C58=""),"",58)</f>
        <v/>
      </c>
      <c r="B76" s="31" t="str">
        <f aca="false">IF($A76="","",'SC Change Orders'!$A58)</f>
        <v/>
      </c>
      <c r="C76" s="18" t="str">
        <f aca="false">IF($A76="","",'SC Change Orders'!$B58)</f>
        <v/>
      </c>
      <c r="D76" s="32" t="str">
        <f aca="false">IF($A76="","",'SC Change Orders'!$C58)</f>
        <v/>
      </c>
      <c r="E76" s="31" t="str">
        <f aca="false">IF($A76="","",'SC Change Orders'!$D58)</f>
        <v/>
      </c>
      <c r="F76" s="33" t="str">
        <f aca="false">IF($A76="","",'SC Change Orders'!$E58)</f>
        <v/>
      </c>
      <c r="G76" s="33" t="str">
        <f aca="false">IF($A76="","",'SC Change Orders'!$F58)</f>
        <v/>
      </c>
      <c r="H76" s="33" t="str">
        <f aca="false">IF($A76="","",'SC Change Orders'!$G58)</f>
        <v/>
      </c>
      <c r="I76" s="34" t="str">
        <f aca="false">IF($A76="","",IF(AND(ISNUMBER('SC Change Orders'!$C58),'SC Change Orders'!$C58&gt;=Controls!$C$5,'SC Change Orders'!$C58&lt;=Controls!$C$6),"Yes","No"))</f>
        <v/>
      </c>
      <c r="J76" s="31" t="str">
        <f aca="false">IF($A76="","",IF($K76="","OK",$K76))</f>
        <v/>
      </c>
      <c r="K76" s="0" t="str">
        <f aca="false">IF($A76="","",IF(NOT(ISNUMBER('SC Change Orders'!$B58)),"PO not numeric — row is invisible to the tracker; ","")&amp;IF(NOT(ISNUMBER('SC Change Orders'!$C58)),"Date missing or text — row excluded; ",  IF(OR('SC Change Orders'!$C58&lt;Controls!$C$5,'SC Change Orders'!$C58&gt;Controls!$C$6),"Dated outside the FY window — excluded; ",""))&amp;IF(AND('SC Change Orders'!$E58&lt;&gt;"",NOT(ISNUMBER('SC Change Orders'!$E58))),"Original Amount held as text — ignored by MINIFS; ","")&amp;IF(AND('SC Change Orders'!$F58&lt;&gt;"",NOT(ISNUMBER('SC Change Orders'!$F58))),"Amount Added held as text — ignored by SUMIFS; ","")&amp;IF(ISNUMBER('SC Change Orders'!$E58),IF(ISNUMBER('SC Change Orders'!$F58),IF(ISNUMBER('SC Change Orders'!$G58),  IF('SC Change Orders'!$G58&gt;0,IF(ROUND('SC Change Orders'!$E58+'SC Change Orders'!$F58,2)&lt;&gt;ROUND('SC Change Orders'!$G58,2),  "Original + Added &lt;&gt; Total Line Cost Allotted; ",""),""),""),""),"")&amp;IF(AND(ISNUMBER('SC Change Orders'!$B58),COUNTIFS('SC Change Orders'!$B$2:$B$501,'SC Change Orders'!$B58,'SC Change Orders'!$C$2:$C$501,'SC Change Orders'!$C58,'SC Change Orders'!$D$2:$D$501,'SC Change Orders'!$D58,'SC Change Orders'!$F$2:$F$501,'SC Change Orders'!$F58,'SC Change Orders'!$E$2:$E$501,'SC Change Orders'!$E58)&gt;1),"Duplicate of another row — funds counted twice; ","")&amp;IF(ISNUMBER('SC Change Orders'!$F58),IF('SC Change Orders'!$F58&lt;&gt;0,IF(AND(ISNUMBER('SC Change Orders'!$B58),NOT(COUNTIFS('SC Change Orders'!$B$2:$B$501,'SC Change Orders'!$B58,'SC Change Orders'!$C$2:$C$501,'SC Change Orders'!$C58,'SC Change Orders'!$D$2:$D$501,'SC Change Orders'!$D58,'SC Change Orders'!$F$2:$F$501,'SC Change Orders'!$F58,'SC Change Orders'!$E$2:$E$501,'SC Change Orders'!$E58)&gt;1),COUNTIFS('SC Change Orders'!$B$2:$B$501,'SC Change Orders'!$B58,'SC Change Orders'!$F$2:$F$501,'SC Change Orders'!$F58)&gt;1),  "Same PO and Amount Added as another row — check for a restatement counted twice; ",""),""),""))</f>
        <v/>
      </c>
    </row>
    <row r="77" customFormat="false" ht="15" hidden="false" customHeight="false" outlineLevel="0" collapsed="false">
      <c r="A77" s="18" t="str">
        <f aca="false">IF(AND('SC Change Orders'!$A59="",'SC Change Orders'!$B59="",'SC Change Orders'!$C59=""),"",59)</f>
        <v/>
      </c>
      <c r="B77" s="31" t="str">
        <f aca="false">IF($A77="","",'SC Change Orders'!$A59)</f>
        <v/>
      </c>
      <c r="C77" s="18" t="str">
        <f aca="false">IF($A77="","",'SC Change Orders'!$B59)</f>
        <v/>
      </c>
      <c r="D77" s="32" t="str">
        <f aca="false">IF($A77="","",'SC Change Orders'!$C59)</f>
        <v/>
      </c>
      <c r="E77" s="31" t="str">
        <f aca="false">IF($A77="","",'SC Change Orders'!$D59)</f>
        <v/>
      </c>
      <c r="F77" s="33" t="str">
        <f aca="false">IF($A77="","",'SC Change Orders'!$E59)</f>
        <v/>
      </c>
      <c r="G77" s="33" t="str">
        <f aca="false">IF($A77="","",'SC Change Orders'!$F59)</f>
        <v/>
      </c>
      <c r="H77" s="33" t="str">
        <f aca="false">IF($A77="","",'SC Change Orders'!$G59)</f>
        <v/>
      </c>
      <c r="I77" s="34" t="str">
        <f aca="false">IF($A77="","",IF(AND(ISNUMBER('SC Change Orders'!$C59),'SC Change Orders'!$C59&gt;=Controls!$C$5,'SC Change Orders'!$C59&lt;=Controls!$C$6),"Yes","No"))</f>
        <v/>
      </c>
      <c r="J77" s="31" t="str">
        <f aca="false">IF($A77="","",IF($K77="","OK",$K77))</f>
        <v/>
      </c>
      <c r="K77" s="0" t="str">
        <f aca="false">IF($A77="","",IF(NOT(ISNUMBER('SC Change Orders'!$B59)),"PO not numeric — row is invisible to the tracker; ","")&amp;IF(NOT(ISNUMBER('SC Change Orders'!$C59)),"Date missing or text — row excluded; ",  IF(OR('SC Change Orders'!$C59&lt;Controls!$C$5,'SC Change Orders'!$C59&gt;Controls!$C$6),"Dated outside the FY window — excluded; ",""))&amp;IF(AND('SC Change Orders'!$E59&lt;&gt;"",NOT(ISNUMBER('SC Change Orders'!$E59))),"Original Amount held as text — ignored by MINIFS; ","")&amp;IF(AND('SC Change Orders'!$F59&lt;&gt;"",NOT(ISNUMBER('SC Change Orders'!$F59))),"Amount Added held as text — ignored by SUMIFS; ","")&amp;IF(ISNUMBER('SC Change Orders'!$E59),IF(ISNUMBER('SC Change Orders'!$F59),IF(ISNUMBER('SC Change Orders'!$G59),  IF('SC Change Orders'!$G59&gt;0,IF(ROUND('SC Change Orders'!$E59+'SC Change Orders'!$F59,2)&lt;&gt;ROUND('SC Change Orders'!$G59,2),  "Original + Added &lt;&gt; Total Line Cost Allotted; ",""),""),""),""),"")&amp;IF(AND(ISNUMBER('SC Change Orders'!$B59),COUNTIFS('SC Change Orders'!$B$2:$B$501,'SC Change Orders'!$B59,'SC Change Orders'!$C$2:$C$501,'SC Change Orders'!$C59,'SC Change Orders'!$D$2:$D$501,'SC Change Orders'!$D59,'SC Change Orders'!$F$2:$F$501,'SC Change Orders'!$F59,'SC Change Orders'!$E$2:$E$501,'SC Change Orders'!$E59)&gt;1),"Duplicate of another row — funds counted twice; ","")&amp;IF(ISNUMBER('SC Change Orders'!$F59),IF('SC Change Orders'!$F59&lt;&gt;0,IF(AND(ISNUMBER('SC Change Orders'!$B59),NOT(COUNTIFS('SC Change Orders'!$B$2:$B$501,'SC Change Orders'!$B59,'SC Change Orders'!$C$2:$C$501,'SC Change Orders'!$C59,'SC Change Orders'!$D$2:$D$501,'SC Change Orders'!$D59,'SC Change Orders'!$F$2:$F$501,'SC Change Orders'!$F59,'SC Change Orders'!$E$2:$E$501,'SC Change Orders'!$E59)&gt;1),COUNTIFS('SC Change Orders'!$B$2:$B$501,'SC Change Orders'!$B59,'SC Change Orders'!$F$2:$F$501,'SC Change Orders'!$F59)&gt;1),  "Same PO and Amount Added as another row — check for a restatement counted twice; ",""),""),""))</f>
        <v/>
      </c>
    </row>
    <row r="78" customFormat="false" ht="15" hidden="false" customHeight="false" outlineLevel="0" collapsed="false">
      <c r="A78" s="18" t="str">
        <f aca="false">IF(AND('SC Change Orders'!$A60="",'SC Change Orders'!$B60="",'SC Change Orders'!$C60=""),"",60)</f>
        <v/>
      </c>
      <c r="B78" s="31" t="str">
        <f aca="false">IF($A78="","",'SC Change Orders'!$A60)</f>
        <v/>
      </c>
      <c r="C78" s="18" t="str">
        <f aca="false">IF($A78="","",'SC Change Orders'!$B60)</f>
        <v/>
      </c>
      <c r="D78" s="32" t="str">
        <f aca="false">IF($A78="","",'SC Change Orders'!$C60)</f>
        <v/>
      </c>
      <c r="E78" s="31" t="str">
        <f aca="false">IF($A78="","",'SC Change Orders'!$D60)</f>
        <v/>
      </c>
      <c r="F78" s="33" t="str">
        <f aca="false">IF($A78="","",'SC Change Orders'!$E60)</f>
        <v/>
      </c>
      <c r="G78" s="33" t="str">
        <f aca="false">IF($A78="","",'SC Change Orders'!$F60)</f>
        <v/>
      </c>
      <c r="H78" s="33" t="str">
        <f aca="false">IF($A78="","",'SC Change Orders'!$G60)</f>
        <v/>
      </c>
      <c r="I78" s="34" t="str">
        <f aca="false">IF($A78="","",IF(AND(ISNUMBER('SC Change Orders'!$C60),'SC Change Orders'!$C60&gt;=Controls!$C$5,'SC Change Orders'!$C60&lt;=Controls!$C$6),"Yes","No"))</f>
        <v/>
      </c>
      <c r="J78" s="31" t="str">
        <f aca="false">IF($A78="","",IF($K78="","OK",$K78))</f>
        <v/>
      </c>
      <c r="K78" s="0" t="str">
        <f aca="false">IF($A78="","",IF(NOT(ISNUMBER('SC Change Orders'!$B60)),"PO not numeric — row is invisible to the tracker; ","")&amp;IF(NOT(ISNUMBER('SC Change Orders'!$C60)),"Date missing or text — row excluded; ",  IF(OR('SC Change Orders'!$C60&lt;Controls!$C$5,'SC Change Orders'!$C60&gt;Controls!$C$6),"Dated outside the FY window — excluded; ",""))&amp;IF(AND('SC Change Orders'!$E60&lt;&gt;"",NOT(ISNUMBER('SC Change Orders'!$E60))),"Original Amount held as text — ignored by MINIFS; ","")&amp;IF(AND('SC Change Orders'!$F60&lt;&gt;"",NOT(ISNUMBER('SC Change Orders'!$F60))),"Amount Added held as text — ignored by SUMIFS; ","")&amp;IF(ISNUMBER('SC Change Orders'!$E60),IF(ISNUMBER('SC Change Orders'!$F60),IF(ISNUMBER('SC Change Orders'!$G60),  IF('SC Change Orders'!$G60&gt;0,IF(ROUND('SC Change Orders'!$E60+'SC Change Orders'!$F60,2)&lt;&gt;ROUND('SC Change Orders'!$G60,2),  "Original + Added &lt;&gt; Total Line Cost Allotted; ",""),""),""),""),"")&amp;IF(AND(ISNUMBER('SC Change Orders'!$B60),COUNTIFS('SC Change Orders'!$B$2:$B$501,'SC Change Orders'!$B60,'SC Change Orders'!$C$2:$C$501,'SC Change Orders'!$C60,'SC Change Orders'!$D$2:$D$501,'SC Change Orders'!$D60,'SC Change Orders'!$F$2:$F$501,'SC Change Orders'!$F60,'SC Change Orders'!$E$2:$E$501,'SC Change Orders'!$E60)&gt;1),"Duplicate of another row — funds counted twice; ","")&amp;IF(ISNUMBER('SC Change Orders'!$F60),IF('SC Change Orders'!$F60&lt;&gt;0,IF(AND(ISNUMBER('SC Change Orders'!$B60),NOT(COUNTIFS('SC Change Orders'!$B$2:$B$501,'SC Change Orders'!$B60,'SC Change Orders'!$C$2:$C$501,'SC Change Orders'!$C60,'SC Change Orders'!$D$2:$D$501,'SC Change Orders'!$D60,'SC Change Orders'!$F$2:$F$501,'SC Change Orders'!$F60,'SC Change Orders'!$E$2:$E$501,'SC Change Orders'!$E60)&gt;1),COUNTIFS('SC Change Orders'!$B$2:$B$501,'SC Change Orders'!$B60,'SC Change Orders'!$F$2:$F$501,'SC Change Orders'!$F60)&gt;1),  "Same PO and Amount Added as another row — check for a restatement counted twice; ",""),""),""))</f>
        <v/>
      </c>
    </row>
    <row r="79" customFormat="false" ht="15" hidden="false" customHeight="false" outlineLevel="0" collapsed="false">
      <c r="A79" s="18" t="str">
        <f aca="false">IF(AND('SC Change Orders'!$A61="",'SC Change Orders'!$B61="",'SC Change Orders'!$C61=""),"",61)</f>
        <v/>
      </c>
      <c r="B79" s="31" t="str">
        <f aca="false">IF($A79="","",'SC Change Orders'!$A61)</f>
        <v/>
      </c>
      <c r="C79" s="18" t="str">
        <f aca="false">IF($A79="","",'SC Change Orders'!$B61)</f>
        <v/>
      </c>
      <c r="D79" s="32" t="str">
        <f aca="false">IF($A79="","",'SC Change Orders'!$C61)</f>
        <v/>
      </c>
      <c r="E79" s="31" t="str">
        <f aca="false">IF($A79="","",'SC Change Orders'!$D61)</f>
        <v/>
      </c>
      <c r="F79" s="33" t="str">
        <f aca="false">IF($A79="","",'SC Change Orders'!$E61)</f>
        <v/>
      </c>
      <c r="G79" s="33" t="str">
        <f aca="false">IF($A79="","",'SC Change Orders'!$F61)</f>
        <v/>
      </c>
      <c r="H79" s="33" t="str">
        <f aca="false">IF($A79="","",'SC Change Orders'!$G61)</f>
        <v/>
      </c>
      <c r="I79" s="34" t="str">
        <f aca="false">IF($A79="","",IF(AND(ISNUMBER('SC Change Orders'!$C61),'SC Change Orders'!$C61&gt;=Controls!$C$5,'SC Change Orders'!$C61&lt;=Controls!$C$6),"Yes","No"))</f>
        <v/>
      </c>
      <c r="J79" s="31" t="str">
        <f aca="false">IF($A79="","",IF($K79="","OK",$K79))</f>
        <v/>
      </c>
      <c r="K79" s="0" t="str">
        <f aca="false">IF($A79="","",IF(NOT(ISNUMBER('SC Change Orders'!$B61)),"PO not numeric — row is invisible to the tracker; ","")&amp;IF(NOT(ISNUMBER('SC Change Orders'!$C61)),"Date missing or text — row excluded; ",  IF(OR('SC Change Orders'!$C61&lt;Controls!$C$5,'SC Change Orders'!$C61&gt;Controls!$C$6),"Dated outside the FY window — excluded; ",""))&amp;IF(AND('SC Change Orders'!$E61&lt;&gt;"",NOT(ISNUMBER('SC Change Orders'!$E61))),"Original Amount held as text — ignored by MINIFS; ","")&amp;IF(AND('SC Change Orders'!$F61&lt;&gt;"",NOT(ISNUMBER('SC Change Orders'!$F61))),"Amount Added held as text — ignored by SUMIFS; ","")&amp;IF(ISNUMBER('SC Change Orders'!$E61),IF(ISNUMBER('SC Change Orders'!$F61),IF(ISNUMBER('SC Change Orders'!$G61),  IF('SC Change Orders'!$G61&gt;0,IF(ROUND('SC Change Orders'!$E61+'SC Change Orders'!$F61,2)&lt;&gt;ROUND('SC Change Orders'!$G61,2),  "Original + Added &lt;&gt; Total Line Cost Allotted; ",""),""),""),""),"")&amp;IF(AND(ISNUMBER('SC Change Orders'!$B61),COUNTIFS('SC Change Orders'!$B$2:$B$501,'SC Change Orders'!$B61,'SC Change Orders'!$C$2:$C$501,'SC Change Orders'!$C61,'SC Change Orders'!$D$2:$D$501,'SC Change Orders'!$D61,'SC Change Orders'!$F$2:$F$501,'SC Change Orders'!$F61,'SC Change Orders'!$E$2:$E$501,'SC Change Orders'!$E61)&gt;1),"Duplicate of another row — funds counted twice; ","")&amp;IF(ISNUMBER('SC Change Orders'!$F61),IF('SC Change Orders'!$F61&lt;&gt;0,IF(AND(ISNUMBER('SC Change Orders'!$B61),NOT(COUNTIFS('SC Change Orders'!$B$2:$B$501,'SC Change Orders'!$B61,'SC Change Orders'!$C$2:$C$501,'SC Change Orders'!$C61,'SC Change Orders'!$D$2:$D$501,'SC Change Orders'!$D61,'SC Change Orders'!$F$2:$F$501,'SC Change Orders'!$F61,'SC Change Orders'!$E$2:$E$501,'SC Change Orders'!$E61)&gt;1),COUNTIFS('SC Change Orders'!$B$2:$B$501,'SC Change Orders'!$B61,'SC Change Orders'!$F$2:$F$501,'SC Change Orders'!$F61)&gt;1),  "Same PO and Amount Added as another row — check for a restatement counted twice; ",""),""),""))</f>
        <v/>
      </c>
    </row>
    <row r="80" customFormat="false" ht="15" hidden="false" customHeight="false" outlineLevel="0" collapsed="false">
      <c r="A80" s="18" t="str">
        <f aca="false">IF(AND('SC Change Orders'!$A62="",'SC Change Orders'!$B62="",'SC Change Orders'!$C62=""),"",62)</f>
        <v/>
      </c>
      <c r="B80" s="31" t="str">
        <f aca="false">IF($A80="","",'SC Change Orders'!$A62)</f>
        <v/>
      </c>
      <c r="C80" s="18" t="str">
        <f aca="false">IF($A80="","",'SC Change Orders'!$B62)</f>
        <v/>
      </c>
      <c r="D80" s="32" t="str">
        <f aca="false">IF($A80="","",'SC Change Orders'!$C62)</f>
        <v/>
      </c>
      <c r="E80" s="31" t="str">
        <f aca="false">IF($A80="","",'SC Change Orders'!$D62)</f>
        <v/>
      </c>
      <c r="F80" s="33" t="str">
        <f aca="false">IF($A80="","",'SC Change Orders'!$E62)</f>
        <v/>
      </c>
      <c r="G80" s="33" t="str">
        <f aca="false">IF($A80="","",'SC Change Orders'!$F62)</f>
        <v/>
      </c>
      <c r="H80" s="33" t="str">
        <f aca="false">IF($A80="","",'SC Change Orders'!$G62)</f>
        <v/>
      </c>
      <c r="I80" s="34" t="str">
        <f aca="false">IF($A80="","",IF(AND(ISNUMBER('SC Change Orders'!$C62),'SC Change Orders'!$C62&gt;=Controls!$C$5,'SC Change Orders'!$C62&lt;=Controls!$C$6),"Yes","No"))</f>
        <v/>
      </c>
      <c r="J80" s="31" t="str">
        <f aca="false">IF($A80="","",IF($K80="","OK",$K80))</f>
        <v/>
      </c>
      <c r="K80" s="0" t="str">
        <f aca="false">IF($A80="","",IF(NOT(ISNUMBER('SC Change Orders'!$B62)),"PO not numeric — row is invisible to the tracker; ","")&amp;IF(NOT(ISNUMBER('SC Change Orders'!$C62)),"Date missing or text — row excluded; ",  IF(OR('SC Change Orders'!$C62&lt;Controls!$C$5,'SC Change Orders'!$C62&gt;Controls!$C$6),"Dated outside the FY window — excluded; ",""))&amp;IF(AND('SC Change Orders'!$E62&lt;&gt;"",NOT(ISNUMBER('SC Change Orders'!$E62))),"Original Amount held as text — ignored by MINIFS; ","")&amp;IF(AND('SC Change Orders'!$F62&lt;&gt;"",NOT(ISNUMBER('SC Change Orders'!$F62))),"Amount Added held as text — ignored by SUMIFS; ","")&amp;IF(ISNUMBER('SC Change Orders'!$E62),IF(ISNUMBER('SC Change Orders'!$F62),IF(ISNUMBER('SC Change Orders'!$G62),  IF('SC Change Orders'!$G62&gt;0,IF(ROUND('SC Change Orders'!$E62+'SC Change Orders'!$F62,2)&lt;&gt;ROUND('SC Change Orders'!$G62,2),  "Original + Added &lt;&gt; Total Line Cost Allotted; ",""),""),""),""),"")&amp;IF(AND(ISNUMBER('SC Change Orders'!$B62),COUNTIFS('SC Change Orders'!$B$2:$B$501,'SC Change Orders'!$B62,'SC Change Orders'!$C$2:$C$501,'SC Change Orders'!$C62,'SC Change Orders'!$D$2:$D$501,'SC Change Orders'!$D62,'SC Change Orders'!$F$2:$F$501,'SC Change Orders'!$F62,'SC Change Orders'!$E$2:$E$501,'SC Change Orders'!$E62)&gt;1),"Duplicate of another row — funds counted twice; ","")&amp;IF(ISNUMBER('SC Change Orders'!$F62),IF('SC Change Orders'!$F62&lt;&gt;0,IF(AND(ISNUMBER('SC Change Orders'!$B62),NOT(COUNTIFS('SC Change Orders'!$B$2:$B$501,'SC Change Orders'!$B62,'SC Change Orders'!$C$2:$C$501,'SC Change Orders'!$C62,'SC Change Orders'!$D$2:$D$501,'SC Change Orders'!$D62,'SC Change Orders'!$F$2:$F$501,'SC Change Orders'!$F62,'SC Change Orders'!$E$2:$E$501,'SC Change Orders'!$E62)&gt;1),COUNTIFS('SC Change Orders'!$B$2:$B$501,'SC Change Orders'!$B62,'SC Change Orders'!$F$2:$F$501,'SC Change Orders'!$F62)&gt;1),  "Same PO and Amount Added as another row — check for a restatement counted twice; ",""),""),""))</f>
        <v/>
      </c>
    </row>
    <row r="81" customFormat="false" ht="15" hidden="false" customHeight="false" outlineLevel="0" collapsed="false">
      <c r="A81" s="18" t="str">
        <f aca="false">IF(AND('SC Change Orders'!$A63="",'SC Change Orders'!$B63="",'SC Change Orders'!$C63=""),"",63)</f>
        <v/>
      </c>
      <c r="B81" s="31" t="str">
        <f aca="false">IF($A81="","",'SC Change Orders'!$A63)</f>
        <v/>
      </c>
      <c r="C81" s="18" t="str">
        <f aca="false">IF($A81="","",'SC Change Orders'!$B63)</f>
        <v/>
      </c>
      <c r="D81" s="32" t="str">
        <f aca="false">IF($A81="","",'SC Change Orders'!$C63)</f>
        <v/>
      </c>
      <c r="E81" s="31" t="str">
        <f aca="false">IF($A81="","",'SC Change Orders'!$D63)</f>
        <v/>
      </c>
      <c r="F81" s="33" t="str">
        <f aca="false">IF($A81="","",'SC Change Orders'!$E63)</f>
        <v/>
      </c>
      <c r="G81" s="33" t="str">
        <f aca="false">IF($A81="","",'SC Change Orders'!$F63)</f>
        <v/>
      </c>
      <c r="H81" s="33" t="str">
        <f aca="false">IF($A81="","",'SC Change Orders'!$G63)</f>
        <v/>
      </c>
      <c r="I81" s="34" t="str">
        <f aca="false">IF($A81="","",IF(AND(ISNUMBER('SC Change Orders'!$C63),'SC Change Orders'!$C63&gt;=Controls!$C$5,'SC Change Orders'!$C63&lt;=Controls!$C$6),"Yes","No"))</f>
        <v/>
      </c>
      <c r="J81" s="31" t="str">
        <f aca="false">IF($A81="","",IF($K81="","OK",$K81))</f>
        <v/>
      </c>
      <c r="K81" s="0" t="str">
        <f aca="false">IF($A81="","",IF(NOT(ISNUMBER('SC Change Orders'!$B63)),"PO not numeric — row is invisible to the tracker; ","")&amp;IF(NOT(ISNUMBER('SC Change Orders'!$C63)),"Date missing or text — row excluded; ",  IF(OR('SC Change Orders'!$C63&lt;Controls!$C$5,'SC Change Orders'!$C63&gt;Controls!$C$6),"Dated outside the FY window — excluded; ",""))&amp;IF(AND('SC Change Orders'!$E63&lt;&gt;"",NOT(ISNUMBER('SC Change Orders'!$E63))),"Original Amount held as text — ignored by MINIFS; ","")&amp;IF(AND('SC Change Orders'!$F63&lt;&gt;"",NOT(ISNUMBER('SC Change Orders'!$F63))),"Amount Added held as text — ignored by SUMIFS; ","")&amp;IF(ISNUMBER('SC Change Orders'!$E63),IF(ISNUMBER('SC Change Orders'!$F63),IF(ISNUMBER('SC Change Orders'!$G63),  IF('SC Change Orders'!$G63&gt;0,IF(ROUND('SC Change Orders'!$E63+'SC Change Orders'!$F63,2)&lt;&gt;ROUND('SC Change Orders'!$G63,2),  "Original + Added &lt;&gt; Total Line Cost Allotted; ",""),""),""),""),"")&amp;IF(AND(ISNUMBER('SC Change Orders'!$B63),COUNTIFS('SC Change Orders'!$B$2:$B$501,'SC Change Orders'!$B63,'SC Change Orders'!$C$2:$C$501,'SC Change Orders'!$C63,'SC Change Orders'!$D$2:$D$501,'SC Change Orders'!$D63,'SC Change Orders'!$F$2:$F$501,'SC Change Orders'!$F63,'SC Change Orders'!$E$2:$E$501,'SC Change Orders'!$E63)&gt;1),"Duplicate of another row — funds counted twice; ","")&amp;IF(ISNUMBER('SC Change Orders'!$F63),IF('SC Change Orders'!$F63&lt;&gt;0,IF(AND(ISNUMBER('SC Change Orders'!$B63),NOT(COUNTIFS('SC Change Orders'!$B$2:$B$501,'SC Change Orders'!$B63,'SC Change Orders'!$C$2:$C$501,'SC Change Orders'!$C63,'SC Change Orders'!$D$2:$D$501,'SC Change Orders'!$D63,'SC Change Orders'!$F$2:$F$501,'SC Change Orders'!$F63,'SC Change Orders'!$E$2:$E$501,'SC Change Orders'!$E63)&gt;1),COUNTIFS('SC Change Orders'!$B$2:$B$501,'SC Change Orders'!$B63,'SC Change Orders'!$F$2:$F$501,'SC Change Orders'!$F63)&gt;1),  "Same PO and Amount Added as another row — check for a restatement counted twice; ",""),""),""))</f>
        <v/>
      </c>
    </row>
    <row r="82" customFormat="false" ht="15" hidden="false" customHeight="false" outlineLevel="0" collapsed="false">
      <c r="A82" s="18" t="str">
        <f aca="false">IF(AND('SC Change Orders'!$A64="",'SC Change Orders'!$B64="",'SC Change Orders'!$C64=""),"",64)</f>
        <v/>
      </c>
      <c r="B82" s="31" t="str">
        <f aca="false">IF($A82="","",'SC Change Orders'!$A64)</f>
        <v/>
      </c>
      <c r="C82" s="18" t="str">
        <f aca="false">IF($A82="","",'SC Change Orders'!$B64)</f>
        <v/>
      </c>
      <c r="D82" s="32" t="str">
        <f aca="false">IF($A82="","",'SC Change Orders'!$C64)</f>
        <v/>
      </c>
      <c r="E82" s="31" t="str">
        <f aca="false">IF($A82="","",'SC Change Orders'!$D64)</f>
        <v/>
      </c>
      <c r="F82" s="33" t="str">
        <f aca="false">IF($A82="","",'SC Change Orders'!$E64)</f>
        <v/>
      </c>
      <c r="G82" s="33" t="str">
        <f aca="false">IF($A82="","",'SC Change Orders'!$F64)</f>
        <v/>
      </c>
      <c r="H82" s="33" t="str">
        <f aca="false">IF($A82="","",'SC Change Orders'!$G64)</f>
        <v/>
      </c>
      <c r="I82" s="34" t="str">
        <f aca="false">IF($A82="","",IF(AND(ISNUMBER('SC Change Orders'!$C64),'SC Change Orders'!$C64&gt;=Controls!$C$5,'SC Change Orders'!$C64&lt;=Controls!$C$6),"Yes","No"))</f>
        <v/>
      </c>
      <c r="J82" s="31" t="str">
        <f aca="false">IF($A82="","",IF($K82="","OK",$K82))</f>
        <v/>
      </c>
      <c r="K82" s="0" t="str">
        <f aca="false">IF($A82="","",IF(NOT(ISNUMBER('SC Change Orders'!$B64)),"PO not numeric — row is invisible to the tracker; ","")&amp;IF(NOT(ISNUMBER('SC Change Orders'!$C64)),"Date missing or text — row excluded; ",  IF(OR('SC Change Orders'!$C64&lt;Controls!$C$5,'SC Change Orders'!$C64&gt;Controls!$C$6),"Dated outside the FY window — excluded; ",""))&amp;IF(AND('SC Change Orders'!$E64&lt;&gt;"",NOT(ISNUMBER('SC Change Orders'!$E64))),"Original Amount held as text — ignored by MINIFS; ","")&amp;IF(AND('SC Change Orders'!$F64&lt;&gt;"",NOT(ISNUMBER('SC Change Orders'!$F64))),"Amount Added held as text — ignored by SUMIFS; ","")&amp;IF(ISNUMBER('SC Change Orders'!$E64),IF(ISNUMBER('SC Change Orders'!$F64),IF(ISNUMBER('SC Change Orders'!$G64),  IF('SC Change Orders'!$G64&gt;0,IF(ROUND('SC Change Orders'!$E64+'SC Change Orders'!$F64,2)&lt;&gt;ROUND('SC Change Orders'!$G64,2),  "Original + Added &lt;&gt; Total Line Cost Allotted; ",""),""),""),""),"")&amp;IF(AND(ISNUMBER('SC Change Orders'!$B64),COUNTIFS('SC Change Orders'!$B$2:$B$501,'SC Change Orders'!$B64,'SC Change Orders'!$C$2:$C$501,'SC Change Orders'!$C64,'SC Change Orders'!$D$2:$D$501,'SC Change Orders'!$D64,'SC Change Orders'!$F$2:$F$501,'SC Change Orders'!$F64,'SC Change Orders'!$E$2:$E$501,'SC Change Orders'!$E64)&gt;1),"Duplicate of another row — funds counted twice; ","")&amp;IF(ISNUMBER('SC Change Orders'!$F64),IF('SC Change Orders'!$F64&lt;&gt;0,IF(AND(ISNUMBER('SC Change Orders'!$B64),NOT(COUNTIFS('SC Change Orders'!$B$2:$B$501,'SC Change Orders'!$B64,'SC Change Orders'!$C$2:$C$501,'SC Change Orders'!$C64,'SC Change Orders'!$D$2:$D$501,'SC Change Orders'!$D64,'SC Change Orders'!$F$2:$F$501,'SC Change Orders'!$F64,'SC Change Orders'!$E$2:$E$501,'SC Change Orders'!$E64)&gt;1),COUNTIFS('SC Change Orders'!$B$2:$B$501,'SC Change Orders'!$B64,'SC Change Orders'!$F$2:$F$501,'SC Change Orders'!$F64)&gt;1),  "Same PO and Amount Added as another row — check for a restatement counted twice; ",""),""),""))</f>
        <v/>
      </c>
    </row>
    <row r="83" customFormat="false" ht="15" hidden="false" customHeight="false" outlineLevel="0" collapsed="false">
      <c r="A83" s="18" t="str">
        <f aca="false">IF(AND('SC Change Orders'!$A65="",'SC Change Orders'!$B65="",'SC Change Orders'!$C65=""),"",65)</f>
        <v/>
      </c>
      <c r="B83" s="31" t="str">
        <f aca="false">IF($A83="","",'SC Change Orders'!$A65)</f>
        <v/>
      </c>
      <c r="C83" s="18" t="str">
        <f aca="false">IF($A83="","",'SC Change Orders'!$B65)</f>
        <v/>
      </c>
      <c r="D83" s="32" t="str">
        <f aca="false">IF($A83="","",'SC Change Orders'!$C65)</f>
        <v/>
      </c>
      <c r="E83" s="31" t="str">
        <f aca="false">IF($A83="","",'SC Change Orders'!$D65)</f>
        <v/>
      </c>
      <c r="F83" s="33" t="str">
        <f aca="false">IF($A83="","",'SC Change Orders'!$E65)</f>
        <v/>
      </c>
      <c r="G83" s="33" t="str">
        <f aca="false">IF($A83="","",'SC Change Orders'!$F65)</f>
        <v/>
      </c>
      <c r="H83" s="33" t="str">
        <f aca="false">IF($A83="","",'SC Change Orders'!$G65)</f>
        <v/>
      </c>
      <c r="I83" s="34" t="str">
        <f aca="false">IF($A83="","",IF(AND(ISNUMBER('SC Change Orders'!$C65),'SC Change Orders'!$C65&gt;=Controls!$C$5,'SC Change Orders'!$C65&lt;=Controls!$C$6),"Yes","No"))</f>
        <v/>
      </c>
      <c r="J83" s="31" t="str">
        <f aca="false">IF($A83="","",IF($K83="","OK",$K83))</f>
        <v/>
      </c>
      <c r="K83" s="0" t="str">
        <f aca="false">IF($A83="","",IF(NOT(ISNUMBER('SC Change Orders'!$B65)),"PO not numeric — row is invisible to the tracker; ","")&amp;IF(NOT(ISNUMBER('SC Change Orders'!$C65)),"Date missing or text — row excluded; ",  IF(OR('SC Change Orders'!$C65&lt;Controls!$C$5,'SC Change Orders'!$C65&gt;Controls!$C$6),"Dated outside the FY window — excluded; ",""))&amp;IF(AND('SC Change Orders'!$E65&lt;&gt;"",NOT(ISNUMBER('SC Change Orders'!$E65))),"Original Amount held as text — ignored by MINIFS; ","")&amp;IF(AND('SC Change Orders'!$F65&lt;&gt;"",NOT(ISNUMBER('SC Change Orders'!$F65))),"Amount Added held as text — ignored by SUMIFS; ","")&amp;IF(ISNUMBER('SC Change Orders'!$E65),IF(ISNUMBER('SC Change Orders'!$F65),IF(ISNUMBER('SC Change Orders'!$G65),  IF('SC Change Orders'!$G65&gt;0,IF(ROUND('SC Change Orders'!$E65+'SC Change Orders'!$F65,2)&lt;&gt;ROUND('SC Change Orders'!$G65,2),  "Original + Added &lt;&gt; Total Line Cost Allotted; ",""),""),""),""),"")&amp;IF(AND(ISNUMBER('SC Change Orders'!$B65),COUNTIFS('SC Change Orders'!$B$2:$B$501,'SC Change Orders'!$B65,'SC Change Orders'!$C$2:$C$501,'SC Change Orders'!$C65,'SC Change Orders'!$D$2:$D$501,'SC Change Orders'!$D65,'SC Change Orders'!$F$2:$F$501,'SC Change Orders'!$F65,'SC Change Orders'!$E$2:$E$501,'SC Change Orders'!$E65)&gt;1),"Duplicate of another row — funds counted twice; ","")&amp;IF(ISNUMBER('SC Change Orders'!$F65),IF('SC Change Orders'!$F65&lt;&gt;0,IF(AND(ISNUMBER('SC Change Orders'!$B65),NOT(COUNTIFS('SC Change Orders'!$B$2:$B$501,'SC Change Orders'!$B65,'SC Change Orders'!$C$2:$C$501,'SC Change Orders'!$C65,'SC Change Orders'!$D$2:$D$501,'SC Change Orders'!$D65,'SC Change Orders'!$F$2:$F$501,'SC Change Orders'!$F65,'SC Change Orders'!$E$2:$E$501,'SC Change Orders'!$E65)&gt;1),COUNTIFS('SC Change Orders'!$B$2:$B$501,'SC Change Orders'!$B65,'SC Change Orders'!$F$2:$F$501,'SC Change Orders'!$F65)&gt;1),  "Same PO and Amount Added as another row — check for a restatement counted twice; ",""),""),""))</f>
        <v/>
      </c>
    </row>
    <row r="84" customFormat="false" ht="15" hidden="false" customHeight="false" outlineLevel="0" collapsed="false">
      <c r="A84" s="18" t="str">
        <f aca="false">IF(AND('SC Change Orders'!$A66="",'SC Change Orders'!$B66="",'SC Change Orders'!$C66=""),"",66)</f>
        <v/>
      </c>
      <c r="B84" s="31" t="str">
        <f aca="false">IF($A84="","",'SC Change Orders'!$A66)</f>
        <v/>
      </c>
      <c r="C84" s="18" t="str">
        <f aca="false">IF($A84="","",'SC Change Orders'!$B66)</f>
        <v/>
      </c>
      <c r="D84" s="32" t="str">
        <f aca="false">IF($A84="","",'SC Change Orders'!$C66)</f>
        <v/>
      </c>
      <c r="E84" s="31" t="str">
        <f aca="false">IF($A84="","",'SC Change Orders'!$D66)</f>
        <v/>
      </c>
      <c r="F84" s="33" t="str">
        <f aca="false">IF($A84="","",'SC Change Orders'!$E66)</f>
        <v/>
      </c>
      <c r="G84" s="33" t="str">
        <f aca="false">IF($A84="","",'SC Change Orders'!$F66)</f>
        <v/>
      </c>
      <c r="H84" s="33" t="str">
        <f aca="false">IF($A84="","",'SC Change Orders'!$G66)</f>
        <v/>
      </c>
      <c r="I84" s="34" t="str">
        <f aca="false">IF($A84="","",IF(AND(ISNUMBER('SC Change Orders'!$C66),'SC Change Orders'!$C66&gt;=Controls!$C$5,'SC Change Orders'!$C66&lt;=Controls!$C$6),"Yes","No"))</f>
        <v/>
      </c>
      <c r="J84" s="31" t="str">
        <f aca="false">IF($A84="","",IF($K84="","OK",$K84))</f>
        <v/>
      </c>
      <c r="K84" s="0" t="str">
        <f aca="false">IF($A84="","",IF(NOT(ISNUMBER('SC Change Orders'!$B66)),"PO not numeric — row is invisible to the tracker; ","")&amp;IF(NOT(ISNUMBER('SC Change Orders'!$C66)),"Date missing or text — row excluded; ",  IF(OR('SC Change Orders'!$C66&lt;Controls!$C$5,'SC Change Orders'!$C66&gt;Controls!$C$6),"Dated outside the FY window — excluded; ",""))&amp;IF(AND('SC Change Orders'!$E66&lt;&gt;"",NOT(ISNUMBER('SC Change Orders'!$E66))),"Original Amount held as text — ignored by MINIFS; ","")&amp;IF(AND('SC Change Orders'!$F66&lt;&gt;"",NOT(ISNUMBER('SC Change Orders'!$F66))),"Amount Added held as text — ignored by SUMIFS; ","")&amp;IF(ISNUMBER('SC Change Orders'!$E66),IF(ISNUMBER('SC Change Orders'!$F66),IF(ISNUMBER('SC Change Orders'!$G66),  IF('SC Change Orders'!$G66&gt;0,IF(ROUND('SC Change Orders'!$E66+'SC Change Orders'!$F66,2)&lt;&gt;ROUND('SC Change Orders'!$G66,2),  "Original + Added &lt;&gt; Total Line Cost Allotted; ",""),""),""),""),"")&amp;IF(AND(ISNUMBER('SC Change Orders'!$B66),COUNTIFS('SC Change Orders'!$B$2:$B$501,'SC Change Orders'!$B66,'SC Change Orders'!$C$2:$C$501,'SC Change Orders'!$C66,'SC Change Orders'!$D$2:$D$501,'SC Change Orders'!$D66,'SC Change Orders'!$F$2:$F$501,'SC Change Orders'!$F66,'SC Change Orders'!$E$2:$E$501,'SC Change Orders'!$E66)&gt;1),"Duplicate of another row — funds counted twice; ","")&amp;IF(ISNUMBER('SC Change Orders'!$F66),IF('SC Change Orders'!$F66&lt;&gt;0,IF(AND(ISNUMBER('SC Change Orders'!$B66),NOT(COUNTIFS('SC Change Orders'!$B$2:$B$501,'SC Change Orders'!$B66,'SC Change Orders'!$C$2:$C$501,'SC Change Orders'!$C66,'SC Change Orders'!$D$2:$D$501,'SC Change Orders'!$D66,'SC Change Orders'!$F$2:$F$501,'SC Change Orders'!$F66,'SC Change Orders'!$E$2:$E$501,'SC Change Orders'!$E66)&gt;1),COUNTIFS('SC Change Orders'!$B$2:$B$501,'SC Change Orders'!$B66,'SC Change Orders'!$F$2:$F$501,'SC Change Orders'!$F66)&gt;1),  "Same PO and Amount Added as another row — check for a restatement counted twice; ",""),""),""))</f>
        <v/>
      </c>
    </row>
    <row r="85" customFormat="false" ht="15" hidden="false" customHeight="false" outlineLevel="0" collapsed="false">
      <c r="A85" s="18" t="str">
        <f aca="false">IF(AND('SC Change Orders'!$A67="",'SC Change Orders'!$B67="",'SC Change Orders'!$C67=""),"",67)</f>
        <v/>
      </c>
      <c r="B85" s="31" t="str">
        <f aca="false">IF($A85="","",'SC Change Orders'!$A67)</f>
        <v/>
      </c>
      <c r="C85" s="18" t="str">
        <f aca="false">IF($A85="","",'SC Change Orders'!$B67)</f>
        <v/>
      </c>
      <c r="D85" s="32" t="str">
        <f aca="false">IF($A85="","",'SC Change Orders'!$C67)</f>
        <v/>
      </c>
      <c r="E85" s="31" t="str">
        <f aca="false">IF($A85="","",'SC Change Orders'!$D67)</f>
        <v/>
      </c>
      <c r="F85" s="33" t="str">
        <f aca="false">IF($A85="","",'SC Change Orders'!$E67)</f>
        <v/>
      </c>
      <c r="G85" s="33" t="str">
        <f aca="false">IF($A85="","",'SC Change Orders'!$F67)</f>
        <v/>
      </c>
      <c r="H85" s="33" t="str">
        <f aca="false">IF($A85="","",'SC Change Orders'!$G67)</f>
        <v/>
      </c>
      <c r="I85" s="34" t="str">
        <f aca="false">IF($A85="","",IF(AND(ISNUMBER('SC Change Orders'!$C67),'SC Change Orders'!$C67&gt;=Controls!$C$5,'SC Change Orders'!$C67&lt;=Controls!$C$6),"Yes","No"))</f>
        <v/>
      </c>
      <c r="J85" s="31" t="str">
        <f aca="false">IF($A85="","",IF($K85="","OK",$K85))</f>
        <v/>
      </c>
      <c r="K85" s="0" t="str">
        <f aca="false">IF($A85="","",IF(NOT(ISNUMBER('SC Change Orders'!$B67)),"PO not numeric — row is invisible to the tracker; ","")&amp;IF(NOT(ISNUMBER('SC Change Orders'!$C67)),"Date missing or text — row excluded; ",  IF(OR('SC Change Orders'!$C67&lt;Controls!$C$5,'SC Change Orders'!$C67&gt;Controls!$C$6),"Dated outside the FY window — excluded; ",""))&amp;IF(AND('SC Change Orders'!$E67&lt;&gt;"",NOT(ISNUMBER('SC Change Orders'!$E67))),"Original Amount held as text — ignored by MINIFS; ","")&amp;IF(AND('SC Change Orders'!$F67&lt;&gt;"",NOT(ISNUMBER('SC Change Orders'!$F67))),"Amount Added held as text — ignored by SUMIFS; ","")&amp;IF(ISNUMBER('SC Change Orders'!$E67),IF(ISNUMBER('SC Change Orders'!$F67),IF(ISNUMBER('SC Change Orders'!$G67),  IF('SC Change Orders'!$G67&gt;0,IF(ROUND('SC Change Orders'!$E67+'SC Change Orders'!$F67,2)&lt;&gt;ROUND('SC Change Orders'!$G67,2),  "Original + Added &lt;&gt; Total Line Cost Allotted; ",""),""),""),""),"")&amp;IF(AND(ISNUMBER('SC Change Orders'!$B67),COUNTIFS('SC Change Orders'!$B$2:$B$501,'SC Change Orders'!$B67,'SC Change Orders'!$C$2:$C$501,'SC Change Orders'!$C67,'SC Change Orders'!$D$2:$D$501,'SC Change Orders'!$D67,'SC Change Orders'!$F$2:$F$501,'SC Change Orders'!$F67,'SC Change Orders'!$E$2:$E$501,'SC Change Orders'!$E67)&gt;1),"Duplicate of another row — funds counted twice; ","")&amp;IF(ISNUMBER('SC Change Orders'!$F67),IF('SC Change Orders'!$F67&lt;&gt;0,IF(AND(ISNUMBER('SC Change Orders'!$B67),NOT(COUNTIFS('SC Change Orders'!$B$2:$B$501,'SC Change Orders'!$B67,'SC Change Orders'!$C$2:$C$501,'SC Change Orders'!$C67,'SC Change Orders'!$D$2:$D$501,'SC Change Orders'!$D67,'SC Change Orders'!$F$2:$F$501,'SC Change Orders'!$F67,'SC Change Orders'!$E$2:$E$501,'SC Change Orders'!$E67)&gt;1),COUNTIFS('SC Change Orders'!$B$2:$B$501,'SC Change Orders'!$B67,'SC Change Orders'!$F$2:$F$501,'SC Change Orders'!$F67)&gt;1),  "Same PO and Amount Added as another row — check for a restatement counted twice; ",""),""),""))</f>
        <v/>
      </c>
    </row>
    <row r="86" customFormat="false" ht="15" hidden="false" customHeight="false" outlineLevel="0" collapsed="false">
      <c r="A86" s="18" t="str">
        <f aca="false">IF(AND('SC Change Orders'!$A68="",'SC Change Orders'!$B68="",'SC Change Orders'!$C68=""),"",68)</f>
        <v/>
      </c>
      <c r="B86" s="31" t="str">
        <f aca="false">IF($A86="","",'SC Change Orders'!$A68)</f>
        <v/>
      </c>
      <c r="C86" s="18" t="str">
        <f aca="false">IF($A86="","",'SC Change Orders'!$B68)</f>
        <v/>
      </c>
      <c r="D86" s="32" t="str">
        <f aca="false">IF($A86="","",'SC Change Orders'!$C68)</f>
        <v/>
      </c>
      <c r="E86" s="31" t="str">
        <f aca="false">IF($A86="","",'SC Change Orders'!$D68)</f>
        <v/>
      </c>
      <c r="F86" s="33" t="str">
        <f aca="false">IF($A86="","",'SC Change Orders'!$E68)</f>
        <v/>
      </c>
      <c r="G86" s="33" t="str">
        <f aca="false">IF($A86="","",'SC Change Orders'!$F68)</f>
        <v/>
      </c>
      <c r="H86" s="33" t="str">
        <f aca="false">IF($A86="","",'SC Change Orders'!$G68)</f>
        <v/>
      </c>
      <c r="I86" s="34" t="str">
        <f aca="false">IF($A86="","",IF(AND(ISNUMBER('SC Change Orders'!$C68),'SC Change Orders'!$C68&gt;=Controls!$C$5,'SC Change Orders'!$C68&lt;=Controls!$C$6),"Yes","No"))</f>
        <v/>
      </c>
      <c r="J86" s="31" t="str">
        <f aca="false">IF($A86="","",IF($K86="","OK",$K86))</f>
        <v/>
      </c>
      <c r="K86" s="0" t="str">
        <f aca="false">IF($A86="","",IF(NOT(ISNUMBER('SC Change Orders'!$B68)),"PO not numeric — row is invisible to the tracker; ","")&amp;IF(NOT(ISNUMBER('SC Change Orders'!$C68)),"Date missing or text — row excluded; ",  IF(OR('SC Change Orders'!$C68&lt;Controls!$C$5,'SC Change Orders'!$C68&gt;Controls!$C$6),"Dated outside the FY window — excluded; ",""))&amp;IF(AND('SC Change Orders'!$E68&lt;&gt;"",NOT(ISNUMBER('SC Change Orders'!$E68))),"Original Amount held as text — ignored by MINIFS; ","")&amp;IF(AND('SC Change Orders'!$F68&lt;&gt;"",NOT(ISNUMBER('SC Change Orders'!$F68))),"Amount Added held as text — ignored by SUMIFS; ","")&amp;IF(ISNUMBER('SC Change Orders'!$E68),IF(ISNUMBER('SC Change Orders'!$F68),IF(ISNUMBER('SC Change Orders'!$G68),  IF('SC Change Orders'!$G68&gt;0,IF(ROUND('SC Change Orders'!$E68+'SC Change Orders'!$F68,2)&lt;&gt;ROUND('SC Change Orders'!$G68,2),  "Original + Added &lt;&gt; Total Line Cost Allotted; ",""),""),""),""),"")&amp;IF(AND(ISNUMBER('SC Change Orders'!$B68),COUNTIFS('SC Change Orders'!$B$2:$B$501,'SC Change Orders'!$B68,'SC Change Orders'!$C$2:$C$501,'SC Change Orders'!$C68,'SC Change Orders'!$D$2:$D$501,'SC Change Orders'!$D68,'SC Change Orders'!$F$2:$F$501,'SC Change Orders'!$F68,'SC Change Orders'!$E$2:$E$501,'SC Change Orders'!$E68)&gt;1),"Duplicate of another row — funds counted twice; ","")&amp;IF(ISNUMBER('SC Change Orders'!$F68),IF('SC Change Orders'!$F68&lt;&gt;0,IF(AND(ISNUMBER('SC Change Orders'!$B68),NOT(COUNTIFS('SC Change Orders'!$B$2:$B$501,'SC Change Orders'!$B68,'SC Change Orders'!$C$2:$C$501,'SC Change Orders'!$C68,'SC Change Orders'!$D$2:$D$501,'SC Change Orders'!$D68,'SC Change Orders'!$F$2:$F$501,'SC Change Orders'!$F68,'SC Change Orders'!$E$2:$E$501,'SC Change Orders'!$E68)&gt;1),COUNTIFS('SC Change Orders'!$B$2:$B$501,'SC Change Orders'!$B68,'SC Change Orders'!$F$2:$F$501,'SC Change Orders'!$F68)&gt;1),  "Same PO and Amount Added as another row — check for a restatement counted twice; ",""),""),""))</f>
        <v/>
      </c>
    </row>
    <row r="87" customFormat="false" ht="15" hidden="false" customHeight="false" outlineLevel="0" collapsed="false">
      <c r="A87" s="18" t="str">
        <f aca="false">IF(AND('SC Change Orders'!$A69="",'SC Change Orders'!$B69="",'SC Change Orders'!$C69=""),"",69)</f>
        <v/>
      </c>
      <c r="B87" s="31" t="str">
        <f aca="false">IF($A87="","",'SC Change Orders'!$A69)</f>
        <v/>
      </c>
      <c r="C87" s="18" t="str">
        <f aca="false">IF($A87="","",'SC Change Orders'!$B69)</f>
        <v/>
      </c>
      <c r="D87" s="32" t="str">
        <f aca="false">IF($A87="","",'SC Change Orders'!$C69)</f>
        <v/>
      </c>
      <c r="E87" s="31" t="str">
        <f aca="false">IF($A87="","",'SC Change Orders'!$D69)</f>
        <v/>
      </c>
      <c r="F87" s="33" t="str">
        <f aca="false">IF($A87="","",'SC Change Orders'!$E69)</f>
        <v/>
      </c>
      <c r="G87" s="33" t="str">
        <f aca="false">IF($A87="","",'SC Change Orders'!$F69)</f>
        <v/>
      </c>
      <c r="H87" s="33" t="str">
        <f aca="false">IF($A87="","",'SC Change Orders'!$G69)</f>
        <v/>
      </c>
      <c r="I87" s="34" t="str">
        <f aca="false">IF($A87="","",IF(AND(ISNUMBER('SC Change Orders'!$C69),'SC Change Orders'!$C69&gt;=Controls!$C$5,'SC Change Orders'!$C69&lt;=Controls!$C$6),"Yes","No"))</f>
        <v/>
      </c>
      <c r="J87" s="31" t="str">
        <f aca="false">IF($A87="","",IF($K87="","OK",$K87))</f>
        <v/>
      </c>
      <c r="K87" s="0" t="str">
        <f aca="false">IF($A87="","",IF(NOT(ISNUMBER('SC Change Orders'!$B69)),"PO not numeric — row is invisible to the tracker; ","")&amp;IF(NOT(ISNUMBER('SC Change Orders'!$C69)),"Date missing or text — row excluded; ",  IF(OR('SC Change Orders'!$C69&lt;Controls!$C$5,'SC Change Orders'!$C69&gt;Controls!$C$6),"Dated outside the FY window — excluded; ",""))&amp;IF(AND('SC Change Orders'!$E69&lt;&gt;"",NOT(ISNUMBER('SC Change Orders'!$E69))),"Original Amount held as text — ignored by MINIFS; ","")&amp;IF(AND('SC Change Orders'!$F69&lt;&gt;"",NOT(ISNUMBER('SC Change Orders'!$F69))),"Amount Added held as text — ignored by SUMIFS; ","")&amp;IF(ISNUMBER('SC Change Orders'!$E69),IF(ISNUMBER('SC Change Orders'!$F69),IF(ISNUMBER('SC Change Orders'!$G69),  IF('SC Change Orders'!$G69&gt;0,IF(ROUND('SC Change Orders'!$E69+'SC Change Orders'!$F69,2)&lt;&gt;ROUND('SC Change Orders'!$G69,2),  "Original + Added &lt;&gt; Total Line Cost Allotted; ",""),""),""),""),"")&amp;IF(AND(ISNUMBER('SC Change Orders'!$B69),COUNTIFS('SC Change Orders'!$B$2:$B$501,'SC Change Orders'!$B69,'SC Change Orders'!$C$2:$C$501,'SC Change Orders'!$C69,'SC Change Orders'!$D$2:$D$501,'SC Change Orders'!$D69,'SC Change Orders'!$F$2:$F$501,'SC Change Orders'!$F69,'SC Change Orders'!$E$2:$E$501,'SC Change Orders'!$E69)&gt;1),"Duplicate of another row — funds counted twice; ","")&amp;IF(ISNUMBER('SC Change Orders'!$F69),IF('SC Change Orders'!$F69&lt;&gt;0,IF(AND(ISNUMBER('SC Change Orders'!$B69),NOT(COUNTIFS('SC Change Orders'!$B$2:$B$501,'SC Change Orders'!$B69,'SC Change Orders'!$C$2:$C$501,'SC Change Orders'!$C69,'SC Change Orders'!$D$2:$D$501,'SC Change Orders'!$D69,'SC Change Orders'!$F$2:$F$501,'SC Change Orders'!$F69,'SC Change Orders'!$E$2:$E$501,'SC Change Orders'!$E69)&gt;1),COUNTIFS('SC Change Orders'!$B$2:$B$501,'SC Change Orders'!$B69,'SC Change Orders'!$F$2:$F$501,'SC Change Orders'!$F69)&gt;1),  "Same PO and Amount Added as another row — check for a restatement counted twice; ",""),""),""))</f>
        <v/>
      </c>
    </row>
    <row r="88" customFormat="false" ht="15" hidden="false" customHeight="false" outlineLevel="0" collapsed="false">
      <c r="A88" s="18" t="str">
        <f aca="false">IF(AND('SC Change Orders'!$A70="",'SC Change Orders'!$B70="",'SC Change Orders'!$C70=""),"",70)</f>
        <v/>
      </c>
      <c r="B88" s="31" t="str">
        <f aca="false">IF($A88="","",'SC Change Orders'!$A70)</f>
        <v/>
      </c>
      <c r="C88" s="18" t="str">
        <f aca="false">IF($A88="","",'SC Change Orders'!$B70)</f>
        <v/>
      </c>
      <c r="D88" s="32" t="str">
        <f aca="false">IF($A88="","",'SC Change Orders'!$C70)</f>
        <v/>
      </c>
      <c r="E88" s="31" t="str">
        <f aca="false">IF($A88="","",'SC Change Orders'!$D70)</f>
        <v/>
      </c>
      <c r="F88" s="33" t="str">
        <f aca="false">IF($A88="","",'SC Change Orders'!$E70)</f>
        <v/>
      </c>
      <c r="G88" s="33" t="str">
        <f aca="false">IF($A88="","",'SC Change Orders'!$F70)</f>
        <v/>
      </c>
      <c r="H88" s="33" t="str">
        <f aca="false">IF($A88="","",'SC Change Orders'!$G70)</f>
        <v/>
      </c>
      <c r="I88" s="34" t="str">
        <f aca="false">IF($A88="","",IF(AND(ISNUMBER('SC Change Orders'!$C70),'SC Change Orders'!$C70&gt;=Controls!$C$5,'SC Change Orders'!$C70&lt;=Controls!$C$6),"Yes","No"))</f>
        <v/>
      </c>
      <c r="J88" s="31" t="str">
        <f aca="false">IF($A88="","",IF($K88="","OK",$K88))</f>
        <v/>
      </c>
      <c r="K88" s="0" t="str">
        <f aca="false">IF($A88="","",IF(NOT(ISNUMBER('SC Change Orders'!$B70)),"PO not numeric — row is invisible to the tracker; ","")&amp;IF(NOT(ISNUMBER('SC Change Orders'!$C70)),"Date missing or text — row excluded; ",  IF(OR('SC Change Orders'!$C70&lt;Controls!$C$5,'SC Change Orders'!$C70&gt;Controls!$C$6),"Dated outside the FY window — excluded; ",""))&amp;IF(AND('SC Change Orders'!$E70&lt;&gt;"",NOT(ISNUMBER('SC Change Orders'!$E70))),"Original Amount held as text — ignored by MINIFS; ","")&amp;IF(AND('SC Change Orders'!$F70&lt;&gt;"",NOT(ISNUMBER('SC Change Orders'!$F70))),"Amount Added held as text — ignored by SUMIFS; ","")&amp;IF(ISNUMBER('SC Change Orders'!$E70),IF(ISNUMBER('SC Change Orders'!$F70),IF(ISNUMBER('SC Change Orders'!$G70),  IF('SC Change Orders'!$G70&gt;0,IF(ROUND('SC Change Orders'!$E70+'SC Change Orders'!$F70,2)&lt;&gt;ROUND('SC Change Orders'!$G70,2),  "Original + Added &lt;&gt; Total Line Cost Allotted; ",""),""),""),""),"")&amp;IF(AND(ISNUMBER('SC Change Orders'!$B70),COUNTIFS('SC Change Orders'!$B$2:$B$501,'SC Change Orders'!$B70,'SC Change Orders'!$C$2:$C$501,'SC Change Orders'!$C70,'SC Change Orders'!$D$2:$D$501,'SC Change Orders'!$D70,'SC Change Orders'!$F$2:$F$501,'SC Change Orders'!$F70,'SC Change Orders'!$E$2:$E$501,'SC Change Orders'!$E70)&gt;1),"Duplicate of another row — funds counted twice; ","")&amp;IF(ISNUMBER('SC Change Orders'!$F70),IF('SC Change Orders'!$F70&lt;&gt;0,IF(AND(ISNUMBER('SC Change Orders'!$B70),NOT(COUNTIFS('SC Change Orders'!$B$2:$B$501,'SC Change Orders'!$B70,'SC Change Orders'!$C$2:$C$501,'SC Change Orders'!$C70,'SC Change Orders'!$D$2:$D$501,'SC Change Orders'!$D70,'SC Change Orders'!$F$2:$F$501,'SC Change Orders'!$F70,'SC Change Orders'!$E$2:$E$501,'SC Change Orders'!$E70)&gt;1),COUNTIFS('SC Change Orders'!$B$2:$B$501,'SC Change Orders'!$B70,'SC Change Orders'!$F$2:$F$501,'SC Change Orders'!$F70)&gt;1),  "Same PO and Amount Added as another row — check for a restatement counted twice; ",""),""),""))</f>
        <v/>
      </c>
    </row>
    <row r="89" customFormat="false" ht="15" hidden="false" customHeight="false" outlineLevel="0" collapsed="false">
      <c r="A89" s="18" t="str">
        <f aca="false">IF(AND('SC Change Orders'!$A71="",'SC Change Orders'!$B71="",'SC Change Orders'!$C71=""),"",71)</f>
        <v/>
      </c>
      <c r="B89" s="31" t="str">
        <f aca="false">IF($A89="","",'SC Change Orders'!$A71)</f>
        <v/>
      </c>
      <c r="C89" s="18" t="str">
        <f aca="false">IF($A89="","",'SC Change Orders'!$B71)</f>
        <v/>
      </c>
      <c r="D89" s="32" t="str">
        <f aca="false">IF($A89="","",'SC Change Orders'!$C71)</f>
        <v/>
      </c>
      <c r="E89" s="31" t="str">
        <f aca="false">IF($A89="","",'SC Change Orders'!$D71)</f>
        <v/>
      </c>
      <c r="F89" s="33" t="str">
        <f aca="false">IF($A89="","",'SC Change Orders'!$E71)</f>
        <v/>
      </c>
      <c r="G89" s="33" t="str">
        <f aca="false">IF($A89="","",'SC Change Orders'!$F71)</f>
        <v/>
      </c>
      <c r="H89" s="33" t="str">
        <f aca="false">IF($A89="","",'SC Change Orders'!$G71)</f>
        <v/>
      </c>
      <c r="I89" s="34" t="str">
        <f aca="false">IF($A89="","",IF(AND(ISNUMBER('SC Change Orders'!$C71),'SC Change Orders'!$C71&gt;=Controls!$C$5,'SC Change Orders'!$C71&lt;=Controls!$C$6),"Yes","No"))</f>
        <v/>
      </c>
      <c r="J89" s="31" t="str">
        <f aca="false">IF($A89="","",IF($K89="","OK",$K89))</f>
        <v/>
      </c>
      <c r="K89" s="0" t="str">
        <f aca="false">IF($A89="","",IF(NOT(ISNUMBER('SC Change Orders'!$B71)),"PO not numeric — row is invisible to the tracker; ","")&amp;IF(NOT(ISNUMBER('SC Change Orders'!$C71)),"Date missing or text — row excluded; ",  IF(OR('SC Change Orders'!$C71&lt;Controls!$C$5,'SC Change Orders'!$C71&gt;Controls!$C$6),"Dated outside the FY window — excluded; ",""))&amp;IF(AND('SC Change Orders'!$E71&lt;&gt;"",NOT(ISNUMBER('SC Change Orders'!$E71))),"Original Amount held as text — ignored by MINIFS; ","")&amp;IF(AND('SC Change Orders'!$F71&lt;&gt;"",NOT(ISNUMBER('SC Change Orders'!$F71))),"Amount Added held as text — ignored by SUMIFS; ","")&amp;IF(ISNUMBER('SC Change Orders'!$E71),IF(ISNUMBER('SC Change Orders'!$F71),IF(ISNUMBER('SC Change Orders'!$G71),  IF('SC Change Orders'!$G71&gt;0,IF(ROUND('SC Change Orders'!$E71+'SC Change Orders'!$F71,2)&lt;&gt;ROUND('SC Change Orders'!$G71,2),  "Original + Added &lt;&gt; Total Line Cost Allotted; ",""),""),""),""),"")&amp;IF(AND(ISNUMBER('SC Change Orders'!$B71),COUNTIFS('SC Change Orders'!$B$2:$B$501,'SC Change Orders'!$B71,'SC Change Orders'!$C$2:$C$501,'SC Change Orders'!$C71,'SC Change Orders'!$D$2:$D$501,'SC Change Orders'!$D71,'SC Change Orders'!$F$2:$F$501,'SC Change Orders'!$F71,'SC Change Orders'!$E$2:$E$501,'SC Change Orders'!$E71)&gt;1),"Duplicate of another row — funds counted twice; ","")&amp;IF(ISNUMBER('SC Change Orders'!$F71),IF('SC Change Orders'!$F71&lt;&gt;0,IF(AND(ISNUMBER('SC Change Orders'!$B71),NOT(COUNTIFS('SC Change Orders'!$B$2:$B$501,'SC Change Orders'!$B71,'SC Change Orders'!$C$2:$C$501,'SC Change Orders'!$C71,'SC Change Orders'!$D$2:$D$501,'SC Change Orders'!$D71,'SC Change Orders'!$F$2:$F$501,'SC Change Orders'!$F71,'SC Change Orders'!$E$2:$E$501,'SC Change Orders'!$E71)&gt;1),COUNTIFS('SC Change Orders'!$B$2:$B$501,'SC Change Orders'!$B71,'SC Change Orders'!$F$2:$F$501,'SC Change Orders'!$F71)&gt;1),  "Same PO and Amount Added as another row — check for a restatement counted twice; ",""),""),""))</f>
        <v/>
      </c>
    </row>
    <row r="90" customFormat="false" ht="15" hidden="false" customHeight="false" outlineLevel="0" collapsed="false">
      <c r="A90" s="18" t="str">
        <f aca="false">IF(AND('SC Change Orders'!$A72="",'SC Change Orders'!$B72="",'SC Change Orders'!$C72=""),"",72)</f>
        <v/>
      </c>
      <c r="B90" s="31" t="str">
        <f aca="false">IF($A90="","",'SC Change Orders'!$A72)</f>
        <v/>
      </c>
      <c r="C90" s="18" t="str">
        <f aca="false">IF($A90="","",'SC Change Orders'!$B72)</f>
        <v/>
      </c>
      <c r="D90" s="32" t="str">
        <f aca="false">IF($A90="","",'SC Change Orders'!$C72)</f>
        <v/>
      </c>
      <c r="E90" s="31" t="str">
        <f aca="false">IF($A90="","",'SC Change Orders'!$D72)</f>
        <v/>
      </c>
      <c r="F90" s="33" t="str">
        <f aca="false">IF($A90="","",'SC Change Orders'!$E72)</f>
        <v/>
      </c>
      <c r="G90" s="33" t="str">
        <f aca="false">IF($A90="","",'SC Change Orders'!$F72)</f>
        <v/>
      </c>
      <c r="H90" s="33" t="str">
        <f aca="false">IF($A90="","",'SC Change Orders'!$G72)</f>
        <v/>
      </c>
      <c r="I90" s="34" t="str">
        <f aca="false">IF($A90="","",IF(AND(ISNUMBER('SC Change Orders'!$C72),'SC Change Orders'!$C72&gt;=Controls!$C$5,'SC Change Orders'!$C72&lt;=Controls!$C$6),"Yes","No"))</f>
        <v/>
      </c>
      <c r="J90" s="31" t="str">
        <f aca="false">IF($A90="","",IF($K90="","OK",$K90))</f>
        <v/>
      </c>
      <c r="K90" s="0" t="str">
        <f aca="false">IF($A90="","",IF(NOT(ISNUMBER('SC Change Orders'!$B72)),"PO not numeric — row is invisible to the tracker; ","")&amp;IF(NOT(ISNUMBER('SC Change Orders'!$C72)),"Date missing or text — row excluded; ",  IF(OR('SC Change Orders'!$C72&lt;Controls!$C$5,'SC Change Orders'!$C72&gt;Controls!$C$6),"Dated outside the FY window — excluded; ",""))&amp;IF(AND('SC Change Orders'!$E72&lt;&gt;"",NOT(ISNUMBER('SC Change Orders'!$E72))),"Original Amount held as text — ignored by MINIFS; ","")&amp;IF(AND('SC Change Orders'!$F72&lt;&gt;"",NOT(ISNUMBER('SC Change Orders'!$F72))),"Amount Added held as text — ignored by SUMIFS; ","")&amp;IF(ISNUMBER('SC Change Orders'!$E72),IF(ISNUMBER('SC Change Orders'!$F72),IF(ISNUMBER('SC Change Orders'!$G72),  IF('SC Change Orders'!$G72&gt;0,IF(ROUND('SC Change Orders'!$E72+'SC Change Orders'!$F72,2)&lt;&gt;ROUND('SC Change Orders'!$G72,2),  "Original + Added &lt;&gt; Total Line Cost Allotted; ",""),""),""),""),"")&amp;IF(AND(ISNUMBER('SC Change Orders'!$B72),COUNTIFS('SC Change Orders'!$B$2:$B$501,'SC Change Orders'!$B72,'SC Change Orders'!$C$2:$C$501,'SC Change Orders'!$C72,'SC Change Orders'!$D$2:$D$501,'SC Change Orders'!$D72,'SC Change Orders'!$F$2:$F$501,'SC Change Orders'!$F72,'SC Change Orders'!$E$2:$E$501,'SC Change Orders'!$E72)&gt;1),"Duplicate of another row — funds counted twice; ","")&amp;IF(ISNUMBER('SC Change Orders'!$F72),IF('SC Change Orders'!$F72&lt;&gt;0,IF(AND(ISNUMBER('SC Change Orders'!$B72),NOT(COUNTIFS('SC Change Orders'!$B$2:$B$501,'SC Change Orders'!$B72,'SC Change Orders'!$C$2:$C$501,'SC Change Orders'!$C72,'SC Change Orders'!$D$2:$D$501,'SC Change Orders'!$D72,'SC Change Orders'!$F$2:$F$501,'SC Change Orders'!$F72,'SC Change Orders'!$E$2:$E$501,'SC Change Orders'!$E72)&gt;1),COUNTIFS('SC Change Orders'!$B$2:$B$501,'SC Change Orders'!$B72,'SC Change Orders'!$F$2:$F$501,'SC Change Orders'!$F72)&gt;1),  "Same PO and Amount Added as another row — check for a restatement counted twice; ",""),""),""))</f>
        <v/>
      </c>
    </row>
    <row r="91" customFormat="false" ht="15" hidden="false" customHeight="false" outlineLevel="0" collapsed="false">
      <c r="A91" s="18" t="str">
        <f aca="false">IF(AND('SC Change Orders'!$A73="",'SC Change Orders'!$B73="",'SC Change Orders'!$C73=""),"",73)</f>
        <v/>
      </c>
      <c r="B91" s="31" t="str">
        <f aca="false">IF($A91="","",'SC Change Orders'!$A73)</f>
        <v/>
      </c>
      <c r="C91" s="18" t="str">
        <f aca="false">IF($A91="","",'SC Change Orders'!$B73)</f>
        <v/>
      </c>
      <c r="D91" s="32" t="str">
        <f aca="false">IF($A91="","",'SC Change Orders'!$C73)</f>
        <v/>
      </c>
      <c r="E91" s="31" t="str">
        <f aca="false">IF($A91="","",'SC Change Orders'!$D73)</f>
        <v/>
      </c>
      <c r="F91" s="33" t="str">
        <f aca="false">IF($A91="","",'SC Change Orders'!$E73)</f>
        <v/>
      </c>
      <c r="G91" s="33" t="str">
        <f aca="false">IF($A91="","",'SC Change Orders'!$F73)</f>
        <v/>
      </c>
      <c r="H91" s="33" t="str">
        <f aca="false">IF($A91="","",'SC Change Orders'!$G73)</f>
        <v/>
      </c>
      <c r="I91" s="34" t="str">
        <f aca="false">IF($A91="","",IF(AND(ISNUMBER('SC Change Orders'!$C73),'SC Change Orders'!$C73&gt;=Controls!$C$5,'SC Change Orders'!$C73&lt;=Controls!$C$6),"Yes","No"))</f>
        <v/>
      </c>
      <c r="J91" s="31" t="str">
        <f aca="false">IF($A91="","",IF($K91="","OK",$K91))</f>
        <v/>
      </c>
      <c r="K91" s="0" t="str">
        <f aca="false">IF($A91="","",IF(NOT(ISNUMBER('SC Change Orders'!$B73)),"PO not numeric — row is invisible to the tracker; ","")&amp;IF(NOT(ISNUMBER('SC Change Orders'!$C73)),"Date missing or text — row excluded; ",  IF(OR('SC Change Orders'!$C73&lt;Controls!$C$5,'SC Change Orders'!$C73&gt;Controls!$C$6),"Dated outside the FY window — excluded; ",""))&amp;IF(AND('SC Change Orders'!$E73&lt;&gt;"",NOT(ISNUMBER('SC Change Orders'!$E73))),"Original Amount held as text — ignored by MINIFS; ","")&amp;IF(AND('SC Change Orders'!$F73&lt;&gt;"",NOT(ISNUMBER('SC Change Orders'!$F73))),"Amount Added held as text — ignored by SUMIFS; ","")&amp;IF(ISNUMBER('SC Change Orders'!$E73),IF(ISNUMBER('SC Change Orders'!$F73),IF(ISNUMBER('SC Change Orders'!$G73),  IF('SC Change Orders'!$G73&gt;0,IF(ROUND('SC Change Orders'!$E73+'SC Change Orders'!$F73,2)&lt;&gt;ROUND('SC Change Orders'!$G73,2),  "Original + Added &lt;&gt; Total Line Cost Allotted; ",""),""),""),""),"")&amp;IF(AND(ISNUMBER('SC Change Orders'!$B73),COUNTIFS('SC Change Orders'!$B$2:$B$501,'SC Change Orders'!$B73,'SC Change Orders'!$C$2:$C$501,'SC Change Orders'!$C73,'SC Change Orders'!$D$2:$D$501,'SC Change Orders'!$D73,'SC Change Orders'!$F$2:$F$501,'SC Change Orders'!$F73,'SC Change Orders'!$E$2:$E$501,'SC Change Orders'!$E73)&gt;1),"Duplicate of another row — funds counted twice; ","")&amp;IF(ISNUMBER('SC Change Orders'!$F73),IF('SC Change Orders'!$F73&lt;&gt;0,IF(AND(ISNUMBER('SC Change Orders'!$B73),NOT(COUNTIFS('SC Change Orders'!$B$2:$B$501,'SC Change Orders'!$B73,'SC Change Orders'!$C$2:$C$501,'SC Change Orders'!$C73,'SC Change Orders'!$D$2:$D$501,'SC Change Orders'!$D73,'SC Change Orders'!$F$2:$F$501,'SC Change Orders'!$F73,'SC Change Orders'!$E$2:$E$501,'SC Change Orders'!$E73)&gt;1),COUNTIFS('SC Change Orders'!$B$2:$B$501,'SC Change Orders'!$B73,'SC Change Orders'!$F$2:$F$501,'SC Change Orders'!$F73)&gt;1),  "Same PO and Amount Added as another row — check for a restatement counted twice; ",""),""),""))</f>
        <v/>
      </c>
    </row>
    <row r="92" customFormat="false" ht="15" hidden="false" customHeight="false" outlineLevel="0" collapsed="false">
      <c r="A92" s="18" t="str">
        <f aca="false">IF(AND('SC Change Orders'!$A74="",'SC Change Orders'!$B74="",'SC Change Orders'!$C74=""),"",74)</f>
        <v/>
      </c>
      <c r="B92" s="31" t="str">
        <f aca="false">IF($A92="","",'SC Change Orders'!$A74)</f>
        <v/>
      </c>
      <c r="C92" s="18" t="str">
        <f aca="false">IF($A92="","",'SC Change Orders'!$B74)</f>
        <v/>
      </c>
      <c r="D92" s="32" t="str">
        <f aca="false">IF($A92="","",'SC Change Orders'!$C74)</f>
        <v/>
      </c>
      <c r="E92" s="31" t="str">
        <f aca="false">IF($A92="","",'SC Change Orders'!$D74)</f>
        <v/>
      </c>
      <c r="F92" s="33" t="str">
        <f aca="false">IF($A92="","",'SC Change Orders'!$E74)</f>
        <v/>
      </c>
      <c r="G92" s="33" t="str">
        <f aca="false">IF($A92="","",'SC Change Orders'!$F74)</f>
        <v/>
      </c>
      <c r="H92" s="33" t="str">
        <f aca="false">IF($A92="","",'SC Change Orders'!$G74)</f>
        <v/>
      </c>
      <c r="I92" s="34" t="str">
        <f aca="false">IF($A92="","",IF(AND(ISNUMBER('SC Change Orders'!$C74),'SC Change Orders'!$C74&gt;=Controls!$C$5,'SC Change Orders'!$C74&lt;=Controls!$C$6),"Yes","No"))</f>
        <v/>
      </c>
      <c r="J92" s="31" t="str">
        <f aca="false">IF($A92="","",IF($K92="","OK",$K92))</f>
        <v/>
      </c>
      <c r="K92" s="0" t="str">
        <f aca="false">IF($A92="","",IF(NOT(ISNUMBER('SC Change Orders'!$B74)),"PO not numeric — row is invisible to the tracker; ","")&amp;IF(NOT(ISNUMBER('SC Change Orders'!$C74)),"Date missing or text — row excluded; ",  IF(OR('SC Change Orders'!$C74&lt;Controls!$C$5,'SC Change Orders'!$C74&gt;Controls!$C$6),"Dated outside the FY window — excluded; ",""))&amp;IF(AND('SC Change Orders'!$E74&lt;&gt;"",NOT(ISNUMBER('SC Change Orders'!$E74))),"Original Amount held as text — ignored by MINIFS; ","")&amp;IF(AND('SC Change Orders'!$F74&lt;&gt;"",NOT(ISNUMBER('SC Change Orders'!$F74))),"Amount Added held as text — ignored by SUMIFS; ","")&amp;IF(ISNUMBER('SC Change Orders'!$E74),IF(ISNUMBER('SC Change Orders'!$F74),IF(ISNUMBER('SC Change Orders'!$G74),  IF('SC Change Orders'!$G74&gt;0,IF(ROUND('SC Change Orders'!$E74+'SC Change Orders'!$F74,2)&lt;&gt;ROUND('SC Change Orders'!$G74,2),  "Original + Added &lt;&gt; Total Line Cost Allotted; ",""),""),""),""),"")&amp;IF(AND(ISNUMBER('SC Change Orders'!$B74),COUNTIFS('SC Change Orders'!$B$2:$B$501,'SC Change Orders'!$B74,'SC Change Orders'!$C$2:$C$501,'SC Change Orders'!$C74,'SC Change Orders'!$D$2:$D$501,'SC Change Orders'!$D74,'SC Change Orders'!$F$2:$F$501,'SC Change Orders'!$F74,'SC Change Orders'!$E$2:$E$501,'SC Change Orders'!$E74)&gt;1),"Duplicate of another row — funds counted twice; ","")&amp;IF(ISNUMBER('SC Change Orders'!$F74),IF('SC Change Orders'!$F74&lt;&gt;0,IF(AND(ISNUMBER('SC Change Orders'!$B74),NOT(COUNTIFS('SC Change Orders'!$B$2:$B$501,'SC Change Orders'!$B74,'SC Change Orders'!$C$2:$C$501,'SC Change Orders'!$C74,'SC Change Orders'!$D$2:$D$501,'SC Change Orders'!$D74,'SC Change Orders'!$F$2:$F$501,'SC Change Orders'!$F74,'SC Change Orders'!$E$2:$E$501,'SC Change Orders'!$E74)&gt;1),COUNTIFS('SC Change Orders'!$B$2:$B$501,'SC Change Orders'!$B74,'SC Change Orders'!$F$2:$F$501,'SC Change Orders'!$F74)&gt;1),  "Same PO and Amount Added as another row — check for a restatement counted twice; ",""),""),""))</f>
        <v/>
      </c>
    </row>
    <row r="93" customFormat="false" ht="15" hidden="false" customHeight="false" outlineLevel="0" collapsed="false">
      <c r="A93" s="18" t="str">
        <f aca="false">IF(AND('SC Change Orders'!$A75="",'SC Change Orders'!$B75="",'SC Change Orders'!$C75=""),"",75)</f>
        <v/>
      </c>
      <c r="B93" s="31" t="str">
        <f aca="false">IF($A93="","",'SC Change Orders'!$A75)</f>
        <v/>
      </c>
      <c r="C93" s="18" t="str">
        <f aca="false">IF($A93="","",'SC Change Orders'!$B75)</f>
        <v/>
      </c>
      <c r="D93" s="32" t="str">
        <f aca="false">IF($A93="","",'SC Change Orders'!$C75)</f>
        <v/>
      </c>
      <c r="E93" s="31" t="str">
        <f aca="false">IF($A93="","",'SC Change Orders'!$D75)</f>
        <v/>
      </c>
      <c r="F93" s="33" t="str">
        <f aca="false">IF($A93="","",'SC Change Orders'!$E75)</f>
        <v/>
      </c>
      <c r="G93" s="33" t="str">
        <f aca="false">IF($A93="","",'SC Change Orders'!$F75)</f>
        <v/>
      </c>
      <c r="H93" s="33" t="str">
        <f aca="false">IF($A93="","",'SC Change Orders'!$G75)</f>
        <v/>
      </c>
      <c r="I93" s="34" t="str">
        <f aca="false">IF($A93="","",IF(AND(ISNUMBER('SC Change Orders'!$C75),'SC Change Orders'!$C75&gt;=Controls!$C$5,'SC Change Orders'!$C75&lt;=Controls!$C$6),"Yes","No"))</f>
        <v/>
      </c>
      <c r="J93" s="31" t="str">
        <f aca="false">IF($A93="","",IF($K93="","OK",$K93))</f>
        <v/>
      </c>
      <c r="K93" s="0" t="str">
        <f aca="false">IF($A93="","",IF(NOT(ISNUMBER('SC Change Orders'!$B75)),"PO not numeric — row is invisible to the tracker; ","")&amp;IF(NOT(ISNUMBER('SC Change Orders'!$C75)),"Date missing or text — row excluded; ",  IF(OR('SC Change Orders'!$C75&lt;Controls!$C$5,'SC Change Orders'!$C75&gt;Controls!$C$6),"Dated outside the FY window — excluded; ",""))&amp;IF(AND('SC Change Orders'!$E75&lt;&gt;"",NOT(ISNUMBER('SC Change Orders'!$E75))),"Original Amount held as text — ignored by MINIFS; ","")&amp;IF(AND('SC Change Orders'!$F75&lt;&gt;"",NOT(ISNUMBER('SC Change Orders'!$F75))),"Amount Added held as text — ignored by SUMIFS; ","")&amp;IF(ISNUMBER('SC Change Orders'!$E75),IF(ISNUMBER('SC Change Orders'!$F75),IF(ISNUMBER('SC Change Orders'!$G75),  IF('SC Change Orders'!$G75&gt;0,IF(ROUND('SC Change Orders'!$E75+'SC Change Orders'!$F75,2)&lt;&gt;ROUND('SC Change Orders'!$G75,2),  "Original + Added &lt;&gt; Total Line Cost Allotted; ",""),""),""),""),"")&amp;IF(AND(ISNUMBER('SC Change Orders'!$B75),COUNTIFS('SC Change Orders'!$B$2:$B$501,'SC Change Orders'!$B75,'SC Change Orders'!$C$2:$C$501,'SC Change Orders'!$C75,'SC Change Orders'!$D$2:$D$501,'SC Change Orders'!$D75,'SC Change Orders'!$F$2:$F$501,'SC Change Orders'!$F75,'SC Change Orders'!$E$2:$E$501,'SC Change Orders'!$E75)&gt;1),"Duplicate of another row — funds counted twice; ","")&amp;IF(ISNUMBER('SC Change Orders'!$F75),IF('SC Change Orders'!$F75&lt;&gt;0,IF(AND(ISNUMBER('SC Change Orders'!$B75),NOT(COUNTIFS('SC Change Orders'!$B$2:$B$501,'SC Change Orders'!$B75,'SC Change Orders'!$C$2:$C$501,'SC Change Orders'!$C75,'SC Change Orders'!$D$2:$D$501,'SC Change Orders'!$D75,'SC Change Orders'!$F$2:$F$501,'SC Change Orders'!$F75,'SC Change Orders'!$E$2:$E$501,'SC Change Orders'!$E75)&gt;1),COUNTIFS('SC Change Orders'!$B$2:$B$501,'SC Change Orders'!$B75,'SC Change Orders'!$F$2:$F$501,'SC Change Orders'!$F75)&gt;1),  "Same PO and Amount Added as another row — check for a restatement counted twice; ",""),""),""))</f>
        <v/>
      </c>
    </row>
    <row r="94" customFormat="false" ht="15" hidden="false" customHeight="false" outlineLevel="0" collapsed="false">
      <c r="A94" s="18" t="str">
        <f aca="false">IF(AND('SC Change Orders'!$A76="",'SC Change Orders'!$B76="",'SC Change Orders'!$C76=""),"",76)</f>
        <v/>
      </c>
      <c r="B94" s="31" t="str">
        <f aca="false">IF($A94="","",'SC Change Orders'!$A76)</f>
        <v/>
      </c>
      <c r="C94" s="18" t="str">
        <f aca="false">IF($A94="","",'SC Change Orders'!$B76)</f>
        <v/>
      </c>
      <c r="D94" s="32" t="str">
        <f aca="false">IF($A94="","",'SC Change Orders'!$C76)</f>
        <v/>
      </c>
      <c r="E94" s="31" t="str">
        <f aca="false">IF($A94="","",'SC Change Orders'!$D76)</f>
        <v/>
      </c>
      <c r="F94" s="33" t="str">
        <f aca="false">IF($A94="","",'SC Change Orders'!$E76)</f>
        <v/>
      </c>
      <c r="G94" s="33" t="str">
        <f aca="false">IF($A94="","",'SC Change Orders'!$F76)</f>
        <v/>
      </c>
      <c r="H94" s="33" t="str">
        <f aca="false">IF($A94="","",'SC Change Orders'!$G76)</f>
        <v/>
      </c>
      <c r="I94" s="34" t="str">
        <f aca="false">IF($A94="","",IF(AND(ISNUMBER('SC Change Orders'!$C76),'SC Change Orders'!$C76&gt;=Controls!$C$5,'SC Change Orders'!$C76&lt;=Controls!$C$6),"Yes","No"))</f>
        <v/>
      </c>
      <c r="J94" s="31" t="str">
        <f aca="false">IF($A94="","",IF($K94="","OK",$K94))</f>
        <v/>
      </c>
      <c r="K94" s="0" t="str">
        <f aca="false">IF($A94="","",IF(NOT(ISNUMBER('SC Change Orders'!$B76)),"PO not numeric — row is invisible to the tracker; ","")&amp;IF(NOT(ISNUMBER('SC Change Orders'!$C76)),"Date missing or text — row excluded; ",  IF(OR('SC Change Orders'!$C76&lt;Controls!$C$5,'SC Change Orders'!$C76&gt;Controls!$C$6),"Dated outside the FY window — excluded; ",""))&amp;IF(AND('SC Change Orders'!$E76&lt;&gt;"",NOT(ISNUMBER('SC Change Orders'!$E76))),"Original Amount held as text — ignored by MINIFS; ","")&amp;IF(AND('SC Change Orders'!$F76&lt;&gt;"",NOT(ISNUMBER('SC Change Orders'!$F76))),"Amount Added held as text — ignored by SUMIFS; ","")&amp;IF(ISNUMBER('SC Change Orders'!$E76),IF(ISNUMBER('SC Change Orders'!$F76),IF(ISNUMBER('SC Change Orders'!$G76),  IF('SC Change Orders'!$G76&gt;0,IF(ROUND('SC Change Orders'!$E76+'SC Change Orders'!$F76,2)&lt;&gt;ROUND('SC Change Orders'!$G76,2),  "Original + Added &lt;&gt; Total Line Cost Allotted; ",""),""),""),""),"")&amp;IF(AND(ISNUMBER('SC Change Orders'!$B76),COUNTIFS('SC Change Orders'!$B$2:$B$501,'SC Change Orders'!$B76,'SC Change Orders'!$C$2:$C$501,'SC Change Orders'!$C76,'SC Change Orders'!$D$2:$D$501,'SC Change Orders'!$D76,'SC Change Orders'!$F$2:$F$501,'SC Change Orders'!$F76,'SC Change Orders'!$E$2:$E$501,'SC Change Orders'!$E76)&gt;1),"Duplicate of another row — funds counted twice; ","")&amp;IF(ISNUMBER('SC Change Orders'!$F76),IF('SC Change Orders'!$F76&lt;&gt;0,IF(AND(ISNUMBER('SC Change Orders'!$B76),NOT(COUNTIFS('SC Change Orders'!$B$2:$B$501,'SC Change Orders'!$B76,'SC Change Orders'!$C$2:$C$501,'SC Change Orders'!$C76,'SC Change Orders'!$D$2:$D$501,'SC Change Orders'!$D76,'SC Change Orders'!$F$2:$F$501,'SC Change Orders'!$F76,'SC Change Orders'!$E$2:$E$501,'SC Change Orders'!$E76)&gt;1),COUNTIFS('SC Change Orders'!$B$2:$B$501,'SC Change Orders'!$B76,'SC Change Orders'!$F$2:$F$501,'SC Change Orders'!$F76)&gt;1),  "Same PO and Amount Added as another row — check for a restatement counted twice; ",""),""),""))</f>
        <v/>
      </c>
    </row>
    <row r="95" customFormat="false" ht="15" hidden="false" customHeight="false" outlineLevel="0" collapsed="false">
      <c r="A95" s="18" t="str">
        <f aca="false">IF(AND('SC Change Orders'!$A77="",'SC Change Orders'!$B77="",'SC Change Orders'!$C77=""),"",77)</f>
        <v/>
      </c>
      <c r="B95" s="31" t="str">
        <f aca="false">IF($A95="","",'SC Change Orders'!$A77)</f>
        <v/>
      </c>
      <c r="C95" s="18" t="str">
        <f aca="false">IF($A95="","",'SC Change Orders'!$B77)</f>
        <v/>
      </c>
      <c r="D95" s="32" t="str">
        <f aca="false">IF($A95="","",'SC Change Orders'!$C77)</f>
        <v/>
      </c>
      <c r="E95" s="31" t="str">
        <f aca="false">IF($A95="","",'SC Change Orders'!$D77)</f>
        <v/>
      </c>
      <c r="F95" s="33" t="str">
        <f aca="false">IF($A95="","",'SC Change Orders'!$E77)</f>
        <v/>
      </c>
      <c r="G95" s="33" t="str">
        <f aca="false">IF($A95="","",'SC Change Orders'!$F77)</f>
        <v/>
      </c>
      <c r="H95" s="33" t="str">
        <f aca="false">IF($A95="","",'SC Change Orders'!$G77)</f>
        <v/>
      </c>
      <c r="I95" s="34" t="str">
        <f aca="false">IF($A95="","",IF(AND(ISNUMBER('SC Change Orders'!$C77),'SC Change Orders'!$C77&gt;=Controls!$C$5,'SC Change Orders'!$C77&lt;=Controls!$C$6),"Yes","No"))</f>
        <v/>
      </c>
      <c r="J95" s="31" t="str">
        <f aca="false">IF($A95="","",IF($K95="","OK",$K95))</f>
        <v/>
      </c>
      <c r="K95" s="0" t="str">
        <f aca="false">IF($A95="","",IF(NOT(ISNUMBER('SC Change Orders'!$B77)),"PO not numeric — row is invisible to the tracker; ","")&amp;IF(NOT(ISNUMBER('SC Change Orders'!$C77)),"Date missing or text — row excluded; ",  IF(OR('SC Change Orders'!$C77&lt;Controls!$C$5,'SC Change Orders'!$C77&gt;Controls!$C$6),"Dated outside the FY window — excluded; ",""))&amp;IF(AND('SC Change Orders'!$E77&lt;&gt;"",NOT(ISNUMBER('SC Change Orders'!$E77))),"Original Amount held as text — ignored by MINIFS; ","")&amp;IF(AND('SC Change Orders'!$F77&lt;&gt;"",NOT(ISNUMBER('SC Change Orders'!$F77))),"Amount Added held as text — ignored by SUMIFS; ","")&amp;IF(ISNUMBER('SC Change Orders'!$E77),IF(ISNUMBER('SC Change Orders'!$F77),IF(ISNUMBER('SC Change Orders'!$G77),  IF('SC Change Orders'!$G77&gt;0,IF(ROUND('SC Change Orders'!$E77+'SC Change Orders'!$F77,2)&lt;&gt;ROUND('SC Change Orders'!$G77,2),  "Original + Added &lt;&gt; Total Line Cost Allotted; ",""),""),""),""),"")&amp;IF(AND(ISNUMBER('SC Change Orders'!$B77),COUNTIFS('SC Change Orders'!$B$2:$B$501,'SC Change Orders'!$B77,'SC Change Orders'!$C$2:$C$501,'SC Change Orders'!$C77,'SC Change Orders'!$D$2:$D$501,'SC Change Orders'!$D77,'SC Change Orders'!$F$2:$F$501,'SC Change Orders'!$F77,'SC Change Orders'!$E$2:$E$501,'SC Change Orders'!$E77)&gt;1),"Duplicate of another row — funds counted twice; ","")&amp;IF(ISNUMBER('SC Change Orders'!$F77),IF('SC Change Orders'!$F77&lt;&gt;0,IF(AND(ISNUMBER('SC Change Orders'!$B77),NOT(COUNTIFS('SC Change Orders'!$B$2:$B$501,'SC Change Orders'!$B77,'SC Change Orders'!$C$2:$C$501,'SC Change Orders'!$C77,'SC Change Orders'!$D$2:$D$501,'SC Change Orders'!$D77,'SC Change Orders'!$F$2:$F$501,'SC Change Orders'!$F77,'SC Change Orders'!$E$2:$E$501,'SC Change Orders'!$E77)&gt;1),COUNTIFS('SC Change Orders'!$B$2:$B$501,'SC Change Orders'!$B77,'SC Change Orders'!$F$2:$F$501,'SC Change Orders'!$F77)&gt;1),  "Same PO and Amount Added as another row — check for a restatement counted twice; ",""),""),""))</f>
        <v/>
      </c>
    </row>
    <row r="96" customFormat="false" ht="15" hidden="false" customHeight="false" outlineLevel="0" collapsed="false">
      <c r="A96" s="18" t="str">
        <f aca="false">IF(AND('SC Change Orders'!$A78="",'SC Change Orders'!$B78="",'SC Change Orders'!$C78=""),"",78)</f>
        <v/>
      </c>
      <c r="B96" s="31" t="str">
        <f aca="false">IF($A96="","",'SC Change Orders'!$A78)</f>
        <v/>
      </c>
      <c r="C96" s="18" t="str">
        <f aca="false">IF($A96="","",'SC Change Orders'!$B78)</f>
        <v/>
      </c>
      <c r="D96" s="32" t="str">
        <f aca="false">IF($A96="","",'SC Change Orders'!$C78)</f>
        <v/>
      </c>
      <c r="E96" s="31" t="str">
        <f aca="false">IF($A96="","",'SC Change Orders'!$D78)</f>
        <v/>
      </c>
      <c r="F96" s="33" t="str">
        <f aca="false">IF($A96="","",'SC Change Orders'!$E78)</f>
        <v/>
      </c>
      <c r="G96" s="33" t="str">
        <f aca="false">IF($A96="","",'SC Change Orders'!$F78)</f>
        <v/>
      </c>
      <c r="H96" s="33" t="str">
        <f aca="false">IF($A96="","",'SC Change Orders'!$G78)</f>
        <v/>
      </c>
      <c r="I96" s="34" t="str">
        <f aca="false">IF($A96="","",IF(AND(ISNUMBER('SC Change Orders'!$C78),'SC Change Orders'!$C78&gt;=Controls!$C$5,'SC Change Orders'!$C78&lt;=Controls!$C$6),"Yes","No"))</f>
        <v/>
      </c>
      <c r="J96" s="31" t="str">
        <f aca="false">IF($A96="","",IF($K96="","OK",$K96))</f>
        <v/>
      </c>
      <c r="K96" s="0" t="str">
        <f aca="false">IF($A96="","",IF(NOT(ISNUMBER('SC Change Orders'!$B78)),"PO not numeric — row is invisible to the tracker; ","")&amp;IF(NOT(ISNUMBER('SC Change Orders'!$C78)),"Date missing or text — row excluded; ",  IF(OR('SC Change Orders'!$C78&lt;Controls!$C$5,'SC Change Orders'!$C78&gt;Controls!$C$6),"Dated outside the FY window — excluded; ",""))&amp;IF(AND('SC Change Orders'!$E78&lt;&gt;"",NOT(ISNUMBER('SC Change Orders'!$E78))),"Original Amount held as text — ignored by MINIFS; ","")&amp;IF(AND('SC Change Orders'!$F78&lt;&gt;"",NOT(ISNUMBER('SC Change Orders'!$F78))),"Amount Added held as text — ignored by SUMIFS; ","")&amp;IF(ISNUMBER('SC Change Orders'!$E78),IF(ISNUMBER('SC Change Orders'!$F78),IF(ISNUMBER('SC Change Orders'!$G78),  IF('SC Change Orders'!$G78&gt;0,IF(ROUND('SC Change Orders'!$E78+'SC Change Orders'!$F78,2)&lt;&gt;ROUND('SC Change Orders'!$G78,2),  "Original + Added &lt;&gt; Total Line Cost Allotted; ",""),""),""),""),"")&amp;IF(AND(ISNUMBER('SC Change Orders'!$B78),COUNTIFS('SC Change Orders'!$B$2:$B$501,'SC Change Orders'!$B78,'SC Change Orders'!$C$2:$C$501,'SC Change Orders'!$C78,'SC Change Orders'!$D$2:$D$501,'SC Change Orders'!$D78,'SC Change Orders'!$F$2:$F$501,'SC Change Orders'!$F78,'SC Change Orders'!$E$2:$E$501,'SC Change Orders'!$E78)&gt;1),"Duplicate of another row — funds counted twice; ","")&amp;IF(ISNUMBER('SC Change Orders'!$F78),IF('SC Change Orders'!$F78&lt;&gt;0,IF(AND(ISNUMBER('SC Change Orders'!$B78),NOT(COUNTIFS('SC Change Orders'!$B$2:$B$501,'SC Change Orders'!$B78,'SC Change Orders'!$C$2:$C$501,'SC Change Orders'!$C78,'SC Change Orders'!$D$2:$D$501,'SC Change Orders'!$D78,'SC Change Orders'!$F$2:$F$501,'SC Change Orders'!$F78,'SC Change Orders'!$E$2:$E$501,'SC Change Orders'!$E78)&gt;1),COUNTIFS('SC Change Orders'!$B$2:$B$501,'SC Change Orders'!$B78,'SC Change Orders'!$F$2:$F$501,'SC Change Orders'!$F78)&gt;1),  "Same PO and Amount Added as another row — check for a restatement counted twice; ",""),""),""))</f>
        <v/>
      </c>
    </row>
    <row r="97" customFormat="false" ht="15" hidden="false" customHeight="false" outlineLevel="0" collapsed="false">
      <c r="A97" s="18" t="str">
        <f aca="false">IF(AND('SC Change Orders'!$A79="",'SC Change Orders'!$B79="",'SC Change Orders'!$C79=""),"",79)</f>
        <v/>
      </c>
      <c r="B97" s="31" t="str">
        <f aca="false">IF($A97="","",'SC Change Orders'!$A79)</f>
        <v/>
      </c>
      <c r="C97" s="18" t="str">
        <f aca="false">IF($A97="","",'SC Change Orders'!$B79)</f>
        <v/>
      </c>
      <c r="D97" s="32" t="str">
        <f aca="false">IF($A97="","",'SC Change Orders'!$C79)</f>
        <v/>
      </c>
      <c r="E97" s="31" t="str">
        <f aca="false">IF($A97="","",'SC Change Orders'!$D79)</f>
        <v/>
      </c>
      <c r="F97" s="33" t="str">
        <f aca="false">IF($A97="","",'SC Change Orders'!$E79)</f>
        <v/>
      </c>
      <c r="G97" s="33" t="str">
        <f aca="false">IF($A97="","",'SC Change Orders'!$F79)</f>
        <v/>
      </c>
      <c r="H97" s="33" t="str">
        <f aca="false">IF($A97="","",'SC Change Orders'!$G79)</f>
        <v/>
      </c>
      <c r="I97" s="34" t="str">
        <f aca="false">IF($A97="","",IF(AND(ISNUMBER('SC Change Orders'!$C79),'SC Change Orders'!$C79&gt;=Controls!$C$5,'SC Change Orders'!$C79&lt;=Controls!$C$6),"Yes","No"))</f>
        <v/>
      </c>
      <c r="J97" s="31" t="str">
        <f aca="false">IF($A97="","",IF($K97="","OK",$K97))</f>
        <v/>
      </c>
      <c r="K97" s="0" t="str">
        <f aca="false">IF($A97="","",IF(NOT(ISNUMBER('SC Change Orders'!$B79)),"PO not numeric — row is invisible to the tracker; ","")&amp;IF(NOT(ISNUMBER('SC Change Orders'!$C79)),"Date missing or text — row excluded; ",  IF(OR('SC Change Orders'!$C79&lt;Controls!$C$5,'SC Change Orders'!$C79&gt;Controls!$C$6),"Dated outside the FY window — excluded; ",""))&amp;IF(AND('SC Change Orders'!$E79&lt;&gt;"",NOT(ISNUMBER('SC Change Orders'!$E79))),"Original Amount held as text — ignored by MINIFS; ","")&amp;IF(AND('SC Change Orders'!$F79&lt;&gt;"",NOT(ISNUMBER('SC Change Orders'!$F79))),"Amount Added held as text — ignored by SUMIFS; ","")&amp;IF(ISNUMBER('SC Change Orders'!$E79),IF(ISNUMBER('SC Change Orders'!$F79),IF(ISNUMBER('SC Change Orders'!$G79),  IF('SC Change Orders'!$G79&gt;0,IF(ROUND('SC Change Orders'!$E79+'SC Change Orders'!$F79,2)&lt;&gt;ROUND('SC Change Orders'!$G79,2),  "Original + Added &lt;&gt; Total Line Cost Allotted; ",""),""),""),""),"")&amp;IF(AND(ISNUMBER('SC Change Orders'!$B79),COUNTIFS('SC Change Orders'!$B$2:$B$501,'SC Change Orders'!$B79,'SC Change Orders'!$C$2:$C$501,'SC Change Orders'!$C79,'SC Change Orders'!$D$2:$D$501,'SC Change Orders'!$D79,'SC Change Orders'!$F$2:$F$501,'SC Change Orders'!$F79,'SC Change Orders'!$E$2:$E$501,'SC Change Orders'!$E79)&gt;1),"Duplicate of another row — funds counted twice; ","")&amp;IF(ISNUMBER('SC Change Orders'!$F79),IF('SC Change Orders'!$F79&lt;&gt;0,IF(AND(ISNUMBER('SC Change Orders'!$B79),NOT(COUNTIFS('SC Change Orders'!$B$2:$B$501,'SC Change Orders'!$B79,'SC Change Orders'!$C$2:$C$501,'SC Change Orders'!$C79,'SC Change Orders'!$D$2:$D$501,'SC Change Orders'!$D79,'SC Change Orders'!$F$2:$F$501,'SC Change Orders'!$F79,'SC Change Orders'!$E$2:$E$501,'SC Change Orders'!$E79)&gt;1),COUNTIFS('SC Change Orders'!$B$2:$B$501,'SC Change Orders'!$B79,'SC Change Orders'!$F$2:$F$501,'SC Change Orders'!$F79)&gt;1),  "Same PO and Amount Added as another row — check for a restatement counted twice; ",""),""),""))</f>
        <v/>
      </c>
    </row>
    <row r="98" customFormat="false" ht="15" hidden="false" customHeight="false" outlineLevel="0" collapsed="false">
      <c r="A98" s="18" t="str">
        <f aca="false">IF(AND('SC Change Orders'!$A80="",'SC Change Orders'!$B80="",'SC Change Orders'!$C80=""),"",80)</f>
        <v/>
      </c>
      <c r="B98" s="31" t="str">
        <f aca="false">IF($A98="","",'SC Change Orders'!$A80)</f>
        <v/>
      </c>
      <c r="C98" s="18" t="str">
        <f aca="false">IF($A98="","",'SC Change Orders'!$B80)</f>
        <v/>
      </c>
      <c r="D98" s="32" t="str">
        <f aca="false">IF($A98="","",'SC Change Orders'!$C80)</f>
        <v/>
      </c>
      <c r="E98" s="31" t="str">
        <f aca="false">IF($A98="","",'SC Change Orders'!$D80)</f>
        <v/>
      </c>
      <c r="F98" s="33" t="str">
        <f aca="false">IF($A98="","",'SC Change Orders'!$E80)</f>
        <v/>
      </c>
      <c r="G98" s="33" t="str">
        <f aca="false">IF($A98="","",'SC Change Orders'!$F80)</f>
        <v/>
      </c>
      <c r="H98" s="33" t="str">
        <f aca="false">IF($A98="","",'SC Change Orders'!$G80)</f>
        <v/>
      </c>
      <c r="I98" s="34" t="str">
        <f aca="false">IF($A98="","",IF(AND(ISNUMBER('SC Change Orders'!$C80),'SC Change Orders'!$C80&gt;=Controls!$C$5,'SC Change Orders'!$C80&lt;=Controls!$C$6),"Yes","No"))</f>
        <v/>
      </c>
      <c r="J98" s="31" t="str">
        <f aca="false">IF($A98="","",IF($K98="","OK",$K98))</f>
        <v/>
      </c>
      <c r="K98" s="0" t="str">
        <f aca="false">IF($A98="","",IF(NOT(ISNUMBER('SC Change Orders'!$B80)),"PO not numeric — row is invisible to the tracker; ","")&amp;IF(NOT(ISNUMBER('SC Change Orders'!$C80)),"Date missing or text — row excluded; ",  IF(OR('SC Change Orders'!$C80&lt;Controls!$C$5,'SC Change Orders'!$C80&gt;Controls!$C$6),"Dated outside the FY window — excluded; ",""))&amp;IF(AND('SC Change Orders'!$E80&lt;&gt;"",NOT(ISNUMBER('SC Change Orders'!$E80))),"Original Amount held as text — ignored by MINIFS; ","")&amp;IF(AND('SC Change Orders'!$F80&lt;&gt;"",NOT(ISNUMBER('SC Change Orders'!$F80))),"Amount Added held as text — ignored by SUMIFS; ","")&amp;IF(ISNUMBER('SC Change Orders'!$E80),IF(ISNUMBER('SC Change Orders'!$F80),IF(ISNUMBER('SC Change Orders'!$G80),  IF('SC Change Orders'!$G80&gt;0,IF(ROUND('SC Change Orders'!$E80+'SC Change Orders'!$F80,2)&lt;&gt;ROUND('SC Change Orders'!$G80,2),  "Original + Added &lt;&gt; Total Line Cost Allotted; ",""),""),""),""),"")&amp;IF(AND(ISNUMBER('SC Change Orders'!$B80),COUNTIFS('SC Change Orders'!$B$2:$B$501,'SC Change Orders'!$B80,'SC Change Orders'!$C$2:$C$501,'SC Change Orders'!$C80,'SC Change Orders'!$D$2:$D$501,'SC Change Orders'!$D80,'SC Change Orders'!$F$2:$F$501,'SC Change Orders'!$F80,'SC Change Orders'!$E$2:$E$501,'SC Change Orders'!$E80)&gt;1),"Duplicate of another row — funds counted twice; ","")&amp;IF(ISNUMBER('SC Change Orders'!$F80),IF('SC Change Orders'!$F80&lt;&gt;0,IF(AND(ISNUMBER('SC Change Orders'!$B80),NOT(COUNTIFS('SC Change Orders'!$B$2:$B$501,'SC Change Orders'!$B80,'SC Change Orders'!$C$2:$C$501,'SC Change Orders'!$C80,'SC Change Orders'!$D$2:$D$501,'SC Change Orders'!$D80,'SC Change Orders'!$F$2:$F$501,'SC Change Orders'!$F80,'SC Change Orders'!$E$2:$E$501,'SC Change Orders'!$E80)&gt;1),COUNTIFS('SC Change Orders'!$B$2:$B$501,'SC Change Orders'!$B80,'SC Change Orders'!$F$2:$F$501,'SC Change Orders'!$F80)&gt;1),  "Same PO and Amount Added as another row — check for a restatement counted twice; ",""),""),""))</f>
        <v/>
      </c>
    </row>
    <row r="99" customFormat="false" ht="15" hidden="false" customHeight="false" outlineLevel="0" collapsed="false">
      <c r="A99" s="18" t="str">
        <f aca="false">IF(AND('SC Change Orders'!$A81="",'SC Change Orders'!$B81="",'SC Change Orders'!$C81=""),"",81)</f>
        <v/>
      </c>
      <c r="B99" s="31" t="str">
        <f aca="false">IF($A99="","",'SC Change Orders'!$A81)</f>
        <v/>
      </c>
      <c r="C99" s="18" t="str">
        <f aca="false">IF($A99="","",'SC Change Orders'!$B81)</f>
        <v/>
      </c>
      <c r="D99" s="32" t="str">
        <f aca="false">IF($A99="","",'SC Change Orders'!$C81)</f>
        <v/>
      </c>
      <c r="E99" s="31" t="str">
        <f aca="false">IF($A99="","",'SC Change Orders'!$D81)</f>
        <v/>
      </c>
      <c r="F99" s="33" t="str">
        <f aca="false">IF($A99="","",'SC Change Orders'!$E81)</f>
        <v/>
      </c>
      <c r="G99" s="33" t="str">
        <f aca="false">IF($A99="","",'SC Change Orders'!$F81)</f>
        <v/>
      </c>
      <c r="H99" s="33" t="str">
        <f aca="false">IF($A99="","",'SC Change Orders'!$G81)</f>
        <v/>
      </c>
      <c r="I99" s="34" t="str">
        <f aca="false">IF($A99="","",IF(AND(ISNUMBER('SC Change Orders'!$C81),'SC Change Orders'!$C81&gt;=Controls!$C$5,'SC Change Orders'!$C81&lt;=Controls!$C$6),"Yes","No"))</f>
        <v/>
      </c>
      <c r="J99" s="31" t="str">
        <f aca="false">IF($A99="","",IF($K99="","OK",$K99))</f>
        <v/>
      </c>
      <c r="K99" s="0" t="str">
        <f aca="false">IF($A99="","",IF(NOT(ISNUMBER('SC Change Orders'!$B81)),"PO not numeric — row is invisible to the tracker; ","")&amp;IF(NOT(ISNUMBER('SC Change Orders'!$C81)),"Date missing or text — row excluded; ",  IF(OR('SC Change Orders'!$C81&lt;Controls!$C$5,'SC Change Orders'!$C81&gt;Controls!$C$6),"Dated outside the FY window — excluded; ",""))&amp;IF(AND('SC Change Orders'!$E81&lt;&gt;"",NOT(ISNUMBER('SC Change Orders'!$E81))),"Original Amount held as text — ignored by MINIFS; ","")&amp;IF(AND('SC Change Orders'!$F81&lt;&gt;"",NOT(ISNUMBER('SC Change Orders'!$F81))),"Amount Added held as text — ignored by SUMIFS; ","")&amp;IF(ISNUMBER('SC Change Orders'!$E81),IF(ISNUMBER('SC Change Orders'!$F81),IF(ISNUMBER('SC Change Orders'!$G81),  IF('SC Change Orders'!$G81&gt;0,IF(ROUND('SC Change Orders'!$E81+'SC Change Orders'!$F81,2)&lt;&gt;ROUND('SC Change Orders'!$G81,2),  "Original + Added &lt;&gt; Total Line Cost Allotted; ",""),""),""),""),"")&amp;IF(AND(ISNUMBER('SC Change Orders'!$B81),COUNTIFS('SC Change Orders'!$B$2:$B$501,'SC Change Orders'!$B81,'SC Change Orders'!$C$2:$C$501,'SC Change Orders'!$C81,'SC Change Orders'!$D$2:$D$501,'SC Change Orders'!$D81,'SC Change Orders'!$F$2:$F$501,'SC Change Orders'!$F81,'SC Change Orders'!$E$2:$E$501,'SC Change Orders'!$E81)&gt;1),"Duplicate of another row — funds counted twice; ","")&amp;IF(ISNUMBER('SC Change Orders'!$F81),IF('SC Change Orders'!$F81&lt;&gt;0,IF(AND(ISNUMBER('SC Change Orders'!$B81),NOT(COUNTIFS('SC Change Orders'!$B$2:$B$501,'SC Change Orders'!$B81,'SC Change Orders'!$C$2:$C$501,'SC Change Orders'!$C81,'SC Change Orders'!$D$2:$D$501,'SC Change Orders'!$D81,'SC Change Orders'!$F$2:$F$501,'SC Change Orders'!$F81,'SC Change Orders'!$E$2:$E$501,'SC Change Orders'!$E81)&gt;1),COUNTIFS('SC Change Orders'!$B$2:$B$501,'SC Change Orders'!$B81,'SC Change Orders'!$F$2:$F$501,'SC Change Orders'!$F81)&gt;1),  "Same PO and Amount Added as another row — check for a restatement counted twice; ",""),""),""))</f>
        <v/>
      </c>
    </row>
    <row r="100" customFormat="false" ht="15" hidden="false" customHeight="false" outlineLevel="0" collapsed="false">
      <c r="A100" s="18" t="str">
        <f aca="false">IF(AND('SC Change Orders'!$A82="",'SC Change Orders'!$B82="",'SC Change Orders'!$C82=""),"",82)</f>
        <v/>
      </c>
      <c r="B100" s="31" t="str">
        <f aca="false">IF($A100="","",'SC Change Orders'!$A82)</f>
        <v/>
      </c>
      <c r="C100" s="18" t="str">
        <f aca="false">IF($A100="","",'SC Change Orders'!$B82)</f>
        <v/>
      </c>
      <c r="D100" s="32" t="str">
        <f aca="false">IF($A100="","",'SC Change Orders'!$C82)</f>
        <v/>
      </c>
      <c r="E100" s="31" t="str">
        <f aca="false">IF($A100="","",'SC Change Orders'!$D82)</f>
        <v/>
      </c>
      <c r="F100" s="33" t="str">
        <f aca="false">IF($A100="","",'SC Change Orders'!$E82)</f>
        <v/>
      </c>
      <c r="G100" s="33" t="str">
        <f aca="false">IF($A100="","",'SC Change Orders'!$F82)</f>
        <v/>
      </c>
      <c r="H100" s="33" t="str">
        <f aca="false">IF($A100="","",'SC Change Orders'!$G82)</f>
        <v/>
      </c>
      <c r="I100" s="34" t="str">
        <f aca="false">IF($A100="","",IF(AND(ISNUMBER('SC Change Orders'!$C82),'SC Change Orders'!$C82&gt;=Controls!$C$5,'SC Change Orders'!$C82&lt;=Controls!$C$6),"Yes","No"))</f>
        <v/>
      </c>
      <c r="J100" s="31" t="str">
        <f aca="false">IF($A100="","",IF($K100="","OK",$K100))</f>
        <v/>
      </c>
      <c r="K100" s="0" t="str">
        <f aca="false">IF($A100="","",IF(NOT(ISNUMBER('SC Change Orders'!$B82)),"PO not numeric — row is invisible to the tracker; ","")&amp;IF(NOT(ISNUMBER('SC Change Orders'!$C82)),"Date missing or text — row excluded; ",  IF(OR('SC Change Orders'!$C82&lt;Controls!$C$5,'SC Change Orders'!$C82&gt;Controls!$C$6),"Dated outside the FY window — excluded; ",""))&amp;IF(AND('SC Change Orders'!$E82&lt;&gt;"",NOT(ISNUMBER('SC Change Orders'!$E82))),"Original Amount held as text — ignored by MINIFS; ","")&amp;IF(AND('SC Change Orders'!$F82&lt;&gt;"",NOT(ISNUMBER('SC Change Orders'!$F82))),"Amount Added held as text — ignored by SUMIFS; ","")&amp;IF(ISNUMBER('SC Change Orders'!$E82),IF(ISNUMBER('SC Change Orders'!$F82),IF(ISNUMBER('SC Change Orders'!$G82),  IF('SC Change Orders'!$G82&gt;0,IF(ROUND('SC Change Orders'!$E82+'SC Change Orders'!$F82,2)&lt;&gt;ROUND('SC Change Orders'!$G82,2),  "Original + Added &lt;&gt; Total Line Cost Allotted; ",""),""),""),""),"")&amp;IF(AND(ISNUMBER('SC Change Orders'!$B82),COUNTIFS('SC Change Orders'!$B$2:$B$501,'SC Change Orders'!$B82,'SC Change Orders'!$C$2:$C$501,'SC Change Orders'!$C82,'SC Change Orders'!$D$2:$D$501,'SC Change Orders'!$D82,'SC Change Orders'!$F$2:$F$501,'SC Change Orders'!$F82,'SC Change Orders'!$E$2:$E$501,'SC Change Orders'!$E82)&gt;1),"Duplicate of another row — funds counted twice; ","")&amp;IF(ISNUMBER('SC Change Orders'!$F82),IF('SC Change Orders'!$F82&lt;&gt;0,IF(AND(ISNUMBER('SC Change Orders'!$B82),NOT(COUNTIFS('SC Change Orders'!$B$2:$B$501,'SC Change Orders'!$B82,'SC Change Orders'!$C$2:$C$501,'SC Change Orders'!$C82,'SC Change Orders'!$D$2:$D$501,'SC Change Orders'!$D82,'SC Change Orders'!$F$2:$F$501,'SC Change Orders'!$F82,'SC Change Orders'!$E$2:$E$501,'SC Change Orders'!$E82)&gt;1),COUNTIFS('SC Change Orders'!$B$2:$B$501,'SC Change Orders'!$B82,'SC Change Orders'!$F$2:$F$501,'SC Change Orders'!$F82)&gt;1),  "Same PO and Amount Added as another row — check for a restatement counted twice; ",""),""),""))</f>
        <v/>
      </c>
    </row>
    <row r="101" customFormat="false" ht="15" hidden="false" customHeight="false" outlineLevel="0" collapsed="false">
      <c r="A101" s="18" t="str">
        <f aca="false">IF(AND('SC Change Orders'!$A83="",'SC Change Orders'!$B83="",'SC Change Orders'!$C83=""),"",83)</f>
        <v/>
      </c>
      <c r="B101" s="31" t="str">
        <f aca="false">IF($A101="","",'SC Change Orders'!$A83)</f>
        <v/>
      </c>
      <c r="C101" s="18" t="str">
        <f aca="false">IF($A101="","",'SC Change Orders'!$B83)</f>
        <v/>
      </c>
      <c r="D101" s="32" t="str">
        <f aca="false">IF($A101="","",'SC Change Orders'!$C83)</f>
        <v/>
      </c>
      <c r="E101" s="31" t="str">
        <f aca="false">IF($A101="","",'SC Change Orders'!$D83)</f>
        <v/>
      </c>
      <c r="F101" s="33" t="str">
        <f aca="false">IF($A101="","",'SC Change Orders'!$E83)</f>
        <v/>
      </c>
      <c r="G101" s="33" t="str">
        <f aca="false">IF($A101="","",'SC Change Orders'!$F83)</f>
        <v/>
      </c>
      <c r="H101" s="33" t="str">
        <f aca="false">IF($A101="","",'SC Change Orders'!$G83)</f>
        <v/>
      </c>
      <c r="I101" s="34" t="str">
        <f aca="false">IF($A101="","",IF(AND(ISNUMBER('SC Change Orders'!$C83),'SC Change Orders'!$C83&gt;=Controls!$C$5,'SC Change Orders'!$C83&lt;=Controls!$C$6),"Yes","No"))</f>
        <v/>
      </c>
      <c r="J101" s="31" t="str">
        <f aca="false">IF($A101="","",IF($K101="","OK",$K101))</f>
        <v/>
      </c>
      <c r="K101" s="0" t="str">
        <f aca="false">IF($A101="","",IF(NOT(ISNUMBER('SC Change Orders'!$B83)),"PO not numeric — row is invisible to the tracker; ","")&amp;IF(NOT(ISNUMBER('SC Change Orders'!$C83)),"Date missing or text — row excluded; ",  IF(OR('SC Change Orders'!$C83&lt;Controls!$C$5,'SC Change Orders'!$C83&gt;Controls!$C$6),"Dated outside the FY window — excluded; ",""))&amp;IF(AND('SC Change Orders'!$E83&lt;&gt;"",NOT(ISNUMBER('SC Change Orders'!$E83))),"Original Amount held as text — ignored by MINIFS; ","")&amp;IF(AND('SC Change Orders'!$F83&lt;&gt;"",NOT(ISNUMBER('SC Change Orders'!$F83))),"Amount Added held as text — ignored by SUMIFS; ","")&amp;IF(ISNUMBER('SC Change Orders'!$E83),IF(ISNUMBER('SC Change Orders'!$F83),IF(ISNUMBER('SC Change Orders'!$G83),  IF('SC Change Orders'!$G83&gt;0,IF(ROUND('SC Change Orders'!$E83+'SC Change Orders'!$F83,2)&lt;&gt;ROUND('SC Change Orders'!$G83,2),  "Original + Added &lt;&gt; Total Line Cost Allotted; ",""),""),""),""),"")&amp;IF(AND(ISNUMBER('SC Change Orders'!$B83),COUNTIFS('SC Change Orders'!$B$2:$B$501,'SC Change Orders'!$B83,'SC Change Orders'!$C$2:$C$501,'SC Change Orders'!$C83,'SC Change Orders'!$D$2:$D$501,'SC Change Orders'!$D83,'SC Change Orders'!$F$2:$F$501,'SC Change Orders'!$F83,'SC Change Orders'!$E$2:$E$501,'SC Change Orders'!$E83)&gt;1),"Duplicate of another row — funds counted twice; ","")&amp;IF(ISNUMBER('SC Change Orders'!$F83),IF('SC Change Orders'!$F83&lt;&gt;0,IF(AND(ISNUMBER('SC Change Orders'!$B83),NOT(COUNTIFS('SC Change Orders'!$B$2:$B$501,'SC Change Orders'!$B83,'SC Change Orders'!$C$2:$C$501,'SC Change Orders'!$C83,'SC Change Orders'!$D$2:$D$501,'SC Change Orders'!$D83,'SC Change Orders'!$F$2:$F$501,'SC Change Orders'!$F83,'SC Change Orders'!$E$2:$E$501,'SC Change Orders'!$E83)&gt;1),COUNTIFS('SC Change Orders'!$B$2:$B$501,'SC Change Orders'!$B83,'SC Change Orders'!$F$2:$F$501,'SC Change Orders'!$F83)&gt;1),  "Same PO and Amount Added as another row — check for a restatement counted twice; ",""),""),""))</f>
        <v/>
      </c>
    </row>
    <row r="102" customFormat="false" ht="15" hidden="false" customHeight="false" outlineLevel="0" collapsed="false">
      <c r="A102" s="18" t="str">
        <f aca="false">IF(AND('SC Change Orders'!$A84="",'SC Change Orders'!$B84="",'SC Change Orders'!$C84=""),"",84)</f>
        <v/>
      </c>
      <c r="B102" s="31" t="str">
        <f aca="false">IF($A102="","",'SC Change Orders'!$A84)</f>
        <v/>
      </c>
      <c r="C102" s="18" t="str">
        <f aca="false">IF($A102="","",'SC Change Orders'!$B84)</f>
        <v/>
      </c>
      <c r="D102" s="32" t="str">
        <f aca="false">IF($A102="","",'SC Change Orders'!$C84)</f>
        <v/>
      </c>
      <c r="E102" s="31" t="str">
        <f aca="false">IF($A102="","",'SC Change Orders'!$D84)</f>
        <v/>
      </c>
      <c r="F102" s="33" t="str">
        <f aca="false">IF($A102="","",'SC Change Orders'!$E84)</f>
        <v/>
      </c>
      <c r="G102" s="33" t="str">
        <f aca="false">IF($A102="","",'SC Change Orders'!$F84)</f>
        <v/>
      </c>
      <c r="H102" s="33" t="str">
        <f aca="false">IF($A102="","",'SC Change Orders'!$G84)</f>
        <v/>
      </c>
      <c r="I102" s="34" t="str">
        <f aca="false">IF($A102="","",IF(AND(ISNUMBER('SC Change Orders'!$C84),'SC Change Orders'!$C84&gt;=Controls!$C$5,'SC Change Orders'!$C84&lt;=Controls!$C$6),"Yes","No"))</f>
        <v/>
      </c>
      <c r="J102" s="31" t="str">
        <f aca="false">IF($A102="","",IF($K102="","OK",$K102))</f>
        <v/>
      </c>
      <c r="K102" s="0" t="str">
        <f aca="false">IF($A102="","",IF(NOT(ISNUMBER('SC Change Orders'!$B84)),"PO not numeric — row is invisible to the tracker; ","")&amp;IF(NOT(ISNUMBER('SC Change Orders'!$C84)),"Date missing or text — row excluded; ",  IF(OR('SC Change Orders'!$C84&lt;Controls!$C$5,'SC Change Orders'!$C84&gt;Controls!$C$6),"Dated outside the FY window — excluded; ",""))&amp;IF(AND('SC Change Orders'!$E84&lt;&gt;"",NOT(ISNUMBER('SC Change Orders'!$E84))),"Original Amount held as text — ignored by MINIFS; ","")&amp;IF(AND('SC Change Orders'!$F84&lt;&gt;"",NOT(ISNUMBER('SC Change Orders'!$F84))),"Amount Added held as text — ignored by SUMIFS; ","")&amp;IF(ISNUMBER('SC Change Orders'!$E84),IF(ISNUMBER('SC Change Orders'!$F84),IF(ISNUMBER('SC Change Orders'!$G84),  IF('SC Change Orders'!$G84&gt;0,IF(ROUND('SC Change Orders'!$E84+'SC Change Orders'!$F84,2)&lt;&gt;ROUND('SC Change Orders'!$G84,2),  "Original + Added &lt;&gt; Total Line Cost Allotted; ",""),""),""),""),"")&amp;IF(AND(ISNUMBER('SC Change Orders'!$B84),COUNTIFS('SC Change Orders'!$B$2:$B$501,'SC Change Orders'!$B84,'SC Change Orders'!$C$2:$C$501,'SC Change Orders'!$C84,'SC Change Orders'!$D$2:$D$501,'SC Change Orders'!$D84,'SC Change Orders'!$F$2:$F$501,'SC Change Orders'!$F84,'SC Change Orders'!$E$2:$E$501,'SC Change Orders'!$E84)&gt;1),"Duplicate of another row — funds counted twice; ","")&amp;IF(ISNUMBER('SC Change Orders'!$F84),IF('SC Change Orders'!$F84&lt;&gt;0,IF(AND(ISNUMBER('SC Change Orders'!$B84),NOT(COUNTIFS('SC Change Orders'!$B$2:$B$501,'SC Change Orders'!$B84,'SC Change Orders'!$C$2:$C$501,'SC Change Orders'!$C84,'SC Change Orders'!$D$2:$D$501,'SC Change Orders'!$D84,'SC Change Orders'!$F$2:$F$501,'SC Change Orders'!$F84,'SC Change Orders'!$E$2:$E$501,'SC Change Orders'!$E84)&gt;1),COUNTIFS('SC Change Orders'!$B$2:$B$501,'SC Change Orders'!$B84,'SC Change Orders'!$F$2:$F$501,'SC Change Orders'!$F84)&gt;1),  "Same PO and Amount Added as another row — check for a restatement counted twice; ",""),""),""))</f>
        <v/>
      </c>
    </row>
    <row r="103" customFormat="false" ht="15" hidden="false" customHeight="false" outlineLevel="0" collapsed="false">
      <c r="A103" s="18" t="str">
        <f aca="false">IF(AND('SC Change Orders'!$A85="",'SC Change Orders'!$B85="",'SC Change Orders'!$C85=""),"",85)</f>
        <v/>
      </c>
      <c r="B103" s="31" t="str">
        <f aca="false">IF($A103="","",'SC Change Orders'!$A85)</f>
        <v/>
      </c>
      <c r="C103" s="18" t="str">
        <f aca="false">IF($A103="","",'SC Change Orders'!$B85)</f>
        <v/>
      </c>
      <c r="D103" s="32" t="str">
        <f aca="false">IF($A103="","",'SC Change Orders'!$C85)</f>
        <v/>
      </c>
      <c r="E103" s="31" t="str">
        <f aca="false">IF($A103="","",'SC Change Orders'!$D85)</f>
        <v/>
      </c>
      <c r="F103" s="33" t="str">
        <f aca="false">IF($A103="","",'SC Change Orders'!$E85)</f>
        <v/>
      </c>
      <c r="G103" s="33" t="str">
        <f aca="false">IF($A103="","",'SC Change Orders'!$F85)</f>
        <v/>
      </c>
      <c r="H103" s="33" t="str">
        <f aca="false">IF($A103="","",'SC Change Orders'!$G85)</f>
        <v/>
      </c>
      <c r="I103" s="34" t="str">
        <f aca="false">IF($A103="","",IF(AND(ISNUMBER('SC Change Orders'!$C85),'SC Change Orders'!$C85&gt;=Controls!$C$5,'SC Change Orders'!$C85&lt;=Controls!$C$6),"Yes","No"))</f>
        <v/>
      </c>
      <c r="J103" s="31" t="str">
        <f aca="false">IF($A103="","",IF($K103="","OK",$K103))</f>
        <v/>
      </c>
      <c r="K103" s="0" t="str">
        <f aca="false">IF($A103="","",IF(NOT(ISNUMBER('SC Change Orders'!$B85)),"PO not numeric — row is invisible to the tracker; ","")&amp;IF(NOT(ISNUMBER('SC Change Orders'!$C85)),"Date missing or text — row excluded; ",  IF(OR('SC Change Orders'!$C85&lt;Controls!$C$5,'SC Change Orders'!$C85&gt;Controls!$C$6),"Dated outside the FY window — excluded; ",""))&amp;IF(AND('SC Change Orders'!$E85&lt;&gt;"",NOT(ISNUMBER('SC Change Orders'!$E85))),"Original Amount held as text — ignored by MINIFS; ","")&amp;IF(AND('SC Change Orders'!$F85&lt;&gt;"",NOT(ISNUMBER('SC Change Orders'!$F85))),"Amount Added held as text — ignored by SUMIFS; ","")&amp;IF(ISNUMBER('SC Change Orders'!$E85),IF(ISNUMBER('SC Change Orders'!$F85),IF(ISNUMBER('SC Change Orders'!$G85),  IF('SC Change Orders'!$G85&gt;0,IF(ROUND('SC Change Orders'!$E85+'SC Change Orders'!$F85,2)&lt;&gt;ROUND('SC Change Orders'!$G85,2),  "Original + Added &lt;&gt; Total Line Cost Allotted; ",""),""),""),""),"")&amp;IF(AND(ISNUMBER('SC Change Orders'!$B85),COUNTIFS('SC Change Orders'!$B$2:$B$501,'SC Change Orders'!$B85,'SC Change Orders'!$C$2:$C$501,'SC Change Orders'!$C85,'SC Change Orders'!$D$2:$D$501,'SC Change Orders'!$D85,'SC Change Orders'!$F$2:$F$501,'SC Change Orders'!$F85,'SC Change Orders'!$E$2:$E$501,'SC Change Orders'!$E85)&gt;1),"Duplicate of another row — funds counted twice; ","")&amp;IF(ISNUMBER('SC Change Orders'!$F85),IF('SC Change Orders'!$F85&lt;&gt;0,IF(AND(ISNUMBER('SC Change Orders'!$B85),NOT(COUNTIFS('SC Change Orders'!$B$2:$B$501,'SC Change Orders'!$B85,'SC Change Orders'!$C$2:$C$501,'SC Change Orders'!$C85,'SC Change Orders'!$D$2:$D$501,'SC Change Orders'!$D85,'SC Change Orders'!$F$2:$F$501,'SC Change Orders'!$F85,'SC Change Orders'!$E$2:$E$501,'SC Change Orders'!$E85)&gt;1),COUNTIFS('SC Change Orders'!$B$2:$B$501,'SC Change Orders'!$B85,'SC Change Orders'!$F$2:$F$501,'SC Change Orders'!$F85)&gt;1),  "Same PO and Amount Added as another row — check for a restatement counted twice; ",""),""),""))</f>
        <v/>
      </c>
    </row>
    <row r="104" customFormat="false" ht="15" hidden="false" customHeight="false" outlineLevel="0" collapsed="false">
      <c r="A104" s="18" t="str">
        <f aca="false">IF(AND('SC Change Orders'!$A86="",'SC Change Orders'!$B86="",'SC Change Orders'!$C86=""),"",86)</f>
        <v/>
      </c>
      <c r="B104" s="31" t="str">
        <f aca="false">IF($A104="","",'SC Change Orders'!$A86)</f>
        <v/>
      </c>
      <c r="C104" s="18" t="str">
        <f aca="false">IF($A104="","",'SC Change Orders'!$B86)</f>
        <v/>
      </c>
      <c r="D104" s="32" t="str">
        <f aca="false">IF($A104="","",'SC Change Orders'!$C86)</f>
        <v/>
      </c>
      <c r="E104" s="31" t="str">
        <f aca="false">IF($A104="","",'SC Change Orders'!$D86)</f>
        <v/>
      </c>
      <c r="F104" s="33" t="str">
        <f aca="false">IF($A104="","",'SC Change Orders'!$E86)</f>
        <v/>
      </c>
      <c r="G104" s="33" t="str">
        <f aca="false">IF($A104="","",'SC Change Orders'!$F86)</f>
        <v/>
      </c>
      <c r="H104" s="33" t="str">
        <f aca="false">IF($A104="","",'SC Change Orders'!$G86)</f>
        <v/>
      </c>
      <c r="I104" s="34" t="str">
        <f aca="false">IF($A104="","",IF(AND(ISNUMBER('SC Change Orders'!$C86),'SC Change Orders'!$C86&gt;=Controls!$C$5,'SC Change Orders'!$C86&lt;=Controls!$C$6),"Yes","No"))</f>
        <v/>
      </c>
      <c r="J104" s="31" t="str">
        <f aca="false">IF($A104="","",IF($K104="","OK",$K104))</f>
        <v/>
      </c>
      <c r="K104" s="0" t="str">
        <f aca="false">IF($A104="","",IF(NOT(ISNUMBER('SC Change Orders'!$B86)),"PO not numeric — row is invisible to the tracker; ","")&amp;IF(NOT(ISNUMBER('SC Change Orders'!$C86)),"Date missing or text — row excluded; ",  IF(OR('SC Change Orders'!$C86&lt;Controls!$C$5,'SC Change Orders'!$C86&gt;Controls!$C$6),"Dated outside the FY window — excluded; ",""))&amp;IF(AND('SC Change Orders'!$E86&lt;&gt;"",NOT(ISNUMBER('SC Change Orders'!$E86))),"Original Amount held as text — ignored by MINIFS; ","")&amp;IF(AND('SC Change Orders'!$F86&lt;&gt;"",NOT(ISNUMBER('SC Change Orders'!$F86))),"Amount Added held as text — ignored by SUMIFS; ","")&amp;IF(ISNUMBER('SC Change Orders'!$E86),IF(ISNUMBER('SC Change Orders'!$F86),IF(ISNUMBER('SC Change Orders'!$G86),  IF('SC Change Orders'!$G86&gt;0,IF(ROUND('SC Change Orders'!$E86+'SC Change Orders'!$F86,2)&lt;&gt;ROUND('SC Change Orders'!$G86,2),  "Original + Added &lt;&gt; Total Line Cost Allotted; ",""),""),""),""),"")&amp;IF(AND(ISNUMBER('SC Change Orders'!$B86),COUNTIFS('SC Change Orders'!$B$2:$B$501,'SC Change Orders'!$B86,'SC Change Orders'!$C$2:$C$501,'SC Change Orders'!$C86,'SC Change Orders'!$D$2:$D$501,'SC Change Orders'!$D86,'SC Change Orders'!$F$2:$F$501,'SC Change Orders'!$F86,'SC Change Orders'!$E$2:$E$501,'SC Change Orders'!$E86)&gt;1),"Duplicate of another row — funds counted twice; ","")&amp;IF(ISNUMBER('SC Change Orders'!$F86),IF('SC Change Orders'!$F86&lt;&gt;0,IF(AND(ISNUMBER('SC Change Orders'!$B86),NOT(COUNTIFS('SC Change Orders'!$B$2:$B$501,'SC Change Orders'!$B86,'SC Change Orders'!$C$2:$C$501,'SC Change Orders'!$C86,'SC Change Orders'!$D$2:$D$501,'SC Change Orders'!$D86,'SC Change Orders'!$F$2:$F$501,'SC Change Orders'!$F86,'SC Change Orders'!$E$2:$E$501,'SC Change Orders'!$E86)&gt;1),COUNTIFS('SC Change Orders'!$B$2:$B$501,'SC Change Orders'!$B86,'SC Change Orders'!$F$2:$F$501,'SC Change Orders'!$F86)&gt;1),  "Same PO and Amount Added as another row — check for a restatement counted twice; ",""),""),""))</f>
        <v/>
      </c>
    </row>
    <row r="105" customFormat="false" ht="15" hidden="false" customHeight="false" outlineLevel="0" collapsed="false">
      <c r="A105" s="18" t="str">
        <f aca="false">IF(AND('SC Change Orders'!$A87="",'SC Change Orders'!$B87="",'SC Change Orders'!$C87=""),"",87)</f>
        <v/>
      </c>
      <c r="B105" s="31" t="str">
        <f aca="false">IF($A105="","",'SC Change Orders'!$A87)</f>
        <v/>
      </c>
      <c r="C105" s="18" t="str">
        <f aca="false">IF($A105="","",'SC Change Orders'!$B87)</f>
        <v/>
      </c>
      <c r="D105" s="32" t="str">
        <f aca="false">IF($A105="","",'SC Change Orders'!$C87)</f>
        <v/>
      </c>
      <c r="E105" s="31" t="str">
        <f aca="false">IF($A105="","",'SC Change Orders'!$D87)</f>
        <v/>
      </c>
      <c r="F105" s="33" t="str">
        <f aca="false">IF($A105="","",'SC Change Orders'!$E87)</f>
        <v/>
      </c>
      <c r="G105" s="33" t="str">
        <f aca="false">IF($A105="","",'SC Change Orders'!$F87)</f>
        <v/>
      </c>
      <c r="H105" s="33" t="str">
        <f aca="false">IF($A105="","",'SC Change Orders'!$G87)</f>
        <v/>
      </c>
      <c r="I105" s="34" t="str">
        <f aca="false">IF($A105="","",IF(AND(ISNUMBER('SC Change Orders'!$C87),'SC Change Orders'!$C87&gt;=Controls!$C$5,'SC Change Orders'!$C87&lt;=Controls!$C$6),"Yes","No"))</f>
        <v/>
      </c>
      <c r="J105" s="31" t="str">
        <f aca="false">IF($A105="","",IF($K105="","OK",$K105))</f>
        <v/>
      </c>
      <c r="K105" s="0" t="str">
        <f aca="false">IF($A105="","",IF(NOT(ISNUMBER('SC Change Orders'!$B87)),"PO not numeric — row is invisible to the tracker; ","")&amp;IF(NOT(ISNUMBER('SC Change Orders'!$C87)),"Date missing or text — row excluded; ",  IF(OR('SC Change Orders'!$C87&lt;Controls!$C$5,'SC Change Orders'!$C87&gt;Controls!$C$6),"Dated outside the FY window — excluded; ",""))&amp;IF(AND('SC Change Orders'!$E87&lt;&gt;"",NOT(ISNUMBER('SC Change Orders'!$E87))),"Original Amount held as text — ignored by MINIFS; ","")&amp;IF(AND('SC Change Orders'!$F87&lt;&gt;"",NOT(ISNUMBER('SC Change Orders'!$F87))),"Amount Added held as text — ignored by SUMIFS; ","")&amp;IF(ISNUMBER('SC Change Orders'!$E87),IF(ISNUMBER('SC Change Orders'!$F87),IF(ISNUMBER('SC Change Orders'!$G87),  IF('SC Change Orders'!$G87&gt;0,IF(ROUND('SC Change Orders'!$E87+'SC Change Orders'!$F87,2)&lt;&gt;ROUND('SC Change Orders'!$G87,2),  "Original + Added &lt;&gt; Total Line Cost Allotted; ",""),""),""),""),"")&amp;IF(AND(ISNUMBER('SC Change Orders'!$B87),COUNTIFS('SC Change Orders'!$B$2:$B$501,'SC Change Orders'!$B87,'SC Change Orders'!$C$2:$C$501,'SC Change Orders'!$C87,'SC Change Orders'!$D$2:$D$501,'SC Change Orders'!$D87,'SC Change Orders'!$F$2:$F$501,'SC Change Orders'!$F87,'SC Change Orders'!$E$2:$E$501,'SC Change Orders'!$E87)&gt;1),"Duplicate of another row — funds counted twice; ","")&amp;IF(ISNUMBER('SC Change Orders'!$F87),IF('SC Change Orders'!$F87&lt;&gt;0,IF(AND(ISNUMBER('SC Change Orders'!$B87),NOT(COUNTIFS('SC Change Orders'!$B$2:$B$501,'SC Change Orders'!$B87,'SC Change Orders'!$C$2:$C$501,'SC Change Orders'!$C87,'SC Change Orders'!$D$2:$D$501,'SC Change Orders'!$D87,'SC Change Orders'!$F$2:$F$501,'SC Change Orders'!$F87,'SC Change Orders'!$E$2:$E$501,'SC Change Orders'!$E87)&gt;1),COUNTIFS('SC Change Orders'!$B$2:$B$501,'SC Change Orders'!$B87,'SC Change Orders'!$F$2:$F$501,'SC Change Orders'!$F87)&gt;1),  "Same PO and Amount Added as another row — check for a restatement counted twice; ",""),""),""))</f>
        <v/>
      </c>
    </row>
    <row r="106" customFormat="false" ht="15" hidden="false" customHeight="false" outlineLevel="0" collapsed="false">
      <c r="A106" s="18" t="str">
        <f aca="false">IF(AND('SC Change Orders'!$A88="",'SC Change Orders'!$B88="",'SC Change Orders'!$C88=""),"",88)</f>
        <v/>
      </c>
      <c r="B106" s="31" t="str">
        <f aca="false">IF($A106="","",'SC Change Orders'!$A88)</f>
        <v/>
      </c>
      <c r="C106" s="18" t="str">
        <f aca="false">IF($A106="","",'SC Change Orders'!$B88)</f>
        <v/>
      </c>
      <c r="D106" s="32" t="str">
        <f aca="false">IF($A106="","",'SC Change Orders'!$C88)</f>
        <v/>
      </c>
      <c r="E106" s="31" t="str">
        <f aca="false">IF($A106="","",'SC Change Orders'!$D88)</f>
        <v/>
      </c>
      <c r="F106" s="33" t="str">
        <f aca="false">IF($A106="","",'SC Change Orders'!$E88)</f>
        <v/>
      </c>
      <c r="G106" s="33" t="str">
        <f aca="false">IF($A106="","",'SC Change Orders'!$F88)</f>
        <v/>
      </c>
      <c r="H106" s="33" t="str">
        <f aca="false">IF($A106="","",'SC Change Orders'!$G88)</f>
        <v/>
      </c>
      <c r="I106" s="34" t="str">
        <f aca="false">IF($A106="","",IF(AND(ISNUMBER('SC Change Orders'!$C88),'SC Change Orders'!$C88&gt;=Controls!$C$5,'SC Change Orders'!$C88&lt;=Controls!$C$6),"Yes","No"))</f>
        <v/>
      </c>
      <c r="J106" s="31" t="str">
        <f aca="false">IF($A106="","",IF($K106="","OK",$K106))</f>
        <v/>
      </c>
      <c r="K106" s="0" t="str">
        <f aca="false">IF($A106="","",IF(NOT(ISNUMBER('SC Change Orders'!$B88)),"PO not numeric — row is invisible to the tracker; ","")&amp;IF(NOT(ISNUMBER('SC Change Orders'!$C88)),"Date missing or text — row excluded; ",  IF(OR('SC Change Orders'!$C88&lt;Controls!$C$5,'SC Change Orders'!$C88&gt;Controls!$C$6),"Dated outside the FY window — excluded; ",""))&amp;IF(AND('SC Change Orders'!$E88&lt;&gt;"",NOT(ISNUMBER('SC Change Orders'!$E88))),"Original Amount held as text — ignored by MINIFS; ","")&amp;IF(AND('SC Change Orders'!$F88&lt;&gt;"",NOT(ISNUMBER('SC Change Orders'!$F88))),"Amount Added held as text — ignored by SUMIFS; ","")&amp;IF(ISNUMBER('SC Change Orders'!$E88),IF(ISNUMBER('SC Change Orders'!$F88),IF(ISNUMBER('SC Change Orders'!$G88),  IF('SC Change Orders'!$G88&gt;0,IF(ROUND('SC Change Orders'!$E88+'SC Change Orders'!$F88,2)&lt;&gt;ROUND('SC Change Orders'!$G88,2),  "Original + Added &lt;&gt; Total Line Cost Allotted; ",""),""),""),""),"")&amp;IF(AND(ISNUMBER('SC Change Orders'!$B88),COUNTIFS('SC Change Orders'!$B$2:$B$501,'SC Change Orders'!$B88,'SC Change Orders'!$C$2:$C$501,'SC Change Orders'!$C88,'SC Change Orders'!$D$2:$D$501,'SC Change Orders'!$D88,'SC Change Orders'!$F$2:$F$501,'SC Change Orders'!$F88,'SC Change Orders'!$E$2:$E$501,'SC Change Orders'!$E88)&gt;1),"Duplicate of another row — funds counted twice; ","")&amp;IF(ISNUMBER('SC Change Orders'!$F88),IF('SC Change Orders'!$F88&lt;&gt;0,IF(AND(ISNUMBER('SC Change Orders'!$B88),NOT(COUNTIFS('SC Change Orders'!$B$2:$B$501,'SC Change Orders'!$B88,'SC Change Orders'!$C$2:$C$501,'SC Change Orders'!$C88,'SC Change Orders'!$D$2:$D$501,'SC Change Orders'!$D88,'SC Change Orders'!$F$2:$F$501,'SC Change Orders'!$F88,'SC Change Orders'!$E$2:$E$501,'SC Change Orders'!$E88)&gt;1),COUNTIFS('SC Change Orders'!$B$2:$B$501,'SC Change Orders'!$B88,'SC Change Orders'!$F$2:$F$501,'SC Change Orders'!$F88)&gt;1),  "Same PO and Amount Added as another row — check for a restatement counted twice; ",""),""),""))</f>
        <v/>
      </c>
    </row>
    <row r="107" customFormat="false" ht="15" hidden="false" customHeight="false" outlineLevel="0" collapsed="false">
      <c r="A107" s="18" t="str">
        <f aca="false">IF(AND('SC Change Orders'!$A89="",'SC Change Orders'!$B89="",'SC Change Orders'!$C89=""),"",89)</f>
        <v/>
      </c>
      <c r="B107" s="31" t="str">
        <f aca="false">IF($A107="","",'SC Change Orders'!$A89)</f>
        <v/>
      </c>
      <c r="C107" s="18" t="str">
        <f aca="false">IF($A107="","",'SC Change Orders'!$B89)</f>
        <v/>
      </c>
      <c r="D107" s="32" t="str">
        <f aca="false">IF($A107="","",'SC Change Orders'!$C89)</f>
        <v/>
      </c>
      <c r="E107" s="31" t="str">
        <f aca="false">IF($A107="","",'SC Change Orders'!$D89)</f>
        <v/>
      </c>
      <c r="F107" s="33" t="str">
        <f aca="false">IF($A107="","",'SC Change Orders'!$E89)</f>
        <v/>
      </c>
      <c r="G107" s="33" t="str">
        <f aca="false">IF($A107="","",'SC Change Orders'!$F89)</f>
        <v/>
      </c>
      <c r="H107" s="33" t="str">
        <f aca="false">IF($A107="","",'SC Change Orders'!$G89)</f>
        <v/>
      </c>
      <c r="I107" s="34" t="str">
        <f aca="false">IF($A107="","",IF(AND(ISNUMBER('SC Change Orders'!$C89),'SC Change Orders'!$C89&gt;=Controls!$C$5,'SC Change Orders'!$C89&lt;=Controls!$C$6),"Yes","No"))</f>
        <v/>
      </c>
      <c r="J107" s="31" t="str">
        <f aca="false">IF($A107="","",IF($K107="","OK",$K107))</f>
        <v/>
      </c>
      <c r="K107" s="0" t="str">
        <f aca="false">IF($A107="","",IF(NOT(ISNUMBER('SC Change Orders'!$B89)),"PO not numeric — row is invisible to the tracker; ","")&amp;IF(NOT(ISNUMBER('SC Change Orders'!$C89)),"Date missing or text — row excluded; ",  IF(OR('SC Change Orders'!$C89&lt;Controls!$C$5,'SC Change Orders'!$C89&gt;Controls!$C$6),"Dated outside the FY window — excluded; ",""))&amp;IF(AND('SC Change Orders'!$E89&lt;&gt;"",NOT(ISNUMBER('SC Change Orders'!$E89))),"Original Amount held as text — ignored by MINIFS; ","")&amp;IF(AND('SC Change Orders'!$F89&lt;&gt;"",NOT(ISNUMBER('SC Change Orders'!$F89))),"Amount Added held as text — ignored by SUMIFS; ","")&amp;IF(ISNUMBER('SC Change Orders'!$E89),IF(ISNUMBER('SC Change Orders'!$F89),IF(ISNUMBER('SC Change Orders'!$G89),  IF('SC Change Orders'!$G89&gt;0,IF(ROUND('SC Change Orders'!$E89+'SC Change Orders'!$F89,2)&lt;&gt;ROUND('SC Change Orders'!$G89,2),  "Original + Added &lt;&gt; Total Line Cost Allotted; ",""),""),""),""),"")&amp;IF(AND(ISNUMBER('SC Change Orders'!$B89),COUNTIFS('SC Change Orders'!$B$2:$B$501,'SC Change Orders'!$B89,'SC Change Orders'!$C$2:$C$501,'SC Change Orders'!$C89,'SC Change Orders'!$D$2:$D$501,'SC Change Orders'!$D89,'SC Change Orders'!$F$2:$F$501,'SC Change Orders'!$F89,'SC Change Orders'!$E$2:$E$501,'SC Change Orders'!$E89)&gt;1),"Duplicate of another row — funds counted twice; ","")&amp;IF(ISNUMBER('SC Change Orders'!$F89),IF('SC Change Orders'!$F89&lt;&gt;0,IF(AND(ISNUMBER('SC Change Orders'!$B89),NOT(COUNTIFS('SC Change Orders'!$B$2:$B$501,'SC Change Orders'!$B89,'SC Change Orders'!$C$2:$C$501,'SC Change Orders'!$C89,'SC Change Orders'!$D$2:$D$501,'SC Change Orders'!$D89,'SC Change Orders'!$F$2:$F$501,'SC Change Orders'!$F89,'SC Change Orders'!$E$2:$E$501,'SC Change Orders'!$E89)&gt;1),COUNTIFS('SC Change Orders'!$B$2:$B$501,'SC Change Orders'!$B89,'SC Change Orders'!$F$2:$F$501,'SC Change Orders'!$F89)&gt;1),  "Same PO and Amount Added as another row — check for a restatement counted twice; ",""),""),""))</f>
        <v/>
      </c>
    </row>
    <row r="108" customFormat="false" ht="15" hidden="false" customHeight="false" outlineLevel="0" collapsed="false">
      <c r="A108" s="18" t="str">
        <f aca="false">IF(AND('SC Change Orders'!$A90="",'SC Change Orders'!$B90="",'SC Change Orders'!$C90=""),"",90)</f>
        <v/>
      </c>
      <c r="B108" s="31" t="str">
        <f aca="false">IF($A108="","",'SC Change Orders'!$A90)</f>
        <v/>
      </c>
      <c r="C108" s="18" t="str">
        <f aca="false">IF($A108="","",'SC Change Orders'!$B90)</f>
        <v/>
      </c>
      <c r="D108" s="32" t="str">
        <f aca="false">IF($A108="","",'SC Change Orders'!$C90)</f>
        <v/>
      </c>
      <c r="E108" s="31" t="str">
        <f aca="false">IF($A108="","",'SC Change Orders'!$D90)</f>
        <v/>
      </c>
      <c r="F108" s="33" t="str">
        <f aca="false">IF($A108="","",'SC Change Orders'!$E90)</f>
        <v/>
      </c>
      <c r="G108" s="33" t="str">
        <f aca="false">IF($A108="","",'SC Change Orders'!$F90)</f>
        <v/>
      </c>
      <c r="H108" s="33" t="str">
        <f aca="false">IF($A108="","",'SC Change Orders'!$G90)</f>
        <v/>
      </c>
      <c r="I108" s="34" t="str">
        <f aca="false">IF($A108="","",IF(AND(ISNUMBER('SC Change Orders'!$C90),'SC Change Orders'!$C90&gt;=Controls!$C$5,'SC Change Orders'!$C90&lt;=Controls!$C$6),"Yes","No"))</f>
        <v/>
      </c>
      <c r="J108" s="31" t="str">
        <f aca="false">IF($A108="","",IF($K108="","OK",$K108))</f>
        <v/>
      </c>
      <c r="K108" s="0" t="str">
        <f aca="false">IF($A108="","",IF(NOT(ISNUMBER('SC Change Orders'!$B90)),"PO not numeric — row is invisible to the tracker; ","")&amp;IF(NOT(ISNUMBER('SC Change Orders'!$C90)),"Date missing or text — row excluded; ",  IF(OR('SC Change Orders'!$C90&lt;Controls!$C$5,'SC Change Orders'!$C90&gt;Controls!$C$6),"Dated outside the FY window — excluded; ",""))&amp;IF(AND('SC Change Orders'!$E90&lt;&gt;"",NOT(ISNUMBER('SC Change Orders'!$E90))),"Original Amount held as text — ignored by MINIFS; ","")&amp;IF(AND('SC Change Orders'!$F90&lt;&gt;"",NOT(ISNUMBER('SC Change Orders'!$F90))),"Amount Added held as text — ignored by SUMIFS; ","")&amp;IF(ISNUMBER('SC Change Orders'!$E90),IF(ISNUMBER('SC Change Orders'!$F90),IF(ISNUMBER('SC Change Orders'!$G90),  IF('SC Change Orders'!$G90&gt;0,IF(ROUND('SC Change Orders'!$E90+'SC Change Orders'!$F90,2)&lt;&gt;ROUND('SC Change Orders'!$G90,2),  "Original + Added &lt;&gt; Total Line Cost Allotted; ",""),""),""),""),"")&amp;IF(AND(ISNUMBER('SC Change Orders'!$B90),COUNTIFS('SC Change Orders'!$B$2:$B$501,'SC Change Orders'!$B90,'SC Change Orders'!$C$2:$C$501,'SC Change Orders'!$C90,'SC Change Orders'!$D$2:$D$501,'SC Change Orders'!$D90,'SC Change Orders'!$F$2:$F$501,'SC Change Orders'!$F90,'SC Change Orders'!$E$2:$E$501,'SC Change Orders'!$E90)&gt;1),"Duplicate of another row — funds counted twice; ","")&amp;IF(ISNUMBER('SC Change Orders'!$F90),IF('SC Change Orders'!$F90&lt;&gt;0,IF(AND(ISNUMBER('SC Change Orders'!$B90),NOT(COUNTIFS('SC Change Orders'!$B$2:$B$501,'SC Change Orders'!$B90,'SC Change Orders'!$C$2:$C$501,'SC Change Orders'!$C90,'SC Change Orders'!$D$2:$D$501,'SC Change Orders'!$D90,'SC Change Orders'!$F$2:$F$501,'SC Change Orders'!$F90,'SC Change Orders'!$E$2:$E$501,'SC Change Orders'!$E90)&gt;1),COUNTIFS('SC Change Orders'!$B$2:$B$501,'SC Change Orders'!$B90,'SC Change Orders'!$F$2:$F$501,'SC Change Orders'!$F90)&gt;1),  "Same PO and Amount Added as another row — check for a restatement counted twice; ",""),""),""))</f>
        <v/>
      </c>
    </row>
    <row r="109" customFormat="false" ht="15" hidden="false" customHeight="false" outlineLevel="0" collapsed="false">
      <c r="A109" s="18" t="str">
        <f aca="false">IF(AND('SC Change Orders'!$A91="",'SC Change Orders'!$B91="",'SC Change Orders'!$C91=""),"",91)</f>
        <v/>
      </c>
      <c r="B109" s="31" t="str">
        <f aca="false">IF($A109="","",'SC Change Orders'!$A91)</f>
        <v/>
      </c>
      <c r="C109" s="18" t="str">
        <f aca="false">IF($A109="","",'SC Change Orders'!$B91)</f>
        <v/>
      </c>
      <c r="D109" s="32" t="str">
        <f aca="false">IF($A109="","",'SC Change Orders'!$C91)</f>
        <v/>
      </c>
      <c r="E109" s="31" t="str">
        <f aca="false">IF($A109="","",'SC Change Orders'!$D91)</f>
        <v/>
      </c>
      <c r="F109" s="33" t="str">
        <f aca="false">IF($A109="","",'SC Change Orders'!$E91)</f>
        <v/>
      </c>
      <c r="G109" s="33" t="str">
        <f aca="false">IF($A109="","",'SC Change Orders'!$F91)</f>
        <v/>
      </c>
      <c r="H109" s="33" t="str">
        <f aca="false">IF($A109="","",'SC Change Orders'!$G91)</f>
        <v/>
      </c>
      <c r="I109" s="34" t="str">
        <f aca="false">IF($A109="","",IF(AND(ISNUMBER('SC Change Orders'!$C91),'SC Change Orders'!$C91&gt;=Controls!$C$5,'SC Change Orders'!$C91&lt;=Controls!$C$6),"Yes","No"))</f>
        <v/>
      </c>
      <c r="J109" s="31" t="str">
        <f aca="false">IF($A109="","",IF($K109="","OK",$K109))</f>
        <v/>
      </c>
      <c r="K109" s="0" t="str">
        <f aca="false">IF($A109="","",IF(NOT(ISNUMBER('SC Change Orders'!$B91)),"PO not numeric — row is invisible to the tracker; ","")&amp;IF(NOT(ISNUMBER('SC Change Orders'!$C91)),"Date missing or text — row excluded; ",  IF(OR('SC Change Orders'!$C91&lt;Controls!$C$5,'SC Change Orders'!$C91&gt;Controls!$C$6),"Dated outside the FY window — excluded; ",""))&amp;IF(AND('SC Change Orders'!$E91&lt;&gt;"",NOT(ISNUMBER('SC Change Orders'!$E91))),"Original Amount held as text — ignored by MINIFS; ","")&amp;IF(AND('SC Change Orders'!$F91&lt;&gt;"",NOT(ISNUMBER('SC Change Orders'!$F91))),"Amount Added held as text — ignored by SUMIFS; ","")&amp;IF(ISNUMBER('SC Change Orders'!$E91),IF(ISNUMBER('SC Change Orders'!$F91),IF(ISNUMBER('SC Change Orders'!$G91),  IF('SC Change Orders'!$G91&gt;0,IF(ROUND('SC Change Orders'!$E91+'SC Change Orders'!$F91,2)&lt;&gt;ROUND('SC Change Orders'!$G91,2),  "Original + Added &lt;&gt; Total Line Cost Allotted; ",""),""),""),""),"")&amp;IF(AND(ISNUMBER('SC Change Orders'!$B91),COUNTIFS('SC Change Orders'!$B$2:$B$501,'SC Change Orders'!$B91,'SC Change Orders'!$C$2:$C$501,'SC Change Orders'!$C91,'SC Change Orders'!$D$2:$D$501,'SC Change Orders'!$D91,'SC Change Orders'!$F$2:$F$501,'SC Change Orders'!$F91,'SC Change Orders'!$E$2:$E$501,'SC Change Orders'!$E91)&gt;1),"Duplicate of another row — funds counted twice; ","")&amp;IF(ISNUMBER('SC Change Orders'!$F91),IF('SC Change Orders'!$F91&lt;&gt;0,IF(AND(ISNUMBER('SC Change Orders'!$B91),NOT(COUNTIFS('SC Change Orders'!$B$2:$B$501,'SC Change Orders'!$B91,'SC Change Orders'!$C$2:$C$501,'SC Change Orders'!$C91,'SC Change Orders'!$D$2:$D$501,'SC Change Orders'!$D91,'SC Change Orders'!$F$2:$F$501,'SC Change Orders'!$F91,'SC Change Orders'!$E$2:$E$501,'SC Change Orders'!$E91)&gt;1),COUNTIFS('SC Change Orders'!$B$2:$B$501,'SC Change Orders'!$B91,'SC Change Orders'!$F$2:$F$501,'SC Change Orders'!$F91)&gt;1),  "Same PO and Amount Added as another row — check for a restatement counted twice; ",""),""),""))</f>
        <v/>
      </c>
    </row>
    <row r="110" customFormat="false" ht="15" hidden="false" customHeight="false" outlineLevel="0" collapsed="false">
      <c r="A110" s="18" t="str">
        <f aca="false">IF(AND('SC Change Orders'!$A92="",'SC Change Orders'!$B92="",'SC Change Orders'!$C92=""),"",92)</f>
        <v/>
      </c>
      <c r="B110" s="31" t="str">
        <f aca="false">IF($A110="","",'SC Change Orders'!$A92)</f>
        <v/>
      </c>
      <c r="C110" s="18" t="str">
        <f aca="false">IF($A110="","",'SC Change Orders'!$B92)</f>
        <v/>
      </c>
      <c r="D110" s="32" t="str">
        <f aca="false">IF($A110="","",'SC Change Orders'!$C92)</f>
        <v/>
      </c>
      <c r="E110" s="31" t="str">
        <f aca="false">IF($A110="","",'SC Change Orders'!$D92)</f>
        <v/>
      </c>
      <c r="F110" s="33" t="str">
        <f aca="false">IF($A110="","",'SC Change Orders'!$E92)</f>
        <v/>
      </c>
      <c r="G110" s="33" t="str">
        <f aca="false">IF($A110="","",'SC Change Orders'!$F92)</f>
        <v/>
      </c>
      <c r="H110" s="33" t="str">
        <f aca="false">IF($A110="","",'SC Change Orders'!$G92)</f>
        <v/>
      </c>
      <c r="I110" s="34" t="str">
        <f aca="false">IF($A110="","",IF(AND(ISNUMBER('SC Change Orders'!$C92),'SC Change Orders'!$C92&gt;=Controls!$C$5,'SC Change Orders'!$C92&lt;=Controls!$C$6),"Yes","No"))</f>
        <v/>
      </c>
      <c r="J110" s="31" t="str">
        <f aca="false">IF($A110="","",IF($K110="","OK",$K110))</f>
        <v/>
      </c>
      <c r="K110" s="0" t="str">
        <f aca="false">IF($A110="","",IF(NOT(ISNUMBER('SC Change Orders'!$B92)),"PO not numeric — row is invisible to the tracker; ","")&amp;IF(NOT(ISNUMBER('SC Change Orders'!$C92)),"Date missing or text — row excluded; ",  IF(OR('SC Change Orders'!$C92&lt;Controls!$C$5,'SC Change Orders'!$C92&gt;Controls!$C$6),"Dated outside the FY window — excluded; ",""))&amp;IF(AND('SC Change Orders'!$E92&lt;&gt;"",NOT(ISNUMBER('SC Change Orders'!$E92))),"Original Amount held as text — ignored by MINIFS; ","")&amp;IF(AND('SC Change Orders'!$F92&lt;&gt;"",NOT(ISNUMBER('SC Change Orders'!$F92))),"Amount Added held as text — ignored by SUMIFS; ","")&amp;IF(ISNUMBER('SC Change Orders'!$E92),IF(ISNUMBER('SC Change Orders'!$F92),IF(ISNUMBER('SC Change Orders'!$G92),  IF('SC Change Orders'!$G92&gt;0,IF(ROUND('SC Change Orders'!$E92+'SC Change Orders'!$F92,2)&lt;&gt;ROUND('SC Change Orders'!$G92,2),  "Original + Added &lt;&gt; Total Line Cost Allotted; ",""),""),""),""),"")&amp;IF(AND(ISNUMBER('SC Change Orders'!$B92),COUNTIFS('SC Change Orders'!$B$2:$B$501,'SC Change Orders'!$B92,'SC Change Orders'!$C$2:$C$501,'SC Change Orders'!$C92,'SC Change Orders'!$D$2:$D$501,'SC Change Orders'!$D92,'SC Change Orders'!$F$2:$F$501,'SC Change Orders'!$F92,'SC Change Orders'!$E$2:$E$501,'SC Change Orders'!$E92)&gt;1),"Duplicate of another row — funds counted twice; ","")&amp;IF(ISNUMBER('SC Change Orders'!$F92),IF('SC Change Orders'!$F92&lt;&gt;0,IF(AND(ISNUMBER('SC Change Orders'!$B92),NOT(COUNTIFS('SC Change Orders'!$B$2:$B$501,'SC Change Orders'!$B92,'SC Change Orders'!$C$2:$C$501,'SC Change Orders'!$C92,'SC Change Orders'!$D$2:$D$501,'SC Change Orders'!$D92,'SC Change Orders'!$F$2:$F$501,'SC Change Orders'!$F92,'SC Change Orders'!$E$2:$E$501,'SC Change Orders'!$E92)&gt;1),COUNTIFS('SC Change Orders'!$B$2:$B$501,'SC Change Orders'!$B92,'SC Change Orders'!$F$2:$F$501,'SC Change Orders'!$F92)&gt;1),  "Same PO and Amount Added as another row — check for a restatement counted twice; ",""),""),""))</f>
        <v/>
      </c>
    </row>
    <row r="111" customFormat="false" ht="15" hidden="false" customHeight="false" outlineLevel="0" collapsed="false">
      <c r="A111" s="18" t="str">
        <f aca="false">IF(AND('SC Change Orders'!$A93="",'SC Change Orders'!$B93="",'SC Change Orders'!$C93=""),"",93)</f>
        <v/>
      </c>
      <c r="B111" s="31" t="str">
        <f aca="false">IF($A111="","",'SC Change Orders'!$A93)</f>
        <v/>
      </c>
      <c r="C111" s="18" t="str">
        <f aca="false">IF($A111="","",'SC Change Orders'!$B93)</f>
        <v/>
      </c>
      <c r="D111" s="32" t="str">
        <f aca="false">IF($A111="","",'SC Change Orders'!$C93)</f>
        <v/>
      </c>
      <c r="E111" s="31" t="str">
        <f aca="false">IF($A111="","",'SC Change Orders'!$D93)</f>
        <v/>
      </c>
      <c r="F111" s="33" t="str">
        <f aca="false">IF($A111="","",'SC Change Orders'!$E93)</f>
        <v/>
      </c>
      <c r="G111" s="33" t="str">
        <f aca="false">IF($A111="","",'SC Change Orders'!$F93)</f>
        <v/>
      </c>
      <c r="H111" s="33" t="str">
        <f aca="false">IF($A111="","",'SC Change Orders'!$G93)</f>
        <v/>
      </c>
      <c r="I111" s="34" t="str">
        <f aca="false">IF($A111="","",IF(AND(ISNUMBER('SC Change Orders'!$C93),'SC Change Orders'!$C93&gt;=Controls!$C$5,'SC Change Orders'!$C93&lt;=Controls!$C$6),"Yes","No"))</f>
        <v/>
      </c>
      <c r="J111" s="31" t="str">
        <f aca="false">IF($A111="","",IF($K111="","OK",$K111))</f>
        <v/>
      </c>
      <c r="K111" s="0" t="str">
        <f aca="false">IF($A111="","",IF(NOT(ISNUMBER('SC Change Orders'!$B93)),"PO not numeric — row is invisible to the tracker; ","")&amp;IF(NOT(ISNUMBER('SC Change Orders'!$C93)),"Date missing or text — row excluded; ",  IF(OR('SC Change Orders'!$C93&lt;Controls!$C$5,'SC Change Orders'!$C93&gt;Controls!$C$6),"Dated outside the FY window — excluded; ",""))&amp;IF(AND('SC Change Orders'!$E93&lt;&gt;"",NOT(ISNUMBER('SC Change Orders'!$E93))),"Original Amount held as text — ignored by MINIFS; ","")&amp;IF(AND('SC Change Orders'!$F93&lt;&gt;"",NOT(ISNUMBER('SC Change Orders'!$F93))),"Amount Added held as text — ignored by SUMIFS; ","")&amp;IF(ISNUMBER('SC Change Orders'!$E93),IF(ISNUMBER('SC Change Orders'!$F93),IF(ISNUMBER('SC Change Orders'!$G93),  IF('SC Change Orders'!$G93&gt;0,IF(ROUND('SC Change Orders'!$E93+'SC Change Orders'!$F93,2)&lt;&gt;ROUND('SC Change Orders'!$G93,2),  "Original + Added &lt;&gt; Total Line Cost Allotted; ",""),""),""),""),"")&amp;IF(AND(ISNUMBER('SC Change Orders'!$B93),COUNTIFS('SC Change Orders'!$B$2:$B$501,'SC Change Orders'!$B93,'SC Change Orders'!$C$2:$C$501,'SC Change Orders'!$C93,'SC Change Orders'!$D$2:$D$501,'SC Change Orders'!$D93,'SC Change Orders'!$F$2:$F$501,'SC Change Orders'!$F93,'SC Change Orders'!$E$2:$E$501,'SC Change Orders'!$E93)&gt;1),"Duplicate of another row — funds counted twice; ","")&amp;IF(ISNUMBER('SC Change Orders'!$F93),IF('SC Change Orders'!$F93&lt;&gt;0,IF(AND(ISNUMBER('SC Change Orders'!$B93),NOT(COUNTIFS('SC Change Orders'!$B$2:$B$501,'SC Change Orders'!$B93,'SC Change Orders'!$C$2:$C$501,'SC Change Orders'!$C93,'SC Change Orders'!$D$2:$D$501,'SC Change Orders'!$D93,'SC Change Orders'!$F$2:$F$501,'SC Change Orders'!$F93,'SC Change Orders'!$E$2:$E$501,'SC Change Orders'!$E93)&gt;1),COUNTIFS('SC Change Orders'!$B$2:$B$501,'SC Change Orders'!$B93,'SC Change Orders'!$F$2:$F$501,'SC Change Orders'!$F93)&gt;1),  "Same PO and Amount Added as another row — check for a restatement counted twice; ",""),""),""))</f>
        <v/>
      </c>
    </row>
    <row r="112" customFormat="false" ht="15" hidden="false" customHeight="false" outlineLevel="0" collapsed="false">
      <c r="A112" s="18" t="str">
        <f aca="false">IF(AND('SC Change Orders'!$A94="",'SC Change Orders'!$B94="",'SC Change Orders'!$C94=""),"",94)</f>
        <v/>
      </c>
      <c r="B112" s="31" t="str">
        <f aca="false">IF($A112="","",'SC Change Orders'!$A94)</f>
        <v/>
      </c>
      <c r="C112" s="18" t="str">
        <f aca="false">IF($A112="","",'SC Change Orders'!$B94)</f>
        <v/>
      </c>
      <c r="D112" s="32" t="str">
        <f aca="false">IF($A112="","",'SC Change Orders'!$C94)</f>
        <v/>
      </c>
      <c r="E112" s="31" t="str">
        <f aca="false">IF($A112="","",'SC Change Orders'!$D94)</f>
        <v/>
      </c>
      <c r="F112" s="33" t="str">
        <f aca="false">IF($A112="","",'SC Change Orders'!$E94)</f>
        <v/>
      </c>
      <c r="G112" s="33" t="str">
        <f aca="false">IF($A112="","",'SC Change Orders'!$F94)</f>
        <v/>
      </c>
      <c r="H112" s="33" t="str">
        <f aca="false">IF($A112="","",'SC Change Orders'!$G94)</f>
        <v/>
      </c>
      <c r="I112" s="34" t="str">
        <f aca="false">IF($A112="","",IF(AND(ISNUMBER('SC Change Orders'!$C94),'SC Change Orders'!$C94&gt;=Controls!$C$5,'SC Change Orders'!$C94&lt;=Controls!$C$6),"Yes","No"))</f>
        <v/>
      </c>
      <c r="J112" s="31" t="str">
        <f aca="false">IF($A112="","",IF($K112="","OK",$K112))</f>
        <v/>
      </c>
      <c r="K112" s="0" t="str">
        <f aca="false">IF($A112="","",IF(NOT(ISNUMBER('SC Change Orders'!$B94)),"PO not numeric — row is invisible to the tracker; ","")&amp;IF(NOT(ISNUMBER('SC Change Orders'!$C94)),"Date missing or text — row excluded; ",  IF(OR('SC Change Orders'!$C94&lt;Controls!$C$5,'SC Change Orders'!$C94&gt;Controls!$C$6),"Dated outside the FY window — excluded; ",""))&amp;IF(AND('SC Change Orders'!$E94&lt;&gt;"",NOT(ISNUMBER('SC Change Orders'!$E94))),"Original Amount held as text — ignored by MINIFS; ","")&amp;IF(AND('SC Change Orders'!$F94&lt;&gt;"",NOT(ISNUMBER('SC Change Orders'!$F94))),"Amount Added held as text — ignored by SUMIFS; ","")&amp;IF(ISNUMBER('SC Change Orders'!$E94),IF(ISNUMBER('SC Change Orders'!$F94),IF(ISNUMBER('SC Change Orders'!$G94),  IF('SC Change Orders'!$G94&gt;0,IF(ROUND('SC Change Orders'!$E94+'SC Change Orders'!$F94,2)&lt;&gt;ROUND('SC Change Orders'!$G94,2),  "Original + Added &lt;&gt; Total Line Cost Allotted; ",""),""),""),""),"")&amp;IF(AND(ISNUMBER('SC Change Orders'!$B94),COUNTIFS('SC Change Orders'!$B$2:$B$501,'SC Change Orders'!$B94,'SC Change Orders'!$C$2:$C$501,'SC Change Orders'!$C94,'SC Change Orders'!$D$2:$D$501,'SC Change Orders'!$D94,'SC Change Orders'!$F$2:$F$501,'SC Change Orders'!$F94,'SC Change Orders'!$E$2:$E$501,'SC Change Orders'!$E94)&gt;1),"Duplicate of another row — funds counted twice; ","")&amp;IF(ISNUMBER('SC Change Orders'!$F94),IF('SC Change Orders'!$F94&lt;&gt;0,IF(AND(ISNUMBER('SC Change Orders'!$B94),NOT(COUNTIFS('SC Change Orders'!$B$2:$B$501,'SC Change Orders'!$B94,'SC Change Orders'!$C$2:$C$501,'SC Change Orders'!$C94,'SC Change Orders'!$D$2:$D$501,'SC Change Orders'!$D94,'SC Change Orders'!$F$2:$F$501,'SC Change Orders'!$F94,'SC Change Orders'!$E$2:$E$501,'SC Change Orders'!$E94)&gt;1),COUNTIFS('SC Change Orders'!$B$2:$B$501,'SC Change Orders'!$B94,'SC Change Orders'!$F$2:$F$501,'SC Change Orders'!$F94)&gt;1),  "Same PO and Amount Added as another row — check for a restatement counted twice; ",""),""),""))</f>
        <v/>
      </c>
    </row>
    <row r="113" customFormat="false" ht="15" hidden="false" customHeight="false" outlineLevel="0" collapsed="false">
      <c r="A113" s="18" t="str">
        <f aca="false">IF(AND('SC Change Orders'!$A95="",'SC Change Orders'!$B95="",'SC Change Orders'!$C95=""),"",95)</f>
        <v/>
      </c>
      <c r="B113" s="31" t="str">
        <f aca="false">IF($A113="","",'SC Change Orders'!$A95)</f>
        <v/>
      </c>
      <c r="C113" s="18" t="str">
        <f aca="false">IF($A113="","",'SC Change Orders'!$B95)</f>
        <v/>
      </c>
      <c r="D113" s="32" t="str">
        <f aca="false">IF($A113="","",'SC Change Orders'!$C95)</f>
        <v/>
      </c>
      <c r="E113" s="31" t="str">
        <f aca="false">IF($A113="","",'SC Change Orders'!$D95)</f>
        <v/>
      </c>
      <c r="F113" s="33" t="str">
        <f aca="false">IF($A113="","",'SC Change Orders'!$E95)</f>
        <v/>
      </c>
      <c r="G113" s="33" t="str">
        <f aca="false">IF($A113="","",'SC Change Orders'!$F95)</f>
        <v/>
      </c>
      <c r="H113" s="33" t="str">
        <f aca="false">IF($A113="","",'SC Change Orders'!$G95)</f>
        <v/>
      </c>
      <c r="I113" s="34" t="str">
        <f aca="false">IF($A113="","",IF(AND(ISNUMBER('SC Change Orders'!$C95),'SC Change Orders'!$C95&gt;=Controls!$C$5,'SC Change Orders'!$C95&lt;=Controls!$C$6),"Yes","No"))</f>
        <v/>
      </c>
      <c r="J113" s="31" t="str">
        <f aca="false">IF($A113="","",IF($K113="","OK",$K113))</f>
        <v/>
      </c>
      <c r="K113" s="0" t="str">
        <f aca="false">IF($A113="","",IF(NOT(ISNUMBER('SC Change Orders'!$B95)),"PO not numeric — row is invisible to the tracker; ","")&amp;IF(NOT(ISNUMBER('SC Change Orders'!$C95)),"Date missing or text — row excluded; ",  IF(OR('SC Change Orders'!$C95&lt;Controls!$C$5,'SC Change Orders'!$C95&gt;Controls!$C$6),"Dated outside the FY window — excluded; ",""))&amp;IF(AND('SC Change Orders'!$E95&lt;&gt;"",NOT(ISNUMBER('SC Change Orders'!$E95))),"Original Amount held as text — ignored by MINIFS; ","")&amp;IF(AND('SC Change Orders'!$F95&lt;&gt;"",NOT(ISNUMBER('SC Change Orders'!$F95))),"Amount Added held as text — ignored by SUMIFS; ","")&amp;IF(ISNUMBER('SC Change Orders'!$E95),IF(ISNUMBER('SC Change Orders'!$F95),IF(ISNUMBER('SC Change Orders'!$G95),  IF('SC Change Orders'!$G95&gt;0,IF(ROUND('SC Change Orders'!$E95+'SC Change Orders'!$F95,2)&lt;&gt;ROUND('SC Change Orders'!$G95,2),  "Original + Added &lt;&gt; Total Line Cost Allotted; ",""),""),""),""),"")&amp;IF(AND(ISNUMBER('SC Change Orders'!$B95),COUNTIFS('SC Change Orders'!$B$2:$B$501,'SC Change Orders'!$B95,'SC Change Orders'!$C$2:$C$501,'SC Change Orders'!$C95,'SC Change Orders'!$D$2:$D$501,'SC Change Orders'!$D95,'SC Change Orders'!$F$2:$F$501,'SC Change Orders'!$F95,'SC Change Orders'!$E$2:$E$501,'SC Change Orders'!$E95)&gt;1),"Duplicate of another row — funds counted twice; ","")&amp;IF(ISNUMBER('SC Change Orders'!$F95),IF('SC Change Orders'!$F95&lt;&gt;0,IF(AND(ISNUMBER('SC Change Orders'!$B95),NOT(COUNTIFS('SC Change Orders'!$B$2:$B$501,'SC Change Orders'!$B95,'SC Change Orders'!$C$2:$C$501,'SC Change Orders'!$C95,'SC Change Orders'!$D$2:$D$501,'SC Change Orders'!$D95,'SC Change Orders'!$F$2:$F$501,'SC Change Orders'!$F95,'SC Change Orders'!$E$2:$E$501,'SC Change Orders'!$E95)&gt;1),COUNTIFS('SC Change Orders'!$B$2:$B$501,'SC Change Orders'!$B95,'SC Change Orders'!$F$2:$F$501,'SC Change Orders'!$F95)&gt;1),  "Same PO and Amount Added as another row — check for a restatement counted twice; ",""),""),""))</f>
        <v/>
      </c>
    </row>
    <row r="114" customFormat="false" ht="15" hidden="false" customHeight="false" outlineLevel="0" collapsed="false">
      <c r="A114" s="18" t="str">
        <f aca="false">IF(AND('SC Change Orders'!$A96="",'SC Change Orders'!$B96="",'SC Change Orders'!$C96=""),"",96)</f>
        <v/>
      </c>
      <c r="B114" s="31" t="str">
        <f aca="false">IF($A114="","",'SC Change Orders'!$A96)</f>
        <v/>
      </c>
      <c r="C114" s="18" t="str">
        <f aca="false">IF($A114="","",'SC Change Orders'!$B96)</f>
        <v/>
      </c>
      <c r="D114" s="32" t="str">
        <f aca="false">IF($A114="","",'SC Change Orders'!$C96)</f>
        <v/>
      </c>
      <c r="E114" s="31" t="str">
        <f aca="false">IF($A114="","",'SC Change Orders'!$D96)</f>
        <v/>
      </c>
      <c r="F114" s="33" t="str">
        <f aca="false">IF($A114="","",'SC Change Orders'!$E96)</f>
        <v/>
      </c>
      <c r="G114" s="33" t="str">
        <f aca="false">IF($A114="","",'SC Change Orders'!$F96)</f>
        <v/>
      </c>
      <c r="H114" s="33" t="str">
        <f aca="false">IF($A114="","",'SC Change Orders'!$G96)</f>
        <v/>
      </c>
      <c r="I114" s="34" t="str">
        <f aca="false">IF($A114="","",IF(AND(ISNUMBER('SC Change Orders'!$C96),'SC Change Orders'!$C96&gt;=Controls!$C$5,'SC Change Orders'!$C96&lt;=Controls!$C$6),"Yes","No"))</f>
        <v/>
      </c>
      <c r="J114" s="31" t="str">
        <f aca="false">IF($A114="","",IF($K114="","OK",$K114))</f>
        <v/>
      </c>
      <c r="K114" s="0" t="str">
        <f aca="false">IF($A114="","",IF(NOT(ISNUMBER('SC Change Orders'!$B96)),"PO not numeric — row is invisible to the tracker; ","")&amp;IF(NOT(ISNUMBER('SC Change Orders'!$C96)),"Date missing or text — row excluded; ",  IF(OR('SC Change Orders'!$C96&lt;Controls!$C$5,'SC Change Orders'!$C96&gt;Controls!$C$6),"Dated outside the FY window — excluded; ",""))&amp;IF(AND('SC Change Orders'!$E96&lt;&gt;"",NOT(ISNUMBER('SC Change Orders'!$E96))),"Original Amount held as text — ignored by MINIFS; ","")&amp;IF(AND('SC Change Orders'!$F96&lt;&gt;"",NOT(ISNUMBER('SC Change Orders'!$F96))),"Amount Added held as text — ignored by SUMIFS; ","")&amp;IF(ISNUMBER('SC Change Orders'!$E96),IF(ISNUMBER('SC Change Orders'!$F96),IF(ISNUMBER('SC Change Orders'!$G96),  IF('SC Change Orders'!$G96&gt;0,IF(ROUND('SC Change Orders'!$E96+'SC Change Orders'!$F96,2)&lt;&gt;ROUND('SC Change Orders'!$G96,2),  "Original + Added &lt;&gt; Total Line Cost Allotted; ",""),""),""),""),"")&amp;IF(AND(ISNUMBER('SC Change Orders'!$B96),COUNTIFS('SC Change Orders'!$B$2:$B$501,'SC Change Orders'!$B96,'SC Change Orders'!$C$2:$C$501,'SC Change Orders'!$C96,'SC Change Orders'!$D$2:$D$501,'SC Change Orders'!$D96,'SC Change Orders'!$F$2:$F$501,'SC Change Orders'!$F96,'SC Change Orders'!$E$2:$E$501,'SC Change Orders'!$E96)&gt;1),"Duplicate of another row — funds counted twice; ","")&amp;IF(ISNUMBER('SC Change Orders'!$F96),IF('SC Change Orders'!$F96&lt;&gt;0,IF(AND(ISNUMBER('SC Change Orders'!$B96),NOT(COUNTIFS('SC Change Orders'!$B$2:$B$501,'SC Change Orders'!$B96,'SC Change Orders'!$C$2:$C$501,'SC Change Orders'!$C96,'SC Change Orders'!$D$2:$D$501,'SC Change Orders'!$D96,'SC Change Orders'!$F$2:$F$501,'SC Change Orders'!$F96,'SC Change Orders'!$E$2:$E$501,'SC Change Orders'!$E96)&gt;1),COUNTIFS('SC Change Orders'!$B$2:$B$501,'SC Change Orders'!$B96,'SC Change Orders'!$F$2:$F$501,'SC Change Orders'!$F96)&gt;1),  "Same PO and Amount Added as another row — check for a restatement counted twice; ",""),""),""))</f>
        <v/>
      </c>
    </row>
    <row r="115" customFormat="false" ht="15" hidden="false" customHeight="false" outlineLevel="0" collapsed="false">
      <c r="A115" s="18" t="str">
        <f aca="false">IF(AND('SC Change Orders'!$A97="",'SC Change Orders'!$B97="",'SC Change Orders'!$C97=""),"",97)</f>
        <v/>
      </c>
      <c r="B115" s="31" t="str">
        <f aca="false">IF($A115="","",'SC Change Orders'!$A97)</f>
        <v/>
      </c>
      <c r="C115" s="18" t="str">
        <f aca="false">IF($A115="","",'SC Change Orders'!$B97)</f>
        <v/>
      </c>
      <c r="D115" s="32" t="str">
        <f aca="false">IF($A115="","",'SC Change Orders'!$C97)</f>
        <v/>
      </c>
      <c r="E115" s="31" t="str">
        <f aca="false">IF($A115="","",'SC Change Orders'!$D97)</f>
        <v/>
      </c>
      <c r="F115" s="33" t="str">
        <f aca="false">IF($A115="","",'SC Change Orders'!$E97)</f>
        <v/>
      </c>
      <c r="G115" s="33" t="str">
        <f aca="false">IF($A115="","",'SC Change Orders'!$F97)</f>
        <v/>
      </c>
      <c r="H115" s="33" t="str">
        <f aca="false">IF($A115="","",'SC Change Orders'!$G97)</f>
        <v/>
      </c>
      <c r="I115" s="34" t="str">
        <f aca="false">IF($A115="","",IF(AND(ISNUMBER('SC Change Orders'!$C97),'SC Change Orders'!$C97&gt;=Controls!$C$5,'SC Change Orders'!$C97&lt;=Controls!$C$6),"Yes","No"))</f>
        <v/>
      </c>
      <c r="J115" s="31" t="str">
        <f aca="false">IF($A115="","",IF($K115="","OK",$K115))</f>
        <v/>
      </c>
      <c r="K115" s="0" t="str">
        <f aca="false">IF($A115="","",IF(NOT(ISNUMBER('SC Change Orders'!$B97)),"PO not numeric — row is invisible to the tracker; ","")&amp;IF(NOT(ISNUMBER('SC Change Orders'!$C97)),"Date missing or text — row excluded; ",  IF(OR('SC Change Orders'!$C97&lt;Controls!$C$5,'SC Change Orders'!$C97&gt;Controls!$C$6),"Dated outside the FY window — excluded; ",""))&amp;IF(AND('SC Change Orders'!$E97&lt;&gt;"",NOT(ISNUMBER('SC Change Orders'!$E97))),"Original Amount held as text — ignored by MINIFS; ","")&amp;IF(AND('SC Change Orders'!$F97&lt;&gt;"",NOT(ISNUMBER('SC Change Orders'!$F97))),"Amount Added held as text — ignored by SUMIFS; ","")&amp;IF(ISNUMBER('SC Change Orders'!$E97),IF(ISNUMBER('SC Change Orders'!$F97),IF(ISNUMBER('SC Change Orders'!$G97),  IF('SC Change Orders'!$G97&gt;0,IF(ROUND('SC Change Orders'!$E97+'SC Change Orders'!$F97,2)&lt;&gt;ROUND('SC Change Orders'!$G97,2),  "Original + Added &lt;&gt; Total Line Cost Allotted; ",""),""),""),""),"")&amp;IF(AND(ISNUMBER('SC Change Orders'!$B97),COUNTIFS('SC Change Orders'!$B$2:$B$501,'SC Change Orders'!$B97,'SC Change Orders'!$C$2:$C$501,'SC Change Orders'!$C97,'SC Change Orders'!$D$2:$D$501,'SC Change Orders'!$D97,'SC Change Orders'!$F$2:$F$501,'SC Change Orders'!$F97,'SC Change Orders'!$E$2:$E$501,'SC Change Orders'!$E97)&gt;1),"Duplicate of another row — funds counted twice; ","")&amp;IF(ISNUMBER('SC Change Orders'!$F97),IF('SC Change Orders'!$F97&lt;&gt;0,IF(AND(ISNUMBER('SC Change Orders'!$B97),NOT(COUNTIFS('SC Change Orders'!$B$2:$B$501,'SC Change Orders'!$B97,'SC Change Orders'!$C$2:$C$501,'SC Change Orders'!$C97,'SC Change Orders'!$D$2:$D$501,'SC Change Orders'!$D97,'SC Change Orders'!$F$2:$F$501,'SC Change Orders'!$F97,'SC Change Orders'!$E$2:$E$501,'SC Change Orders'!$E97)&gt;1),COUNTIFS('SC Change Orders'!$B$2:$B$501,'SC Change Orders'!$B97,'SC Change Orders'!$F$2:$F$501,'SC Change Orders'!$F97)&gt;1),  "Same PO and Amount Added as another row — check for a restatement counted twice; ",""),""),""))</f>
        <v/>
      </c>
    </row>
    <row r="116" customFormat="false" ht="15" hidden="false" customHeight="false" outlineLevel="0" collapsed="false">
      <c r="A116" s="18" t="str">
        <f aca="false">IF(AND('SC Change Orders'!$A98="",'SC Change Orders'!$B98="",'SC Change Orders'!$C98=""),"",98)</f>
        <v/>
      </c>
      <c r="B116" s="31" t="str">
        <f aca="false">IF($A116="","",'SC Change Orders'!$A98)</f>
        <v/>
      </c>
      <c r="C116" s="18" t="str">
        <f aca="false">IF($A116="","",'SC Change Orders'!$B98)</f>
        <v/>
      </c>
      <c r="D116" s="32" t="str">
        <f aca="false">IF($A116="","",'SC Change Orders'!$C98)</f>
        <v/>
      </c>
      <c r="E116" s="31" t="str">
        <f aca="false">IF($A116="","",'SC Change Orders'!$D98)</f>
        <v/>
      </c>
      <c r="F116" s="33" t="str">
        <f aca="false">IF($A116="","",'SC Change Orders'!$E98)</f>
        <v/>
      </c>
      <c r="G116" s="33" t="str">
        <f aca="false">IF($A116="","",'SC Change Orders'!$F98)</f>
        <v/>
      </c>
      <c r="H116" s="33" t="str">
        <f aca="false">IF($A116="","",'SC Change Orders'!$G98)</f>
        <v/>
      </c>
      <c r="I116" s="34" t="str">
        <f aca="false">IF($A116="","",IF(AND(ISNUMBER('SC Change Orders'!$C98),'SC Change Orders'!$C98&gt;=Controls!$C$5,'SC Change Orders'!$C98&lt;=Controls!$C$6),"Yes","No"))</f>
        <v/>
      </c>
      <c r="J116" s="31" t="str">
        <f aca="false">IF($A116="","",IF($K116="","OK",$K116))</f>
        <v/>
      </c>
      <c r="K116" s="0" t="str">
        <f aca="false">IF($A116="","",IF(NOT(ISNUMBER('SC Change Orders'!$B98)),"PO not numeric — row is invisible to the tracker; ","")&amp;IF(NOT(ISNUMBER('SC Change Orders'!$C98)),"Date missing or text — row excluded; ",  IF(OR('SC Change Orders'!$C98&lt;Controls!$C$5,'SC Change Orders'!$C98&gt;Controls!$C$6),"Dated outside the FY window — excluded; ",""))&amp;IF(AND('SC Change Orders'!$E98&lt;&gt;"",NOT(ISNUMBER('SC Change Orders'!$E98))),"Original Amount held as text — ignored by MINIFS; ","")&amp;IF(AND('SC Change Orders'!$F98&lt;&gt;"",NOT(ISNUMBER('SC Change Orders'!$F98))),"Amount Added held as text — ignored by SUMIFS; ","")&amp;IF(ISNUMBER('SC Change Orders'!$E98),IF(ISNUMBER('SC Change Orders'!$F98),IF(ISNUMBER('SC Change Orders'!$G98),  IF('SC Change Orders'!$G98&gt;0,IF(ROUND('SC Change Orders'!$E98+'SC Change Orders'!$F98,2)&lt;&gt;ROUND('SC Change Orders'!$G98,2),  "Original + Added &lt;&gt; Total Line Cost Allotted; ",""),""),""),""),"")&amp;IF(AND(ISNUMBER('SC Change Orders'!$B98),COUNTIFS('SC Change Orders'!$B$2:$B$501,'SC Change Orders'!$B98,'SC Change Orders'!$C$2:$C$501,'SC Change Orders'!$C98,'SC Change Orders'!$D$2:$D$501,'SC Change Orders'!$D98,'SC Change Orders'!$F$2:$F$501,'SC Change Orders'!$F98,'SC Change Orders'!$E$2:$E$501,'SC Change Orders'!$E98)&gt;1),"Duplicate of another row — funds counted twice; ","")&amp;IF(ISNUMBER('SC Change Orders'!$F98),IF('SC Change Orders'!$F98&lt;&gt;0,IF(AND(ISNUMBER('SC Change Orders'!$B98),NOT(COUNTIFS('SC Change Orders'!$B$2:$B$501,'SC Change Orders'!$B98,'SC Change Orders'!$C$2:$C$501,'SC Change Orders'!$C98,'SC Change Orders'!$D$2:$D$501,'SC Change Orders'!$D98,'SC Change Orders'!$F$2:$F$501,'SC Change Orders'!$F98,'SC Change Orders'!$E$2:$E$501,'SC Change Orders'!$E98)&gt;1),COUNTIFS('SC Change Orders'!$B$2:$B$501,'SC Change Orders'!$B98,'SC Change Orders'!$F$2:$F$501,'SC Change Orders'!$F98)&gt;1),  "Same PO and Amount Added as another row — check for a restatement counted twice; ",""),""),""))</f>
        <v/>
      </c>
    </row>
    <row r="117" customFormat="false" ht="15" hidden="false" customHeight="false" outlineLevel="0" collapsed="false">
      <c r="A117" s="18" t="str">
        <f aca="false">IF(AND('SC Change Orders'!$A99="",'SC Change Orders'!$B99="",'SC Change Orders'!$C99=""),"",99)</f>
        <v/>
      </c>
      <c r="B117" s="31" t="str">
        <f aca="false">IF($A117="","",'SC Change Orders'!$A99)</f>
        <v/>
      </c>
      <c r="C117" s="18" t="str">
        <f aca="false">IF($A117="","",'SC Change Orders'!$B99)</f>
        <v/>
      </c>
      <c r="D117" s="32" t="str">
        <f aca="false">IF($A117="","",'SC Change Orders'!$C99)</f>
        <v/>
      </c>
      <c r="E117" s="31" t="str">
        <f aca="false">IF($A117="","",'SC Change Orders'!$D99)</f>
        <v/>
      </c>
      <c r="F117" s="33" t="str">
        <f aca="false">IF($A117="","",'SC Change Orders'!$E99)</f>
        <v/>
      </c>
      <c r="G117" s="33" t="str">
        <f aca="false">IF($A117="","",'SC Change Orders'!$F99)</f>
        <v/>
      </c>
      <c r="H117" s="33" t="str">
        <f aca="false">IF($A117="","",'SC Change Orders'!$G99)</f>
        <v/>
      </c>
      <c r="I117" s="34" t="str">
        <f aca="false">IF($A117="","",IF(AND(ISNUMBER('SC Change Orders'!$C99),'SC Change Orders'!$C99&gt;=Controls!$C$5,'SC Change Orders'!$C99&lt;=Controls!$C$6),"Yes","No"))</f>
        <v/>
      </c>
      <c r="J117" s="31" t="str">
        <f aca="false">IF($A117="","",IF($K117="","OK",$K117))</f>
        <v/>
      </c>
      <c r="K117" s="0" t="str">
        <f aca="false">IF($A117="","",IF(NOT(ISNUMBER('SC Change Orders'!$B99)),"PO not numeric — row is invisible to the tracker; ","")&amp;IF(NOT(ISNUMBER('SC Change Orders'!$C99)),"Date missing or text — row excluded; ",  IF(OR('SC Change Orders'!$C99&lt;Controls!$C$5,'SC Change Orders'!$C99&gt;Controls!$C$6),"Dated outside the FY window — excluded; ",""))&amp;IF(AND('SC Change Orders'!$E99&lt;&gt;"",NOT(ISNUMBER('SC Change Orders'!$E99))),"Original Amount held as text — ignored by MINIFS; ","")&amp;IF(AND('SC Change Orders'!$F99&lt;&gt;"",NOT(ISNUMBER('SC Change Orders'!$F99))),"Amount Added held as text — ignored by SUMIFS; ","")&amp;IF(ISNUMBER('SC Change Orders'!$E99),IF(ISNUMBER('SC Change Orders'!$F99),IF(ISNUMBER('SC Change Orders'!$G99),  IF('SC Change Orders'!$G99&gt;0,IF(ROUND('SC Change Orders'!$E99+'SC Change Orders'!$F99,2)&lt;&gt;ROUND('SC Change Orders'!$G99,2),  "Original + Added &lt;&gt; Total Line Cost Allotted; ",""),""),""),""),"")&amp;IF(AND(ISNUMBER('SC Change Orders'!$B99),COUNTIFS('SC Change Orders'!$B$2:$B$501,'SC Change Orders'!$B99,'SC Change Orders'!$C$2:$C$501,'SC Change Orders'!$C99,'SC Change Orders'!$D$2:$D$501,'SC Change Orders'!$D99,'SC Change Orders'!$F$2:$F$501,'SC Change Orders'!$F99,'SC Change Orders'!$E$2:$E$501,'SC Change Orders'!$E99)&gt;1),"Duplicate of another row — funds counted twice; ","")&amp;IF(ISNUMBER('SC Change Orders'!$F99),IF('SC Change Orders'!$F99&lt;&gt;0,IF(AND(ISNUMBER('SC Change Orders'!$B99),NOT(COUNTIFS('SC Change Orders'!$B$2:$B$501,'SC Change Orders'!$B99,'SC Change Orders'!$C$2:$C$501,'SC Change Orders'!$C99,'SC Change Orders'!$D$2:$D$501,'SC Change Orders'!$D99,'SC Change Orders'!$F$2:$F$501,'SC Change Orders'!$F99,'SC Change Orders'!$E$2:$E$501,'SC Change Orders'!$E99)&gt;1),COUNTIFS('SC Change Orders'!$B$2:$B$501,'SC Change Orders'!$B99,'SC Change Orders'!$F$2:$F$501,'SC Change Orders'!$F99)&gt;1),  "Same PO and Amount Added as another row — check for a restatement counted twice; ",""),""),""))</f>
        <v/>
      </c>
    </row>
    <row r="118" customFormat="false" ht="15" hidden="false" customHeight="false" outlineLevel="0" collapsed="false">
      <c r="A118" s="18" t="str">
        <f aca="false">IF(AND('SC Change Orders'!$A100="",'SC Change Orders'!$B100="",'SC Change Orders'!$C100=""),"",100)</f>
        <v/>
      </c>
      <c r="B118" s="31" t="str">
        <f aca="false">IF($A118="","",'SC Change Orders'!$A100)</f>
        <v/>
      </c>
      <c r="C118" s="18" t="str">
        <f aca="false">IF($A118="","",'SC Change Orders'!$B100)</f>
        <v/>
      </c>
      <c r="D118" s="32" t="str">
        <f aca="false">IF($A118="","",'SC Change Orders'!$C100)</f>
        <v/>
      </c>
      <c r="E118" s="31" t="str">
        <f aca="false">IF($A118="","",'SC Change Orders'!$D100)</f>
        <v/>
      </c>
      <c r="F118" s="33" t="str">
        <f aca="false">IF($A118="","",'SC Change Orders'!$E100)</f>
        <v/>
      </c>
      <c r="G118" s="33" t="str">
        <f aca="false">IF($A118="","",'SC Change Orders'!$F100)</f>
        <v/>
      </c>
      <c r="H118" s="33" t="str">
        <f aca="false">IF($A118="","",'SC Change Orders'!$G100)</f>
        <v/>
      </c>
      <c r="I118" s="34" t="str">
        <f aca="false">IF($A118="","",IF(AND(ISNUMBER('SC Change Orders'!$C100),'SC Change Orders'!$C100&gt;=Controls!$C$5,'SC Change Orders'!$C100&lt;=Controls!$C$6),"Yes","No"))</f>
        <v/>
      </c>
      <c r="J118" s="31" t="str">
        <f aca="false">IF($A118="","",IF($K118="","OK",$K118))</f>
        <v/>
      </c>
      <c r="K118" s="0" t="str">
        <f aca="false">IF($A118="","",IF(NOT(ISNUMBER('SC Change Orders'!$B100)),"PO not numeric — row is invisible to the tracker; ","")&amp;IF(NOT(ISNUMBER('SC Change Orders'!$C100)),"Date missing or text — row excluded; ",  IF(OR('SC Change Orders'!$C100&lt;Controls!$C$5,'SC Change Orders'!$C100&gt;Controls!$C$6),"Dated outside the FY window — excluded; ",""))&amp;IF(AND('SC Change Orders'!$E100&lt;&gt;"",NOT(ISNUMBER('SC Change Orders'!$E100))),"Original Amount held as text — ignored by MINIFS; ","")&amp;IF(AND('SC Change Orders'!$F100&lt;&gt;"",NOT(ISNUMBER('SC Change Orders'!$F100))),"Amount Added held as text — ignored by SUMIFS; ","")&amp;IF(ISNUMBER('SC Change Orders'!$E100),IF(ISNUMBER('SC Change Orders'!$F100),IF(ISNUMBER('SC Change Orders'!$G100),  IF('SC Change Orders'!$G100&gt;0,IF(ROUND('SC Change Orders'!$E100+'SC Change Orders'!$F100,2)&lt;&gt;ROUND('SC Change Orders'!$G100,2),  "Original + Added &lt;&gt; Total Line Cost Allotted; ",""),""),""),""),"")&amp;IF(AND(ISNUMBER('SC Change Orders'!$B100),COUNTIFS('SC Change Orders'!$B$2:$B$501,'SC Change Orders'!$B100,'SC Change Orders'!$C$2:$C$501,'SC Change Orders'!$C100,'SC Change Orders'!$D$2:$D$501,'SC Change Orders'!$D100,'SC Change Orders'!$F$2:$F$501,'SC Change Orders'!$F100,'SC Change Orders'!$E$2:$E$501,'SC Change Orders'!$E100)&gt;1),"Duplicate of another row — funds counted twice; ","")&amp;IF(ISNUMBER('SC Change Orders'!$F100),IF('SC Change Orders'!$F100&lt;&gt;0,IF(AND(ISNUMBER('SC Change Orders'!$B100),NOT(COUNTIFS('SC Change Orders'!$B$2:$B$501,'SC Change Orders'!$B100,'SC Change Orders'!$C$2:$C$501,'SC Change Orders'!$C100,'SC Change Orders'!$D$2:$D$501,'SC Change Orders'!$D100,'SC Change Orders'!$F$2:$F$501,'SC Change Orders'!$F100,'SC Change Orders'!$E$2:$E$501,'SC Change Orders'!$E100)&gt;1),COUNTIFS('SC Change Orders'!$B$2:$B$501,'SC Change Orders'!$B100,'SC Change Orders'!$F$2:$F$501,'SC Change Orders'!$F100)&gt;1),  "Same PO and Amount Added as another row — check for a restatement counted twice; ",""),""),""))</f>
        <v/>
      </c>
    </row>
    <row r="119" customFormat="false" ht="15" hidden="false" customHeight="false" outlineLevel="0" collapsed="false">
      <c r="A119" s="18" t="str">
        <f aca="false">IF(AND('SC Change Orders'!$A101="",'SC Change Orders'!$B101="",'SC Change Orders'!$C101=""),"",101)</f>
        <v/>
      </c>
      <c r="B119" s="31" t="str">
        <f aca="false">IF($A119="","",'SC Change Orders'!$A101)</f>
        <v/>
      </c>
      <c r="C119" s="18" t="str">
        <f aca="false">IF($A119="","",'SC Change Orders'!$B101)</f>
        <v/>
      </c>
      <c r="D119" s="32" t="str">
        <f aca="false">IF($A119="","",'SC Change Orders'!$C101)</f>
        <v/>
      </c>
      <c r="E119" s="31" t="str">
        <f aca="false">IF($A119="","",'SC Change Orders'!$D101)</f>
        <v/>
      </c>
      <c r="F119" s="33" t="str">
        <f aca="false">IF($A119="","",'SC Change Orders'!$E101)</f>
        <v/>
      </c>
      <c r="G119" s="33" t="str">
        <f aca="false">IF($A119="","",'SC Change Orders'!$F101)</f>
        <v/>
      </c>
      <c r="H119" s="33" t="str">
        <f aca="false">IF($A119="","",'SC Change Orders'!$G101)</f>
        <v/>
      </c>
      <c r="I119" s="34" t="str">
        <f aca="false">IF($A119="","",IF(AND(ISNUMBER('SC Change Orders'!$C101),'SC Change Orders'!$C101&gt;=Controls!$C$5,'SC Change Orders'!$C101&lt;=Controls!$C$6),"Yes","No"))</f>
        <v/>
      </c>
      <c r="J119" s="31" t="str">
        <f aca="false">IF($A119="","",IF($K119="","OK",$K119))</f>
        <v/>
      </c>
      <c r="K119" s="0" t="str">
        <f aca="false">IF($A119="","",IF(NOT(ISNUMBER('SC Change Orders'!$B101)),"PO not numeric — row is invisible to the tracker; ","")&amp;IF(NOT(ISNUMBER('SC Change Orders'!$C101)),"Date missing or text — row excluded; ",  IF(OR('SC Change Orders'!$C101&lt;Controls!$C$5,'SC Change Orders'!$C101&gt;Controls!$C$6),"Dated outside the FY window — excluded; ",""))&amp;IF(AND('SC Change Orders'!$E101&lt;&gt;"",NOT(ISNUMBER('SC Change Orders'!$E101))),"Original Amount held as text — ignored by MINIFS; ","")&amp;IF(AND('SC Change Orders'!$F101&lt;&gt;"",NOT(ISNUMBER('SC Change Orders'!$F101))),"Amount Added held as text — ignored by SUMIFS; ","")&amp;IF(ISNUMBER('SC Change Orders'!$E101),IF(ISNUMBER('SC Change Orders'!$F101),IF(ISNUMBER('SC Change Orders'!$G101),  IF('SC Change Orders'!$G101&gt;0,IF(ROUND('SC Change Orders'!$E101+'SC Change Orders'!$F101,2)&lt;&gt;ROUND('SC Change Orders'!$G101,2),  "Original + Added &lt;&gt; Total Line Cost Allotted; ",""),""),""),""),"")&amp;IF(AND(ISNUMBER('SC Change Orders'!$B101),COUNTIFS('SC Change Orders'!$B$2:$B$501,'SC Change Orders'!$B101,'SC Change Orders'!$C$2:$C$501,'SC Change Orders'!$C101,'SC Change Orders'!$D$2:$D$501,'SC Change Orders'!$D101,'SC Change Orders'!$F$2:$F$501,'SC Change Orders'!$F101,'SC Change Orders'!$E$2:$E$501,'SC Change Orders'!$E101)&gt;1),"Duplicate of another row — funds counted twice; ","")&amp;IF(ISNUMBER('SC Change Orders'!$F101),IF('SC Change Orders'!$F101&lt;&gt;0,IF(AND(ISNUMBER('SC Change Orders'!$B101),NOT(COUNTIFS('SC Change Orders'!$B$2:$B$501,'SC Change Orders'!$B101,'SC Change Orders'!$C$2:$C$501,'SC Change Orders'!$C101,'SC Change Orders'!$D$2:$D$501,'SC Change Orders'!$D101,'SC Change Orders'!$F$2:$F$501,'SC Change Orders'!$F101,'SC Change Orders'!$E$2:$E$501,'SC Change Orders'!$E101)&gt;1),COUNTIFS('SC Change Orders'!$B$2:$B$501,'SC Change Orders'!$B101,'SC Change Orders'!$F$2:$F$501,'SC Change Orders'!$F101)&gt;1),  "Same PO and Amount Added as another row — check for a restatement counted twice; ",""),""),""))</f>
        <v/>
      </c>
    </row>
    <row r="120" customFormat="false" ht="15" hidden="false" customHeight="false" outlineLevel="0" collapsed="false">
      <c r="A120" s="18" t="str">
        <f aca="false">IF(AND('SC Change Orders'!$A102="",'SC Change Orders'!$B102="",'SC Change Orders'!$C102=""),"",102)</f>
        <v/>
      </c>
      <c r="B120" s="31" t="str">
        <f aca="false">IF($A120="","",'SC Change Orders'!$A102)</f>
        <v/>
      </c>
      <c r="C120" s="18" t="str">
        <f aca="false">IF($A120="","",'SC Change Orders'!$B102)</f>
        <v/>
      </c>
      <c r="D120" s="32" t="str">
        <f aca="false">IF($A120="","",'SC Change Orders'!$C102)</f>
        <v/>
      </c>
      <c r="E120" s="31" t="str">
        <f aca="false">IF($A120="","",'SC Change Orders'!$D102)</f>
        <v/>
      </c>
      <c r="F120" s="33" t="str">
        <f aca="false">IF($A120="","",'SC Change Orders'!$E102)</f>
        <v/>
      </c>
      <c r="G120" s="33" t="str">
        <f aca="false">IF($A120="","",'SC Change Orders'!$F102)</f>
        <v/>
      </c>
      <c r="H120" s="33" t="str">
        <f aca="false">IF($A120="","",'SC Change Orders'!$G102)</f>
        <v/>
      </c>
      <c r="I120" s="34" t="str">
        <f aca="false">IF($A120="","",IF(AND(ISNUMBER('SC Change Orders'!$C102),'SC Change Orders'!$C102&gt;=Controls!$C$5,'SC Change Orders'!$C102&lt;=Controls!$C$6),"Yes","No"))</f>
        <v/>
      </c>
      <c r="J120" s="31" t="str">
        <f aca="false">IF($A120="","",IF($K120="","OK",$K120))</f>
        <v/>
      </c>
      <c r="K120" s="0" t="str">
        <f aca="false">IF($A120="","",IF(NOT(ISNUMBER('SC Change Orders'!$B102)),"PO not numeric — row is invisible to the tracker; ","")&amp;IF(NOT(ISNUMBER('SC Change Orders'!$C102)),"Date missing or text — row excluded; ",  IF(OR('SC Change Orders'!$C102&lt;Controls!$C$5,'SC Change Orders'!$C102&gt;Controls!$C$6),"Dated outside the FY window — excluded; ",""))&amp;IF(AND('SC Change Orders'!$E102&lt;&gt;"",NOT(ISNUMBER('SC Change Orders'!$E102))),"Original Amount held as text — ignored by MINIFS; ","")&amp;IF(AND('SC Change Orders'!$F102&lt;&gt;"",NOT(ISNUMBER('SC Change Orders'!$F102))),"Amount Added held as text — ignored by SUMIFS; ","")&amp;IF(ISNUMBER('SC Change Orders'!$E102),IF(ISNUMBER('SC Change Orders'!$F102),IF(ISNUMBER('SC Change Orders'!$G102),  IF('SC Change Orders'!$G102&gt;0,IF(ROUND('SC Change Orders'!$E102+'SC Change Orders'!$F102,2)&lt;&gt;ROUND('SC Change Orders'!$G102,2),  "Original + Added &lt;&gt; Total Line Cost Allotted; ",""),""),""),""),"")&amp;IF(AND(ISNUMBER('SC Change Orders'!$B102),COUNTIFS('SC Change Orders'!$B$2:$B$501,'SC Change Orders'!$B102,'SC Change Orders'!$C$2:$C$501,'SC Change Orders'!$C102,'SC Change Orders'!$D$2:$D$501,'SC Change Orders'!$D102,'SC Change Orders'!$F$2:$F$501,'SC Change Orders'!$F102,'SC Change Orders'!$E$2:$E$501,'SC Change Orders'!$E102)&gt;1),"Duplicate of another row — funds counted twice; ","")&amp;IF(ISNUMBER('SC Change Orders'!$F102),IF('SC Change Orders'!$F102&lt;&gt;0,IF(AND(ISNUMBER('SC Change Orders'!$B102),NOT(COUNTIFS('SC Change Orders'!$B$2:$B$501,'SC Change Orders'!$B102,'SC Change Orders'!$C$2:$C$501,'SC Change Orders'!$C102,'SC Change Orders'!$D$2:$D$501,'SC Change Orders'!$D102,'SC Change Orders'!$F$2:$F$501,'SC Change Orders'!$F102,'SC Change Orders'!$E$2:$E$501,'SC Change Orders'!$E102)&gt;1),COUNTIFS('SC Change Orders'!$B$2:$B$501,'SC Change Orders'!$B102,'SC Change Orders'!$F$2:$F$501,'SC Change Orders'!$F102)&gt;1),  "Same PO and Amount Added as another row — check for a restatement counted twice; ",""),""),""))</f>
        <v/>
      </c>
    </row>
    <row r="121" customFormat="false" ht="15" hidden="false" customHeight="false" outlineLevel="0" collapsed="false">
      <c r="A121" s="18" t="str">
        <f aca="false">IF(AND('SC Change Orders'!$A103="",'SC Change Orders'!$B103="",'SC Change Orders'!$C103=""),"",103)</f>
        <v/>
      </c>
      <c r="B121" s="31" t="str">
        <f aca="false">IF($A121="","",'SC Change Orders'!$A103)</f>
        <v/>
      </c>
      <c r="C121" s="18" t="str">
        <f aca="false">IF($A121="","",'SC Change Orders'!$B103)</f>
        <v/>
      </c>
      <c r="D121" s="32" t="str">
        <f aca="false">IF($A121="","",'SC Change Orders'!$C103)</f>
        <v/>
      </c>
      <c r="E121" s="31" t="str">
        <f aca="false">IF($A121="","",'SC Change Orders'!$D103)</f>
        <v/>
      </c>
      <c r="F121" s="33" t="str">
        <f aca="false">IF($A121="","",'SC Change Orders'!$E103)</f>
        <v/>
      </c>
      <c r="G121" s="33" t="str">
        <f aca="false">IF($A121="","",'SC Change Orders'!$F103)</f>
        <v/>
      </c>
      <c r="H121" s="33" t="str">
        <f aca="false">IF($A121="","",'SC Change Orders'!$G103)</f>
        <v/>
      </c>
      <c r="I121" s="34" t="str">
        <f aca="false">IF($A121="","",IF(AND(ISNUMBER('SC Change Orders'!$C103),'SC Change Orders'!$C103&gt;=Controls!$C$5,'SC Change Orders'!$C103&lt;=Controls!$C$6),"Yes","No"))</f>
        <v/>
      </c>
      <c r="J121" s="31" t="str">
        <f aca="false">IF($A121="","",IF($K121="","OK",$K121))</f>
        <v/>
      </c>
      <c r="K121" s="0" t="str">
        <f aca="false">IF($A121="","",IF(NOT(ISNUMBER('SC Change Orders'!$B103)),"PO not numeric — row is invisible to the tracker; ","")&amp;IF(NOT(ISNUMBER('SC Change Orders'!$C103)),"Date missing or text — row excluded; ",  IF(OR('SC Change Orders'!$C103&lt;Controls!$C$5,'SC Change Orders'!$C103&gt;Controls!$C$6),"Dated outside the FY window — excluded; ",""))&amp;IF(AND('SC Change Orders'!$E103&lt;&gt;"",NOT(ISNUMBER('SC Change Orders'!$E103))),"Original Amount held as text — ignored by MINIFS; ","")&amp;IF(AND('SC Change Orders'!$F103&lt;&gt;"",NOT(ISNUMBER('SC Change Orders'!$F103))),"Amount Added held as text — ignored by SUMIFS; ","")&amp;IF(ISNUMBER('SC Change Orders'!$E103),IF(ISNUMBER('SC Change Orders'!$F103),IF(ISNUMBER('SC Change Orders'!$G103),  IF('SC Change Orders'!$G103&gt;0,IF(ROUND('SC Change Orders'!$E103+'SC Change Orders'!$F103,2)&lt;&gt;ROUND('SC Change Orders'!$G103,2),  "Original + Added &lt;&gt; Total Line Cost Allotted; ",""),""),""),""),"")&amp;IF(AND(ISNUMBER('SC Change Orders'!$B103),COUNTIFS('SC Change Orders'!$B$2:$B$501,'SC Change Orders'!$B103,'SC Change Orders'!$C$2:$C$501,'SC Change Orders'!$C103,'SC Change Orders'!$D$2:$D$501,'SC Change Orders'!$D103,'SC Change Orders'!$F$2:$F$501,'SC Change Orders'!$F103,'SC Change Orders'!$E$2:$E$501,'SC Change Orders'!$E103)&gt;1),"Duplicate of another row — funds counted twice; ","")&amp;IF(ISNUMBER('SC Change Orders'!$F103),IF('SC Change Orders'!$F103&lt;&gt;0,IF(AND(ISNUMBER('SC Change Orders'!$B103),NOT(COUNTIFS('SC Change Orders'!$B$2:$B$501,'SC Change Orders'!$B103,'SC Change Orders'!$C$2:$C$501,'SC Change Orders'!$C103,'SC Change Orders'!$D$2:$D$501,'SC Change Orders'!$D103,'SC Change Orders'!$F$2:$F$501,'SC Change Orders'!$F103,'SC Change Orders'!$E$2:$E$501,'SC Change Orders'!$E103)&gt;1),COUNTIFS('SC Change Orders'!$B$2:$B$501,'SC Change Orders'!$B103,'SC Change Orders'!$F$2:$F$501,'SC Change Orders'!$F103)&gt;1),  "Same PO and Amount Added as another row — check for a restatement counted twice; ",""),""),""))</f>
        <v/>
      </c>
    </row>
    <row r="122" customFormat="false" ht="15" hidden="false" customHeight="false" outlineLevel="0" collapsed="false">
      <c r="A122" s="18" t="str">
        <f aca="false">IF(AND('SC Change Orders'!$A104="",'SC Change Orders'!$B104="",'SC Change Orders'!$C104=""),"",104)</f>
        <v/>
      </c>
      <c r="B122" s="31" t="str">
        <f aca="false">IF($A122="","",'SC Change Orders'!$A104)</f>
        <v/>
      </c>
      <c r="C122" s="18" t="str">
        <f aca="false">IF($A122="","",'SC Change Orders'!$B104)</f>
        <v/>
      </c>
      <c r="D122" s="32" t="str">
        <f aca="false">IF($A122="","",'SC Change Orders'!$C104)</f>
        <v/>
      </c>
      <c r="E122" s="31" t="str">
        <f aca="false">IF($A122="","",'SC Change Orders'!$D104)</f>
        <v/>
      </c>
      <c r="F122" s="33" t="str">
        <f aca="false">IF($A122="","",'SC Change Orders'!$E104)</f>
        <v/>
      </c>
      <c r="G122" s="33" t="str">
        <f aca="false">IF($A122="","",'SC Change Orders'!$F104)</f>
        <v/>
      </c>
      <c r="H122" s="33" t="str">
        <f aca="false">IF($A122="","",'SC Change Orders'!$G104)</f>
        <v/>
      </c>
      <c r="I122" s="34" t="str">
        <f aca="false">IF($A122="","",IF(AND(ISNUMBER('SC Change Orders'!$C104),'SC Change Orders'!$C104&gt;=Controls!$C$5,'SC Change Orders'!$C104&lt;=Controls!$C$6),"Yes","No"))</f>
        <v/>
      </c>
      <c r="J122" s="31" t="str">
        <f aca="false">IF($A122="","",IF($K122="","OK",$K122))</f>
        <v/>
      </c>
      <c r="K122" s="0" t="str">
        <f aca="false">IF($A122="","",IF(NOT(ISNUMBER('SC Change Orders'!$B104)),"PO not numeric — row is invisible to the tracker; ","")&amp;IF(NOT(ISNUMBER('SC Change Orders'!$C104)),"Date missing or text — row excluded; ",  IF(OR('SC Change Orders'!$C104&lt;Controls!$C$5,'SC Change Orders'!$C104&gt;Controls!$C$6),"Dated outside the FY window — excluded; ",""))&amp;IF(AND('SC Change Orders'!$E104&lt;&gt;"",NOT(ISNUMBER('SC Change Orders'!$E104))),"Original Amount held as text — ignored by MINIFS; ","")&amp;IF(AND('SC Change Orders'!$F104&lt;&gt;"",NOT(ISNUMBER('SC Change Orders'!$F104))),"Amount Added held as text — ignored by SUMIFS; ","")&amp;IF(ISNUMBER('SC Change Orders'!$E104),IF(ISNUMBER('SC Change Orders'!$F104),IF(ISNUMBER('SC Change Orders'!$G104),  IF('SC Change Orders'!$G104&gt;0,IF(ROUND('SC Change Orders'!$E104+'SC Change Orders'!$F104,2)&lt;&gt;ROUND('SC Change Orders'!$G104,2),  "Original + Added &lt;&gt; Total Line Cost Allotted; ",""),""),""),""),"")&amp;IF(AND(ISNUMBER('SC Change Orders'!$B104),COUNTIFS('SC Change Orders'!$B$2:$B$501,'SC Change Orders'!$B104,'SC Change Orders'!$C$2:$C$501,'SC Change Orders'!$C104,'SC Change Orders'!$D$2:$D$501,'SC Change Orders'!$D104,'SC Change Orders'!$F$2:$F$501,'SC Change Orders'!$F104,'SC Change Orders'!$E$2:$E$501,'SC Change Orders'!$E104)&gt;1),"Duplicate of another row — funds counted twice; ","")&amp;IF(ISNUMBER('SC Change Orders'!$F104),IF('SC Change Orders'!$F104&lt;&gt;0,IF(AND(ISNUMBER('SC Change Orders'!$B104),NOT(COUNTIFS('SC Change Orders'!$B$2:$B$501,'SC Change Orders'!$B104,'SC Change Orders'!$C$2:$C$501,'SC Change Orders'!$C104,'SC Change Orders'!$D$2:$D$501,'SC Change Orders'!$D104,'SC Change Orders'!$F$2:$F$501,'SC Change Orders'!$F104,'SC Change Orders'!$E$2:$E$501,'SC Change Orders'!$E104)&gt;1),COUNTIFS('SC Change Orders'!$B$2:$B$501,'SC Change Orders'!$B104,'SC Change Orders'!$F$2:$F$501,'SC Change Orders'!$F104)&gt;1),  "Same PO and Amount Added as another row — check for a restatement counted twice; ",""),""),""))</f>
        <v/>
      </c>
    </row>
    <row r="123" customFormat="false" ht="15" hidden="false" customHeight="false" outlineLevel="0" collapsed="false">
      <c r="A123" s="18" t="str">
        <f aca="false">IF(AND('SC Change Orders'!$A105="",'SC Change Orders'!$B105="",'SC Change Orders'!$C105=""),"",105)</f>
        <v/>
      </c>
      <c r="B123" s="31" t="str">
        <f aca="false">IF($A123="","",'SC Change Orders'!$A105)</f>
        <v/>
      </c>
      <c r="C123" s="18" t="str">
        <f aca="false">IF($A123="","",'SC Change Orders'!$B105)</f>
        <v/>
      </c>
      <c r="D123" s="32" t="str">
        <f aca="false">IF($A123="","",'SC Change Orders'!$C105)</f>
        <v/>
      </c>
      <c r="E123" s="31" t="str">
        <f aca="false">IF($A123="","",'SC Change Orders'!$D105)</f>
        <v/>
      </c>
      <c r="F123" s="33" t="str">
        <f aca="false">IF($A123="","",'SC Change Orders'!$E105)</f>
        <v/>
      </c>
      <c r="G123" s="33" t="str">
        <f aca="false">IF($A123="","",'SC Change Orders'!$F105)</f>
        <v/>
      </c>
      <c r="H123" s="33" t="str">
        <f aca="false">IF($A123="","",'SC Change Orders'!$G105)</f>
        <v/>
      </c>
      <c r="I123" s="34" t="str">
        <f aca="false">IF($A123="","",IF(AND(ISNUMBER('SC Change Orders'!$C105),'SC Change Orders'!$C105&gt;=Controls!$C$5,'SC Change Orders'!$C105&lt;=Controls!$C$6),"Yes","No"))</f>
        <v/>
      </c>
      <c r="J123" s="31" t="str">
        <f aca="false">IF($A123="","",IF($K123="","OK",$K123))</f>
        <v/>
      </c>
      <c r="K123" s="0" t="str">
        <f aca="false">IF($A123="","",IF(NOT(ISNUMBER('SC Change Orders'!$B105)),"PO not numeric — row is invisible to the tracker; ","")&amp;IF(NOT(ISNUMBER('SC Change Orders'!$C105)),"Date missing or text — row excluded; ",  IF(OR('SC Change Orders'!$C105&lt;Controls!$C$5,'SC Change Orders'!$C105&gt;Controls!$C$6),"Dated outside the FY window — excluded; ",""))&amp;IF(AND('SC Change Orders'!$E105&lt;&gt;"",NOT(ISNUMBER('SC Change Orders'!$E105))),"Original Amount held as text — ignored by MINIFS; ","")&amp;IF(AND('SC Change Orders'!$F105&lt;&gt;"",NOT(ISNUMBER('SC Change Orders'!$F105))),"Amount Added held as text — ignored by SUMIFS; ","")&amp;IF(ISNUMBER('SC Change Orders'!$E105),IF(ISNUMBER('SC Change Orders'!$F105),IF(ISNUMBER('SC Change Orders'!$G105),  IF('SC Change Orders'!$G105&gt;0,IF(ROUND('SC Change Orders'!$E105+'SC Change Orders'!$F105,2)&lt;&gt;ROUND('SC Change Orders'!$G105,2),  "Original + Added &lt;&gt; Total Line Cost Allotted; ",""),""),""),""),"")&amp;IF(AND(ISNUMBER('SC Change Orders'!$B105),COUNTIFS('SC Change Orders'!$B$2:$B$501,'SC Change Orders'!$B105,'SC Change Orders'!$C$2:$C$501,'SC Change Orders'!$C105,'SC Change Orders'!$D$2:$D$501,'SC Change Orders'!$D105,'SC Change Orders'!$F$2:$F$501,'SC Change Orders'!$F105,'SC Change Orders'!$E$2:$E$501,'SC Change Orders'!$E105)&gt;1),"Duplicate of another row — funds counted twice; ","")&amp;IF(ISNUMBER('SC Change Orders'!$F105),IF('SC Change Orders'!$F105&lt;&gt;0,IF(AND(ISNUMBER('SC Change Orders'!$B105),NOT(COUNTIFS('SC Change Orders'!$B$2:$B$501,'SC Change Orders'!$B105,'SC Change Orders'!$C$2:$C$501,'SC Change Orders'!$C105,'SC Change Orders'!$D$2:$D$501,'SC Change Orders'!$D105,'SC Change Orders'!$F$2:$F$501,'SC Change Orders'!$F105,'SC Change Orders'!$E$2:$E$501,'SC Change Orders'!$E105)&gt;1),COUNTIFS('SC Change Orders'!$B$2:$B$501,'SC Change Orders'!$B105,'SC Change Orders'!$F$2:$F$501,'SC Change Orders'!$F105)&gt;1),  "Same PO and Amount Added as another row — check for a restatement counted twice; ",""),""),""))</f>
        <v/>
      </c>
    </row>
    <row r="124" customFormat="false" ht="15" hidden="false" customHeight="false" outlineLevel="0" collapsed="false">
      <c r="A124" s="18" t="str">
        <f aca="false">IF(AND('SC Change Orders'!$A106="",'SC Change Orders'!$B106="",'SC Change Orders'!$C106=""),"",106)</f>
        <v/>
      </c>
      <c r="B124" s="31" t="str">
        <f aca="false">IF($A124="","",'SC Change Orders'!$A106)</f>
        <v/>
      </c>
      <c r="C124" s="18" t="str">
        <f aca="false">IF($A124="","",'SC Change Orders'!$B106)</f>
        <v/>
      </c>
      <c r="D124" s="32" t="str">
        <f aca="false">IF($A124="","",'SC Change Orders'!$C106)</f>
        <v/>
      </c>
      <c r="E124" s="31" t="str">
        <f aca="false">IF($A124="","",'SC Change Orders'!$D106)</f>
        <v/>
      </c>
      <c r="F124" s="33" t="str">
        <f aca="false">IF($A124="","",'SC Change Orders'!$E106)</f>
        <v/>
      </c>
      <c r="G124" s="33" t="str">
        <f aca="false">IF($A124="","",'SC Change Orders'!$F106)</f>
        <v/>
      </c>
      <c r="H124" s="33" t="str">
        <f aca="false">IF($A124="","",'SC Change Orders'!$G106)</f>
        <v/>
      </c>
      <c r="I124" s="34" t="str">
        <f aca="false">IF($A124="","",IF(AND(ISNUMBER('SC Change Orders'!$C106),'SC Change Orders'!$C106&gt;=Controls!$C$5,'SC Change Orders'!$C106&lt;=Controls!$C$6),"Yes","No"))</f>
        <v/>
      </c>
      <c r="J124" s="31" t="str">
        <f aca="false">IF($A124="","",IF($K124="","OK",$K124))</f>
        <v/>
      </c>
      <c r="K124" s="0" t="str">
        <f aca="false">IF($A124="","",IF(NOT(ISNUMBER('SC Change Orders'!$B106)),"PO not numeric — row is invisible to the tracker; ","")&amp;IF(NOT(ISNUMBER('SC Change Orders'!$C106)),"Date missing or text — row excluded; ",  IF(OR('SC Change Orders'!$C106&lt;Controls!$C$5,'SC Change Orders'!$C106&gt;Controls!$C$6),"Dated outside the FY window — excluded; ",""))&amp;IF(AND('SC Change Orders'!$E106&lt;&gt;"",NOT(ISNUMBER('SC Change Orders'!$E106))),"Original Amount held as text — ignored by MINIFS; ","")&amp;IF(AND('SC Change Orders'!$F106&lt;&gt;"",NOT(ISNUMBER('SC Change Orders'!$F106))),"Amount Added held as text — ignored by SUMIFS; ","")&amp;IF(ISNUMBER('SC Change Orders'!$E106),IF(ISNUMBER('SC Change Orders'!$F106),IF(ISNUMBER('SC Change Orders'!$G106),  IF('SC Change Orders'!$G106&gt;0,IF(ROUND('SC Change Orders'!$E106+'SC Change Orders'!$F106,2)&lt;&gt;ROUND('SC Change Orders'!$G106,2),  "Original + Added &lt;&gt; Total Line Cost Allotted; ",""),""),""),""),"")&amp;IF(AND(ISNUMBER('SC Change Orders'!$B106),COUNTIFS('SC Change Orders'!$B$2:$B$501,'SC Change Orders'!$B106,'SC Change Orders'!$C$2:$C$501,'SC Change Orders'!$C106,'SC Change Orders'!$D$2:$D$501,'SC Change Orders'!$D106,'SC Change Orders'!$F$2:$F$501,'SC Change Orders'!$F106,'SC Change Orders'!$E$2:$E$501,'SC Change Orders'!$E106)&gt;1),"Duplicate of another row — funds counted twice; ","")&amp;IF(ISNUMBER('SC Change Orders'!$F106),IF('SC Change Orders'!$F106&lt;&gt;0,IF(AND(ISNUMBER('SC Change Orders'!$B106),NOT(COUNTIFS('SC Change Orders'!$B$2:$B$501,'SC Change Orders'!$B106,'SC Change Orders'!$C$2:$C$501,'SC Change Orders'!$C106,'SC Change Orders'!$D$2:$D$501,'SC Change Orders'!$D106,'SC Change Orders'!$F$2:$F$501,'SC Change Orders'!$F106,'SC Change Orders'!$E$2:$E$501,'SC Change Orders'!$E106)&gt;1),COUNTIFS('SC Change Orders'!$B$2:$B$501,'SC Change Orders'!$B106,'SC Change Orders'!$F$2:$F$501,'SC Change Orders'!$F106)&gt;1),  "Same PO and Amount Added as another row — check for a restatement counted twice; ",""),""),""))</f>
        <v/>
      </c>
    </row>
    <row r="125" customFormat="false" ht="15" hidden="false" customHeight="false" outlineLevel="0" collapsed="false">
      <c r="A125" s="18" t="str">
        <f aca="false">IF(AND('SC Change Orders'!$A107="",'SC Change Orders'!$B107="",'SC Change Orders'!$C107=""),"",107)</f>
        <v/>
      </c>
      <c r="B125" s="31" t="str">
        <f aca="false">IF($A125="","",'SC Change Orders'!$A107)</f>
        <v/>
      </c>
      <c r="C125" s="18" t="str">
        <f aca="false">IF($A125="","",'SC Change Orders'!$B107)</f>
        <v/>
      </c>
      <c r="D125" s="32" t="str">
        <f aca="false">IF($A125="","",'SC Change Orders'!$C107)</f>
        <v/>
      </c>
      <c r="E125" s="31" t="str">
        <f aca="false">IF($A125="","",'SC Change Orders'!$D107)</f>
        <v/>
      </c>
      <c r="F125" s="33" t="str">
        <f aca="false">IF($A125="","",'SC Change Orders'!$E107)</f>
        <v/>
      </c>
      <c r="G125" s="33" t="str">
        <f aca="false">IF($A125="","",'SC Change Orders'!$F107)</f>
        <v/>
      </c>
      <c r="H125" s="33" t="str">
        <f aca="false">IF($A125="","",'SC Change Orders'!$G107)</f>
        <v/>
      </c>
      <c r="I125" s="34" t="str">
        <f aca="false">IF($A125="","",IF(AND(ISNUMBER('SC Change Orders'!$C107),'SC Change Orders'!$C107&gt;=Controls!$C$5,'SC Change Orders'!$C107&lt;=Controls!$C$6),"Yes","No"))</f>
        <v/>
      </c>
      <c r="J125" s="31" t="str">
        <f aca="false">IF($A125="","",IF($K125="","OK",$K125))</f>
        <v/>
      </c>
      <c r="K125" s="0" t="str">
        <f aca="false">IF($A125="","",IF(NOT(ISNUMBER('SC Change Orders'!$B107)),"PO not numeric — row is invisible to the tracker; ","")&amp;IF(NOT(ISNUMBER('SC Change Orders'!$C107)),"Date missing or text — row excluded; ",  IF(OR('SC Change Orders'!$C107&lt;Controls!$C$5,'SC Change Orders'!$C107&gt;Controls!$C$6),"Dated outside the FY window — excluded; ",""))&amp;IF(AND('SC Change Orders'!$E107&lt;&gt;"",NOT(ISNUMBER('SC Change Orders'!$E107))),"Original Amount held as text — ignored by MINIFS; ","")&amp;IF(AND('SC Change Orders'!$F107&lt;&gt;"",NOT(ISNUMBER('SC Change Orders'!$F107))),"Amount Added held as text — ignored by SUMIFS; ","")&amp;IF(ISNUMBER('SC Change Orders'!$E107),IF(ISNUMBER('SC Change Orders'!$F107),IF(ISNUMBER('SC Change Orders'!$G107),  IF('SC Change Orders'!$G107&gt;0,IF(ROUND('SC Change Orders'!$E107+'SC Change Orders'!$F107,2)&lt;&gt;ROUND('SC Change Orders'!$G107,2),  "Original + Added &lt;&gt; Total Line Cost Allotted; ",""),""),""),""),"")&amp;IF(AND(ISNUMBER('SC Change Orders'!$B107),COUNTIFS('SC Change Orders'!$B$2:$B$501,'SC Change Orders'!$B107,'SC Change Orders'!$C$2:$C$501,'SC Change Orders'!$C107,'SC Change Orders'!$D$2:$D$501,'SC Change Orders'!$D107,'SC Change Orders'!$F$2:$F$501,'SC Change Orders'!$F107,'SC Change Orders'!$E$2:$E$501,'SC Change Orders'!$E107)&gt;1),"Duplicate of another row — funds counted twice; ","")&amp;IF(ISNUMBER('SC Change Orders'!$F107),IF('SC Change Orders'!$F107&lt;&gt;0,IF(AND(ISNUMBER('SC Change Orders'!$B107),NOT(COUNTIFS('SC Change Orders'!$B$2:$B$501,'SC Change Orders'!$B107,'SC Change Orders'!$C$2:$C$501,'SC Change Orders'!$C107,'SC Change Orders'!$D$2:$D$501,'SC Change Orders'!$D107,'SC Change Orders'!$F$2:$F$501,'SC Change Orders'!$F107,'SC Change Orders'!$E$2:$E$501,'SC Change Orders'!$E107)&gt;1),COUNTIFS('SC Change Orders'!$B$2:$B$501,'SC Change Orders'!$B107,'SC Change Orders'!$F$2:$F$501,'SC Change Orders'!$F107)&gt;1),  "Same PO and Amount Added as another row — check for a restatement counted twice; ",""),""),""))</f>
        <v/>
      </c>
    </row>
    <row r="126" customFormat="false" ht="15" hidden="false" customHeight="false" outlineLevel="0" collapsed="false">
      <c r="A126" s="18" t="str">
        <f aca="false">IF(AND('SC Change Orders'!$A108="",'SC Change Orders'!$B108="",'SC Change Orders'!$C108=""),"",108)</f>
        <v/>
      </c>
      <c r="B126" s="31" t="str">
        <f aca="false">IF($A126="","",'SC Change Orders'!$A108)</f>
        <v/>
      </c>
      <c r="C126" s="18" t="str">
        <f aca="false">IF($A126="","",'SC Change Orders'!$B108)</f>
        <v/>
      </c>
      <c r="D126" s="32" t="str">
        <f aca="false">IF($A126="","",'SC Change Orders'!$C108)</f>
        <v/>
      </c>
      <c r="E126" s="31" t="str">
        <f aca="false">IF($A126="","",'SC Change Orders'!$D108)</f>
        <v/>
      </c>
      <c r="F126" s="33" t="str">
        <f aca="false">IF($A126="","",'SC Change Orders'!$E108)</f>
        <v/>
      </c>
      <c r="G126" s="33" t="str">
        <f aca="false">IF($A126="","",'SC Change Orders'!$F108)</f>
        <v/>
      </c>
      <c r="H126" s="33" t="str">
        <f aca="false">IF($A126="","",'SC Change Orders'!$G108)</f>
        <v/>
      </c>
      <c r="I126" s="34" t="str">
        <f aca="false">IF($A126="","",IF(AND(ISNUMBER('SC Change Orders'!$C108),'SC Change Orders'!$C108&gt;=Controls!$C$5,'SC Change Orders'!$C108&lt;=Controls!$C$6),"Yes","No"))</f>
        <v/>
      </c>
      <c r="J126" s="31" t="str">
        <f aca="false">IF($A126="","",IF($K126="","OK",$K126))</f>
        <v/>
      </c>
      <c r="K126" s="0" t="str">
        <f aca="false">IF($A126="","",IF(NOT(ISNUMBER('SC Change Orders'!$B108)),"PO not numeric — row is invisible to the tracker; ","")&amp;IF(NOT(ISNUMBER('SC Change Orders'!$C108)),"Date missing or text — row excluded; ",  IF(OR('SC Change Orders'!$C108&lt;Controls!$C$5,'SC Change Orders'!$C108&gt;Controls!$C$6),"Dated outside the FY window — excluded; ",""))&amp;IF(AND('SC Change Orders'!$E108&lt;&gt;"",NOT(ISNUMBER('SC Change Orders'!$E108))),"Original Amount held as text — ignored by MINIFS; ","")&amp;IF(AND('SC Change Orders'!$F108&lt;&gt;"",NOT(ISNUMBER('SC Change Orders'!$F108))),"Amount Added held as text — ignored by SUMIFS; ","")&amp;IF(ISNUMBER('SC Change Orders'!$E108),IF(ISNUMBER('SC Change Orders'!$F108),IF(ISNUMBER('SC Change Orders'!$G108),  IF('SC Change Orders'!$G108&gt;0,IF(ROUND('SC Change Orders'!$E108+'SC Change Orders'!$F108,2)&lt;&gt;ROUND('SC Change Orders'!$G108,2),  "Original + Added &lt;&gt; Total Line Cost Allotted; ",""),""),""),""),"")&amp;IF(AND(ISNUMBER('SC Change Orders'!$B108),COUNTIFS('SC Change Orders'!$B$2:$B$501,'SC Change Orders'!$B108,'SC Change Orders'!$C$2:$C$501,'SC Change Orders'!$C108,'SC Change Orders'!$D$2:$D$501,'SC Change Orders'!$D108,'SC Change Orders'!$F$2:$F$501,'SC Change Orders'!$F108,'SC Change Orders'!$E$2:$E$501,'SC Change Orders'!$E108)&gt;1),"Duplicate of another row — funds counted twice; ","")&amp;IF(ISNUMBER('SC Change Orders'!$F108),IF('SC Change Orders'!$F108&lt;&gt;0,IF(AND(ISNUMBER('SC Change Orders'!$B108),NOT(COUNTIFS('SC Change Orders'!$B$2:$B$501,'SC Change Orders'!$B108,'SC Change Orders'!$C$2:$C$501,'SC Change Orders'!$C108,'SC Change Orders'!$D$2:$D$501,'SC Change Orders'!$D108,'SC Change Orders'!$F$2:$F$501,'SC Change Orders'!$F108,'SC Change Orders'!$E$2:$E$501,'SC Change Orders'!$E108)&gt;1),COUNTIFS('SC Change Orders'!$B$2:$B$501,'SC Change Orders'!$B108,'SC Change Orders'!$F$2:$F$501,'SC Change Orders'!$F108)&gt;1),  "Same PO and Amount Added as another row — check for a restatement counted twice; ",""),""),""))</f>
        <v/>
      </c>
    </row>
    <row r="127" customFormat="false" ht="15" hidden="false" customHeight="false" outlineLevel="0" collapsed="false">
      <c r="A127" s="18" t="str">
        <f aca="false">IF(AND('SC Change Orders'!$A109="",'SC Change Orders'!$B109="",'SC Change Orders'!$C109=""),"",109)</f>
        <v/>
      </c>
      <c r="B127" s="31" t="str">
        <f aca="false">IF($A127="","",'SC Change Orders'!$A109)</f>
        <v/>
      </c>
      <c r="C127" s="18" t="str">
        <f aca="false">IF($A127="","",'SC Change Orders'!$B109)</f>
        <v/>
      </c>
      <c r="D127" s="32" t="str">
        <f aca="false">IF($A127="","",'SC Change Orders'!$C109)</f>
        <v/>
      </c>
      <c r="E127" s="31" t="str">
        <f aca="false">IF($A127="","",'SC Change Orders'!$D109)</f>
        <v/>
      </c>
      <c r="F127" s="33" t="str">
        <f aca="false">IF($A127="","",'SC Change Orders'!$E109)</f>
        <v/>
      </c>
      <c r="G127" s="33" t="str">
        <f aca="false">IF($A127="","",'SC Change Orders'!$F109)</f>
        <v/>
      </c>
      <c r="H127" s="33" t="str">
        <f aca="false">IF($A127="","",'SC Change Orders'!$G109)</f>
        <v/>
      </c>
      <c r="I127" s="34" t="str">
        <f aca="false">IF($A127="","",IF(AND(ISNUMBER('SC Change Orders'!$C109),'SC Change Orders'!$C109&gt;=Controls!$C$5,'SC Change Orders'!$C109&lt;=Controls!$C$6),"Yes","No"))</f>
        <v/>
      </c>
      <c r="J127" s="31" t="str">
        <f aca="false">IF($A127="","",IF($K127="","OK",$K127))</f>
        <v/>
      </c>
      <c r="K127" s="0" t="str">
        <f aca="false">IF($A127="","",IF(NOT(ISNUMBER('SC Change Orders'!$B109)),"PO not numeric — row is invisible to the tracker; ","")&amp;IF(NOT(ISNUMBER('SC Change Orders'!$C109)),"Date missing or text — row excluded; ",  IF(OR('SC Change Orders'!$C109&lt;Controls!$C$5,'SC Change Orders'!$C109&gt;Controls!$C$6),"Dated outside the FY window — excluded; ",""))&amp;IF(AND('SC Change Orders'!$E109&lt;&gt;"",NOT(ISNUMBER('SC Change Orders'!$E109))),"Original Amount held as text — ignored by MINIFS; ","")&amp;IF(AND('SC Change Orders'!$F109&lt;&gt;"",NOT(ISNUMBER('SC Change Orders'!$F109))),"Amount Added held as text — ignored by SUMIFS; ","")&amp;IF(ISNUMBER('SC Change Orders'!$E109),IF(ISNUMBER('SC Change Orders'!$F109),IF(ISNUMBER('SC Change Orders'!$G109),  IF('SC Change Orders'!$G109&gt;0,IF(ROUND('SC Change Orders'!$E109+'SC Change Orders'!$F109,2)&lt;&gt;ROUND('SC Change Orders'!$G109,2),  "Original + Added &lt;&gt; Total Line Cost Allotted; ",""),""),""),""),"")&amp;IF(AND(ISNUMBER('SC Change Orders'!$B109),COUNTIFS('SC Change Orders'!$B$2:$B$501,'SC Change Orders'!$B109,'SC Change Orders'!$C$2:$C$501,'SC Change Orders'!$C109,'SC Change Orders'!$D$2:$D$501,'SC Change Orders'!$D109,'SC Change Orders'!$F$2:$F$501,'SC Change Orders'!$F109,'SC Change Orders'!$E$2:$E$501,'SC Change Orders'!$E109)&gt;1),"Duplicate of another row — funds counted twice; ","")&amp;IF(ISNUMBER('SC Change Orders'!$F109),IF('SC Change Orders'!$F109&lt;&gt;0,IF(AND(ISNUMBER('SC Change Orders'!$B109),NOT(COUNTIFS('SC Change Orders'!$B$2:$B$501,'SC Change Orders'!$B109,'SC Change Orders'!$C$2:$C$501,'SC Change Orders'!$C109,'SC Change Orders'!$D$2:$D$501,'SC Change Orders'!$D109,'SC Change Orders'!$F$2:$F$501,'SC Change Orders'!$F109,'SC Change Orders'!$E$2:$E$501,'SC Change Orders'!$E109)&gt;1),COUNTIFS('SC Change Orders'!$B$2:$B$501,'SC Change Orders'!$B109,'SC Change Orders'!$F$2:$F$501,'SC Change Orders'!$F109)&gt;1),  "Same PO and Amount Added as another row — check for a restatement counted twice; ",""),""),""))</f>
        <v/>
      </c>
    </row>
    <row r="128" customFormat="false" ht="15" hidden="false" customHeight="false" outlineLevel="0" collapsed="false">
      <c r="A128" s="18" t="str">
        <f aca="false">IF(AND('SC Change Orders'!$A110="",'SC Change Orders'!$B110="",'SC Change Orders'!$C110=""),"",110)</f>
        <v/>
      </c>
      <c r="B128" s="31" t="str">
        <f aca="false">IF($A128="","",'SC Change Orders'!$A110)</f>
        <v/>
      </c>
      <c r="C128" s="18" t="str">
        <f aca="false">IF($A128="","",'SC Change Orders'!$B110)</f>
        <v/>
      </c>
      <c r="D128" s="32" t="str">
        <f aca="false">IF($A128="","",'SC Change Orders'!$C110)</f>
        <v/>
      </c>
      <c r="E128" s="31" t="str">
        <f aca="false">IF($A128="","",'SC Change Orders'!$D110)</f>
        <v/>
      </c>
      <c r="F128" s="33" t="str">
        <f aca="false">IF($A128="","",'SC Change Orders'!$E110)</f>
        <v/>
      </c>
      <c r="G128" s="33" t="str">
        <f aca="false">IF($A128="","",'SC Change Orders'!$F110)</f>
        <v/>
      </c>
      <c r="H128" s="33" t="str">
        <f aca="false">IF($A128="","",'SC Change Orders'!$G110)</f>
        <v/>
      </c>
      <c r="I128" s="34" t="str">
        <f aca="false">IF($A128="","",IF(AND(ISNUMBER('SC Change Orders'!$C110),'SC Change Orders'!$C110&gt;=Controls!$C$5,'SC Change Orders'!$C110&lt;=Controls!$C$6),"Yes","No"))</f>
        <v/>
      </c>
      <c r="J128" s="31" t="str">
        <f aca="false">IF($A128="","",IF($K128="","OK",$K128))</f>
        <v/>
      </c>
      <c r="K128" s="0" t="str">
        <f aca="false">IF($A128="","",IF(NOT(ISNUMBER('SC Change Orders'!$B110)),"PO not numeric — row is invisible to the tracker; ","")&amp;IF(NOT(ISNUMBER('SC Change Orders'!$C110)),"Date missing or text — row excluded; ",  IF(OR('SC Change Orders'!$C110&lt;Controls!$C$5,'SC Change Orders'!$C110&gt;Controls!$C$6),"Dated outside the FY window — excluded; ",""))&amp;IF(AND('SC Change Orders'!$E110&lt;&gt;"",NOT(ISNUMBER('SC Change Orders'!$E110))),"Original Amount held as text — ignored by MINIFS; ","")&amp;IF(AND('SC Change Orders'!$F110&lt;&gt;"",NOT(ISNUMBER('SC Change Orders'!$F110))),"Amount Added held as text — ignored by SUMIFS; ","")&amp;IF(ISNUMBER('SC Change Orders'!$E110),IF(ISNUMBER('SC Change Orders'!$F110),IF(ISNUMBER('SC Change Orders'!$G110),  IF('SC Change Orders'!$G110&gt;0,IF(ROUND('SC Change Orders'!$E110+'SC Change Orders'!$F110,2)&lt;&gt;ROUND('SC Change Orders'!$G110,2),  "Original + Added &lt;&gt; Total Line Cost Allotted; ",""),""),""),""),"")&amp;IF(AND(ISNUMBER('SC Change Orders'!$B110),COUNTIFS('SC Change Orders'!$B$2:$B$501,'SC Change Orders'!$B110,'SC Change Orders'!$C$2:$C$501,'SC Change Orders'!$C110,'SC Change Orders'!$D$2:$D$501,'SC Change Orders'!$D110,'SC Change Orders'!$F$2:$F$501,'SC Change Orders'!$F110,'SC Change Orders'!$E$2:$E$501,'SC Change Orders'!$E110)&gt;1),"Duplicate of another row — funds counted twice; ","")&amp;IF(ISNUMBER('SC Change Orders'!$F110),IF('SC Change Orders'!$F110&lt;&gt;0,IF(AND(ISNUMBER('SC Change Orders'!$B110),NOT(COUNTIFS('SC Change Orders'!$B$2:$B$501,'SC Change Orders'!$B110,'SC Change Orders'!$C$2:$C$501,'SC Change Orders'!$C110,'SC Change Orders'!$D$2:$D$501,'SC Change Orders'!$D110,'SC Change Orders'!$F$2:$F$501,'SC Change Orders'!$F110,'SC Change Orders'!$E$2:$E$501,'SC Change Orders'!$E110)&gt;1),COUNTIFS('SC Change Orders'!$B$2:$B$501,'SC Change Orders'!$B110,'SC Change Orders'!$F$2:$F$501,'SC Change Orders'!$F110)&gt;1),  "Same PO and Amount Added as another row — check for a restatement counted twice; ",""),""),""))</f>
        <v/>
      </c>
    </row>
    <row r="129" customFormat="false" ht="15" hidden="false" customHeight="false" outlineLevel="0" collapsed="false">
      <c r="A129" s="18" t="str">
        <f aca="false">IF(AND('SC Change Orders'!$A111="",'SC Change Orders'!$B111="",'SC Change Orders'!$C111=""),"",111)</f>
        <v/>
      </c>
      <c r="B129" s="31" t="str">
        <f aca="false">IF($A129="","",'SC Change Orders'!$A111)</f>
        <v/>
      </c>
      <c r="C129" s="18" t="str">
        <f aca="false">IF($A129="","",'SC Change Orders'!$B111)</f>
        <v/>
      </c>
      <c r="D129" s="32" t="str">
        <f aca="false">IF($A129="","",'SC Change Orders'!$C111)</f>
        <v/>
      </c>
      <c r="E129" s="31" t="str">
        <f aca="false">IF($A129="","",'SC Change Orders'!$D111)</f>
        <v/>
      </c>
      <c r="F129" s="33" t="str">
        <f aca="false">IF($A129="","",'SC Change Orders'!$E111)</f>
        <v/>
      </c>
      <c r="G129" s="33" t="str">
        <f aca="false">IF($A129="","",'SC Change Orders'!$F111)</f>
        <v/>
      </c>
      <c r="H129" s="33" t="str">
        <f aca="false">IF($A129="","",'SC Change Orders'!$G111)</f>
        <v/>
      </c>
      <c r="I129" s="34" t="str">
        <f aca="false">IF($A129="","",IF(AND(ISNUMBER('SC Change Orders'!$C111),'SC Change Orders'!$C111&gt;=Controls!$C$5,'SC Change Orders'!$C111&lt;=Controls!$C$6),"Yes","No"))</f>
        <v/>
      </c>
      <c r="J129" s="31" t="str">
        <f aca="false">IF($A129="","",IF($K129="","OK",$K129))</f>
        <v/>
      </c>
      <c r="K129" s="0" t="str">
        <f aca="false">IF($A129="","",IF(NOT(ISNUMBER('SC Change Orders'!$B111)),"PO not numeric — row is invisible to the tracker; ","")&amp;IF(NOT(ISNUMBER('SC Change Orders'!$C111)),"Date missing or text — row excluded; ",  IF(OR('SC Change Orders'!$C111&lt;Controls!$C$5,'SC Change Orders'!$C111&gt;Controls!$C$6),"Dated outside the FY window — excluded; ",""))&amp;IF(AND('SC Change Orders'!$E111&lt;&gt;"",NOT(ISNUMBER('SC Change Orders'!$E111))),"Original Amount held as text — ignored by MINIFS; ","")&amp;IF(AND('SC Change Orders'!$F111&lt;&gt;"",NOT(ISNUMBER('SC Change Orders'!$F111))),"Amount Added held as text — ignored by SUMIFS; ","")&amp;IF(ISNUMBER('SC Change Orders'!$E111),IF(ISNUMBER('SC Change Orders'!$F111),IF(ISNUMBER('SC Change Orders'!$G111),  IF('SC Change Orders'!$G111&gt;0,IF(ROUND('SC Change Orders'!$E111+'SC Change Orders'!$F111,2)&lt;&gt;ROUND('SC Change Orders'!$G111,2),  "Original + Added &lt;&gt; Total Line Cost Allotted; ",""),""),""),""),"")&amp;IF(AND(ISNUMBER('SC Change Orders'!$B111),COUNTIFS('SC Change Orders'!$B$2:$B$501,'SC Change Orders'!$B111,'SC Change Orders'!$C$2:$C$501,'SC Change Orders'!$C111,'SC Change Orders'!$D$2:$D$501,'SC Change Orders'!$D111,'SC Change Orders'!$F$2:$F$501,'SC Change Orders'!$F111,'SC Change Orders'!$E$2:$E$501,'SC Change Orders'!$E111)&gt;1),"Duplicate of another row — funds counted twice; ","")&amp;IF(ISNUMBER('SC Change Orders'!$F111),IF('SC Change Orders'!$F111&lt;&gt;0,IF(AND(ISNUMBER('SC Change Orders'!$B111),NOT(COUNTIFS('SC Change Orders'!$B$2:$B$501,'SC Change Orders'!$B111,'SC Change Orders'!$C$2:$C$501,'SC Change Orders'!$C111,'SC Change Orders'!$D$2:$D$501,'SC Change Orders'!$D111,'SC Change Orders'!$F$2:$F$501,'SC Change Orders'!$F111,'SC Change Orders'!$E$2:$E$501,'SC Change Orders'!$E111)&gt;1),COUNTIFS('SC Change Orders'!$B$2:$B$501,'SC Change Orders'!$B111,'SC Change Orders'!$F$2:$F$501,'SC Change Orders'!$F111)&gt;1),  "Same PO and Amount Added as another row — check for a restatement counted twice; ",""),""),""))</f>
        <v/>
      </c>
    </row>
    <row r="130" customFormat="false" ht="15" hidden="false" customHeight="false" outlineLevel="0" collapsed="false">
      <c r="A130" s="18" t="str">
        <f aca="false">IF(AND('SC Change Orders'!$A112="",'SC Change Orders'!$B112="",'SC Change Orders'!$C112=""),"",112)</f>
        <v/>
      </c>
      <c r="B130" s="31" t="str">
        <f aca="false">IF($A130="","",'SC Change Orders'!$A112)</f>
        <v/>
      </c>
      <c r="C130" s="18" t="str">
        <f aca="false">IF($A130="","",'SC Change Orders'!$B112)</f>
        <v/>
      </c>
      <c r="D130" s="32" t="str">
        <f aca="false">IF($A130="","",'SC Change Orders'!$C112)</f>
        <v/>
      </c>
      <c r="E130" s="31" t="str">
        <f aca="false">IF($A130="","",'SC Change Orders'!$D112)</f>
        <v/>
      </c>
      <c r="F130" s="33" t="str">
        <f aca="false">IF($A130="","",'SC Change Orders'!$E112)</f>
        <v/>
      </c>
      <c r="G130" s="33" t="str">
        <f aca="false">IF($A130="","",'SC Change Orders'!$F112)</f>
        <v/>
      </c>
      <c r="H130" s="33" t="str">
        <f aca="false">IF($A130="","",'SC Change Orders'!$G112)</f>
        <v/>
      </c>
      <c r="I130" s="34" t="str">
        <f aca="false">IF($A130="","",IF(AND(ISNUMBER('SC Change Orders'!$C112),'SC Change Orders'!$C112&gt;=Controls!$C$5,'SC Change Orders'!$C112&lt;=Controls!$C$6),"Yes","No"))</f>
        <v/>
      </c>
      <c r="J130" s="31" t="str">
        <f aca="false">IF($A130="","",IF($K130="","OK",$K130))</f>
        <v/>
      </c>
      <c r="K130" s="0" t="str">
        <f aca="false">IF($A130="","",IF(NOT(ISNUMBER('SC Change Orders'!$B112)),"PO not numeric — row is invisible to the tracker; ","")&amp;IF(NOT(ISNUMBER('SC Change Orders'!$C112)),"Date missing or text — row excluded; ",  IF(OR('SC Change Orders'!$C112&lt;Controls!$C$5,'SC Change Orders'!$C112&gt;Controls!$C$6),"Dated outside the FY window — excluded; ",""))&amp;IF(AND('SC Change Orders'!$E112&lt;&gt;"",NOT(ISNUMBER('SC Change Orders'!$E112))),"Original Amount held as text — ignored by MINIFS; ","")&amp;IF(AND('SC Change Orders'!$F112&lt;&gt;"",NOT(ISNUMBER('SC Change Orders'!$F112))),"Amount Added held as text — ignored by SUMIFS; ","")&amp;IF(ISNUMBER('SC Change Orders'!$E112),IF(ISNUMBER('SC Change Orders'!$F112),IF(ISNUMBER('SC Change Orders'!$G112),  IF('SC Change Orders'!$G112&gt;0,IF(ROUND('SC Change Orders'!$E112+'SC Change Orders'!$F112,2)&lt;&gt;ROUND('SC Change Orders'!$G112,2),  "Original + Added &lt;&gt; Total Line Cost Allotted; ",""),""),""),""),"")&amp;IF(AND(ISNUMBER('SC Change Orders'!$B112),COUNTIFS('SC Change Orders'!$B$2:$B$501,'SC Change Orders'!$B112,'SC Change Orders'!$C$2:$C$501,'SC Change Orders'!$C112,'SC Change Orders'!$D$2:$D$501,'SC Change Orders'!$D112,'SC Change Orders'!$F$2:$F$501,'SC Change Orders'!$F112,'SC Change Orders'!$E$2:$E$501,'SC Change Orders'!$E112)&gt;1),"Duplicate of another row — funds counted twice; ","")&amp;IF(ISNUMBER('SC Change Orders'!$F112),IF('SC Change Orders'!$F112&lt;&gt;0,IF(AND(ISNUMBER('SC Change Orders'!$B112),NOT(COUNTIFS('SC Change Orders'!$B$2:$B$501,'SC Change Orders'!$B112,'SC Change Orders'!$C$2:$C$501,'SC Change Orders'!$C112,'SC Change Orders'!$D$2:$D$501,'SC Change Orders'!$D112,'SC Change Orders'!$F$2:$F$501,'SC Change Orders'!$F112,'SC Change Orders'!$E$2:$E$501,'SC Change Orders'!$E112)&gt;1),COUNTIFS('SC Change Orders'!$B$2:$B$501,'SC Change Orders'!$B112,'SC Change Orders'!$F$2:$F$501,'SC Change Orders'!$F112)&gt;1),  "Same PO and Amount Added as another row — check for a restatement counted twice; ",""),""),""))</f>
        <v/>
      </c>
    </row>
    <row r="131" customFormat="false" ht="15" hidden="false" customHeight="false" outlineLevel="0" collapsed="false">
      <c r="A131" s="18" t="str">
        <f aca="false">IF(AND('SC Change Orders'!$A113="",'SC Change Orders'!$B113="",'SC Change Orders'!$C113=""),"",113)</f>
        <v/>
      </c>
      <c r="B131" s="31" t="str">
        <f aca="false">IF($A131="","",'SC Change Orders'!$A113)</f>
        <v/>
      </c>
      <c r="C131" s="18" t="str">
        <f aca="false">IF($A131="","",'SC Change Orders'!$B113)</f>
        <v/>
      </c>
      <c r="D131" s="32" t="str">
        <f aca="false">IF($A131="","",'SC Change Orders'!$C113)</f>
        <v/>
      </c>
      <c r="E131" s="31" t="str">
        <f aca="false">IF($A131="","",'SC Change Orders'!$D113)</f>
        <v/>
      </c>
      <c r="F131" s="33" t="str">
        <f aca="false">IF($A131="","",'SC Change Orders'!$E113)</f>
        <v/>
      </c>
      <c r="G131" s="33" t="str">
        <f aca="false">IF($A131="","",'SC Change Orders'!$F113)</f>
        <v/>
      </c>
      <c r="H131" s="33" t="str">
        <f aca="false">IF($A131="","",'SC Change Orders'!$G113)</f>
        <v/>
      </c>
      <c r="I131" s="34" t="str">
        <f aca="false">IF($A131="","",IF(AND(ISNUMBER('SC Change Orders'!$C113),'SC Change Orders'!$C113&gt;=Controls!$C$5,'SC Change Orders'!$C113&lt;=Controls!$C$6),"Yes","No"))</f>
        <v/>
      </c>
      <c r="J131" s="31" t="str">
        <f aca="false">IF($A131="","",IF($K131="","OK",$K131))</f>
        <v/>
      </c>
      <c r="K131" s="0" t="str">
        <f aca="false">IF($A131="","",IF(NOT(ISNUMBER('SC Change Orders'!$B113)),"PO not numeric — row is invisible to the tracker; ","")&amp;IF(NOT(ISNUMBER('SC Change Orders'!$C113)),"Date missing or text — row excluded; ",  IF(OR('SC Change Orders'!$C113&lt;Controls!$C$5,'SC Change Orders'!$C113&gt;Controls!$C$6),"Dated outside the FY window — excluded; ",""))&amp;IF(AND('SC Change Orders'!$E113&lt;&gt;"",NOT(ISNUMBER('SC Change Orders'!$E113))),"Original Amount held as text — ignored by MINIFS; ","")&amp;IF(AND('SC Change Orders'!$F113&lt;&gt;"",NOT(ISNUMBER('SC Change Orders'!$F113))),"Amount Added held as text — ignored by SUMIFS; ","")&amp;IF(ISNUMBER('SC Change Orders'!$E113),IF(ISNUMBER('SC Change Orders'!$F113),IF(ISNUMBER('SC Change Orders'!$G113),  IF('SC Change Orders'!$G113&gt;0,IF(ROUND('SC Change Orders'!$E113+'SC Change Orders'!$F113,2)&lt;&gt;ROUND('SC Change Orders'!$G113,2),  "Original + Added &lt;&gt; Total Line Cost Allotted; ",""),""),""),""),"")&amp;IF(AND(ISNUMBER('SC Change Orders'!$B113),COUNTIFS('SC Change Orders'!$B$2:$B$501,'SC Change Orders'!$B113,'SC Change Orders'!$C$2:$C$501,'SC Change Orders'!$C113,'SC Change Orders'!$D$2:$D$501,'SC Change Orders'!$D113,'SC Change Orders'!$F$2:$F$501,'SC Change Orders'!$F113,'SC Change Orders'!$E$2:$E$501,'SC Change Orders'!$E113)&gt;1),"Duplicate of another row — funds counted twice; ","")&amp;IF(ISNUMBER('SC Change Orders'!$F113),IF('SC Change Orders'!$F113&lt;&gt;0,IF(AND(ISNUMBER('SC Change Orders'!$B113),NOT(COUNTIFS('SC Change Orders'!$B$2:$B$501,'SC Change Orders'!$B113,'SC Change Orders'!$C$2:$C$501,'SC Change Orders'!$C113,'SC Change Orders'!$D$2:$D$501,'SC Change Orders'!$D113,'SC Change Orders'!$F$2:$F$501,'SC Change Orders'!$F113,'SC Change Orders'!$E$2:$E$501,'SC Change Orders'!$E113)&gt;1),COUNTIFS('SC Change Orders'!$B$2:$B$501,'SC Change Orders'!$B113,'SC Change Orders'!$F$2:$F$501,'SC Change Orders'!$F113)&gt;1),  "Same PO and Amount Added as another row — check for a restatement counted twice; ",""),""),""))</f>
        <v/>
      </c>
    </row>
    <row r="132" customFormat="false" ht="15" hidden="false" customHeight="false" outlineLevel="0" collapsed="false">
      <c r="A132" s="18" t="str">
        <f aca="false">IF(AND('SC Change Orders'!$A114="",'SC Change Orders'!$B114="",'SC Change Orders'!$C114=""),"",114)</f>
        <v/>
      </c>
      <c r="B132" s="31" t="str">
        <f aca="false">IF($A132="","",'SC Change Orders'!$A114)</f>
        <v/>
      </c>
      <c r="C132" s="18" t="str">
        <f aca="false">IF($A132="","",'SC Change Orders'!$B114)</f>
        <v/>
      </c>
      <c r="D132" s="32" t="str">
        <f aca="false">IF($A132="","",'SC Change Orders'!$C114)</f>
        <v/>
      </c>
      <c r="E132" s="31" t="str">
        <f aca="false">IF($A132="","",'SC Change Orders'!$D114)</f>
        <v/>
      </c>
      <c r="F132" s="33" t="str">
        <f aca="false">IF($A132="","",'SC Change Orders'!$E114)</f>
        <v/>
      </c>
      <c r="G132" s="33" t="str">
        <f aca="false">IF($A132="","",'SC Change Orders'!$F114)</f>
        <v/>
      </c>
      <c r="H132" s="33" t="str">
        <f aca="false">IF($A132="","",'SC Change Orders'!$G114)</f>
        <v/>
      </c>
      <c r="I132" s="34" t="str">
        <f aca="false">IF($A132="","",IF(AND(ISNUMBER('SC Change Orders'!$C114),'SC Change Orders'!$C114&gt;=Controls!$C$5,'SC Change Orders'!$C114&lt;=Controls!$C$6),"Yes","No"))</f>
        <v/>
      </c>
      <c r="J132" s="31" t="str">
        <f aca="false">IF($A132="","",IF($K132="","OK",$K132))</f>
        <v/>
      </c>
      <c r="K132" s="0" t="str">
        <f aca="false">IF($A132="","",IF(NOT(ISNUMBER('SC Change Orders'!$B114)),"PO not numeric — row is invisible to the tracker; ","")&amp;IF(NOT(ISNUMBER('SC Change Orders'!$C114)),"Date missing or text — row excluded; ",  IF(OR('SC Change Orders'!$C114&lt;Controls!$C$5,'SC Change Orders'!$C114&gt;Controls!$C$6),"Dated outside the FY window — excluded; ",""))&amp;IF(AND('SC Change Orders'!$E114&lt;&gt;"",NOT(ISNUMBER('SC Change Orders'!$E114))),"Original Amount held as text — ignored by MINIFS; ","")&amp;IF(AND('SC Change Orders'!$F114&lt;&gt;"",NOT(ISNUMBER('SC Change Orders'!$F114))),"Amount Added held as text — ignored by SUMIFS; ","")&amp;IF(ISNUMBER('SC Change Orders'!$E114),IF(ISNUMBER('SC Change Orders'!$F114),IF(ISNUMBER('SC Change Orders'!$G114),  IF('SC Change Orders'!$G114&gt;0,IF(ROUND('SC Change Orders'!$E114+'SC Change Orders'!$F114,2)&lt;&gt;ROUND('SC Change Orders'!$G114,2),  "Original + Added &lt;&gt; Total Line Cost Allotted; ",""),""),""),""),"")&amp;IF(AND(ISNUMBER('SC Change Orders'!$B114),COUNTIFS('SC Change Orders'!$B$2:$B$501,'SC Change Orders'!$B114,'SC Change Orders'!$C$2:$C$501,'SC Change Orders'!$C114,'SC Change Orders'!$D$2:$D$501,'SC Change Orders'!$D114,'SC Change Orders'!$F$2:$F$501,'SC Change Orders'!$F114,'SC Change Orders'!$E$2:$E$501,'SC Change Orders'!$E114)&gt;1),"Duplicate of another row — funds counted twice; ","")&amp;IF(ISNUMBER('SC Change Orders'!$F114),IF('SC Change Orders'!$F114&lt;&gt;0,IF(AND(ISNUMBER('SC Change Orders'!$B114),NOT(COUNTIFS('SC Change Orders'!$B$2:$B$501,'SC Change Orders'!$B114,'SC Change Orders'!$C$2:$C$501,'SC Change Orders'!$C114,'SC Change Orders'!$D$2:$D$501,'SC Change Orders'!$D114,'SC Change Orders'!$F$2:$F$501,'SC Change Orders'!$F114,'SC Change Orders'!$E$2:$E$501,'SC Change Orders'!$E114)&gt;1),COUNTIFS('SC Change Orders'!$B$2:$B$501,'SC Change Orders'!$B114,'SC Change Orders'!$F$2:$F$501,'SC Change Orders'!$F114)&gt;1),  "Same PO and Amount Added as another row — check for a restatement counted twice; ",""),""),""))</f>
        <v/>
      </c>
    </row>
    <row r="133" customFormat="false" ht="15" hidden="false" customHeight="false" outlineLevel="0" collapsed="false">
      <c r="A133" s="18" t="str">
        <f aca="false">IF(AND('SC Change Orders'!$A115="",'SC Change Orders'!$B115="",'SC Change Orders'!$C115=""),"",115)</f>
        <v/>
      </c>
      <c r="B133" s="31" t="str">
        <f aca="false">IF($A133="","",'SC Change Orders'!$A115)</f>
        <v/>
      </c>
      <c r="C133" s="18" t="str">
        <f aca="false">IF($A133="","",'SC Change Orders'!$B115)</f>
        <v/>
      </c>
      <c r="D133" s="32" t="str">
        <f aca="false">IF($A133="","",'SC Change Orders'!$C115)</f>
        <v/>
      </c>
      <c r="E133" s="31" t="str">
        <f aca="false">IF($A133="","",'SC Change Orders'!$D115)</f>
        <v/>
      </c>
      <c r="F133" s="33" t="str">
        <f aca="false">IF($A133="","",'SC Change Orders'!$E115)</f>
        <v/>
      </c>
      <c r="G133" s="33" t="str">
        <f aca="false">IF($A133="","",'SC Change Orders'!$F115)</f>
        <v/>
      </c>
      <c r="H133" s="33" t="str">
        <f aca="false">IF($A133="","",'SC Change Orders'!$G115)</f>
        <v/>
      </c>
      <c r="I133" s="34" t="str">
        <f aca="false">IF($A133="","",IF(AND(ISNUMBER('SC Change Orders'!$C115),'SC Change Orders'!$C115&gt;=Controls!$C$5,'SC Change Orders'!$C115&lt;=Controls!$C$6),"Yes","No"))</f>
        <v/>
      </c>
      <c r="J133" s="31" t="str">
        <f aca="false">IF($A133="","",IF($K133="","OK",$K133))</f>
        <v/>
      </c>
      <c r="K133" s="0" t="str">
        <f aca="false">IF($A133="","",IF(NOT(ISNUMBER('SC Change Orders'!$B115)),"PO not numeric — row is invisible to the tracker; ","")&amp;IF(NOT(ISNUMBER('SC Change Orders'!$C115)),"Date missing or text — row excluded; ",  IF(OR('SC Change Orders'!$C115&lt;Controls!$C$5,'SC Change Orders'!$C115&gt;Controls!$C$6),"Dated outside the FY window — excluded; ",""))&amp;IF(AND('SC Change Orders'!$E115&lt;&gt;"",NOT(ISNUMBER('SC Change Orders'!$E115))),"Original Amount held as text — ignored by MINIFS; ","")&amp;IF(AND('SC Change Orders'!$F115&lt;&gt;"",NOT(ISNUMBER('SC Change Orders'!$F115))),"Amount Added held as text — ignored by SUMIFS; ","")&amp;IF(ISNUMBER('SC Change Orders'!$E115),IF(ISNUMBER('SC Change Orders'!$F115),IF(ISNUMBER('SC Change Orders'!$G115),  IF('SC Change Orders'!$G115&gt;0,IF(ROUND('SC Change Orders'!$E115+'SC Change Orders'!$F115,2)&lt;&gt;ROUND('SC Change Orders'!$G115,2),  "Original + Added &lt;&gt; Total Line Cost Allotted; ",""),""),""),""),"")&amp;IF(AND(ISNUMBER('SC Change Orders'!$B115),COUNTIFS('SC Change Orders'!$B$2:$B$501,'SC Change Orders'!$B115,'SC Change Orders'!$C$2:$C$501,'SC Change Orders'!$C115,'SC Change Orders'!$D$2:$D$501,'SC Change Orders'!$D115,'SC Change Orders'!$F$2:$F$501,'SC Change Orders'!$F115,'SC Change Orders'!$E$2:$E$501,'SC Change Orders'!$E115)&gt;1),"Duplicate of another row — funds counted twice; ","")&amp;IF(ISNUMBER('SC Change Orders'!$F115),IF('SC Change Orders'!$F115&lt;&gt;0,IF(AND(ISNUMBER('SC Change Orders'!$B115),NOT(COUNTIFS('SC Change Orders'!$B$2:$B$501,'SC Change Orders'!$B115,'SC Change Orders'!$C$2:$C$501,'SC Change Orders'!$C115,'SC Change Orders'!$D$2:$D$501,'SC Change Orders'!$D115,'SC Change Orders'!$F$2:$F$501,'SC Change Orders'!$F115,'SC Change Orders'!$E$2:$E$501,'SC Change Orders'!$E115)&gt;1),COUNTIFS('SC Change Orders'!$B$2:$B$501,'SC Change Orders'!$B115,'SC Change Orders'!$F$2:$F$501,'SC Change Orders'!$F115)&gt;1),  "Same PO and Amount Added as another row — check for a restatement counted twice; ",""),""),""))</f>
        <v/>
      </c>
    </row>
    <row r="134" customFormat="false" ht="15" hidden="false" customHeight="false" outlineLevel="0" collapsed="false">
      <c r="A134" s="18" t="str">
        <f aca="false">IF(AND('SC Change Orders'!$A116="",'SC Change Orders'!$B116="",'SC Change Orders'!$C116=""),"",116)</f>
        <v/>
      </c>
      <c r="B134" s="31" t="str">
        <f aca="false">IF($A134="","",'SC Change Orders'!$A116)</f>
        <v/>
      </c>
      <c r="C134" s="18" t="str">
        <f aca="false">IF($A134="","",'SC Change Orders'!$B116)</f>
        <v/>
      </c>
      <c r="D134" s="32" t="str">
        <f aca="false">IF($A134="","",'SC Change Orders'!$C116)</f>
        <v/>
      </c>
      <c r="E134" s="31" t="str">
        <f aca="false">IF($A134="","",'SC Change Orders'!$D116)</f>
        <v/>
      </c>
      <c r="F134" s="33" t="str">
        <f aca="false">IF($A134="","",'SC Change Orders'!$E116)</f>
        <v/>
      </c>
      <c r="G134" s="33" t="str">
        <f aca="false">IF($A134="","",'SC Change Orders'!$F116)</f>
        <v/>
      </c>
      <c r="H134" s="33" t="str">
        <f aca="false">IF($A134="","",'SC Change Orders'!$G116)</f>
        <v/>
      </c>
      <c r="I134" s="34" t="str">
        <f aca="false">IF($A134="","",IF(AND(ISNUMBER('SC Change Orders'!$C116),'SC Change Orders'!$C116&gt;=Controls!$C$5,'SC Change Orders'!$C116&lt;=Controls!$C$6),"Yes","No"))</f>
        <v/>
      </c>
      <c r="J134" s="31" t="str">
        <f aca="false">IF($A134="","",IF($K134="","OK",$K134))</f>
        <v/>
      </c>
      <c r="K134" s="0" t="str">
        <f aca="false">IF($A134="","",IF(NOT(ISNUMBER('SC Change Orders'!$B116)),"PO not numeric — row is invisible to the tracker; ","")&amp;IF(NOT(ISNUMBER('SC Change Orders'!$C116)),"Date missing or text — row excluded; ",  IF(OR('SC Change Orders'!$C116&lt;Controls!$C$5,'SC Change Orders'!$C116&gt;Controls!$C$6),"Dated outside the FY window — excluded; ",""))&amp;IF(AND('SC Change Orders'!$E116&lt;&gt;"",NOT(ISNUMBER('SC Change Orders'!$E116))),"Original Amount held as text — ignored by MINIFS; ","")&amp;IF(AND('SC Change Orders'!$F116&lt;&gt;"",NOT(ISNUMBER('SC Change Orders'!$F116))),"Amount Added held as text — ignored by SUMIFS; ","")&amp;IF(ISNUMBER('SC Change Orders'!$E116),IF(ISNUMBER('SC Change Orders'!$F116),IF(ISNUMBER('SC Change Orders'!$G116),  IF('SC Change Orders'!$G116&gt;0,IF(ROUND('SC Change Orders'!$E116+'SC Change Orders'!$F116,2)&lt;&gt;ROUND('SC Change Orders'!$G116,2),  "Original + Added &lt;&gt; Total Line Cost Allotted; ",""),""),""),""),"")&amp;IF(AND(ISNUMBER('SC Change Orders'!$B116),COUNTIFS('SC Change Orders'!$B$2:$B$501,'SC Change Orders'!$B116,'SC Change Orders'!$C$2:$C$501,'SC Change Orders'!$C116,'SC Change Orders'!$D$2:$D$501,'SC Change Orders'!$D116,'SC Change Orders'!$F$2:$F$501,'SC Change Orders'!$F116,'SC Change Orders'!$E$2:$E$501,'SC Change Orders'!$E116)&gt;1),"Duplicate of another row — funds counted twice; ","")&amp;IF(ISNUMBER('SC Change Orders'!$F116),IF('SC Change Orders'!$F116&lt;&gt;0,IF(AND(ISNUMBER('SC Change Orders'!$B116),NOT(COUNTIFS('SC Change Orders'!$B$2:$B$501,'SC Change Orders'!$B116,'SC Change Orders'!$C$2:$C$501,'SC Change Orders'!$C116,'SC Change Orders'!$D$2:$D$501,'SC Change Orders'!$D116,'SC Change Orders'!$F$2:$F$501,'SC Change Orders'!$F116,'SC Change Orders'!$E$2:$E$501,'SC Change Orders'!$E116)&gt;1),COUNTIFS('SC Change Orders'!$B$2:$B$501,'SC Change Orders'!$B116,'SC Change Orders'!$F$2:$F$501,'SC Change Orders'!$F116)&gt;1),  "Same PO and Amount Added as another row — check for a restatement counted twice; ",""),""),""))</f>
        <v/>
      </c>
    </row>
    <row r="135" customFormat="false" ht="15" hidden="false" customHeight="false" outlineLevel="0" collapsed="false">
      <c r="A135" s="18" t="str">
        <f aca="false">IF(AND('SC Change Orders'!$A117="",'SC Change Orders'!$B117="",'SC Change Orders'!$C117=""),"",117)</f>
        <v/>
      </c>
      <c r="B135" s="31" t="str">
        <f aca="false">IF($A135="","",'SC Change Orders'!$A117)</f>
        <v/>
      </c>
      <c r="C135" s="18" t="str">
        <f aca="false">IF($A135="","",'SC Change Orders'!$B117)</f>
        <v/>
      </c>
      <c r="D135" s="32" t="str">
        <f aca="false">IF($A135="","",'SC Change Orders'!$C117)</f>
        <v/>
      </c>
      <c r="E135" s="31" t="str">
        <f aca="false">IF($A135="","",'SC Change Orders'!$D117)</f>
        <v/>
      </c>
      <c r="F135" s="33" t="str">
        <f aca="false">IF($A135="","",'SC Change Orders'!$E117)</f>
        <v/>
      </c>
      <c r="G135" s="33" t="str">
        <f aca="false">IF($A135="","",'SC Change Orders'!$F117)</f>
        <v/>
      </c>
      <c r="H135" s="33" t="str">
        <f aca="false">IF($A135="","",'SC Change Orders'!$G117)</f>
        <v/>
      </c>
      <c r="I135" s="34" t="str">
        <f aca="false">IF($A135="","",IF(AND(ISNUMBER('SC Change Orders'!$C117),'SC Change Orders'!$C117&gt;=Controls!$C$5,'SC Change Orders'!$C117&lt;=Controls!$C$6),"Yes","No"))</f>
        <v/>
      </c>
      <c r="J135" s="31" t="str">
        <f aca="false">IF($A135="","",IF($K135="","OK",$K135))</f>
        <v/>
      </c>
      <c r="K135" s="0" t="str">
        <f aca="false">IF($A135="","",IF(NOT(ISNUMBER('SC Change Orders'!$B117)),"PO not numeric — row is invisible to the tracker; ","")&amp;IF(NOT(ISNUMBER('SC Change Orders'!$C117)),"Date missing or text — row excluded; ",  IF(OR('SC Change Orders'!$C117&lt;Controls!$C$5,'SC Change Orders'!$C117&gt;Controls!$C$6),"Dated outside the FY window — excluded; ",""))&amp;IF(AND('SC Change Orders'!$E117&lt;&gt;"",NOT(ISNUMBER('SC Change Orders'!$E117))),"Original Amount held as text — ignored by MINIFS; ","")&amp;IF(AND('SC Change Orders'!$F117&lt;&gt;"",NOT(ISNUMBER('SC Change Orders'!$F117))),"Amount Added held as text — ignored by SUMIFS; ","")&amp;IF(ISNUMBER('SC Change Orders'!$E117),IF(ISNUMBER('SC Change Orders'!$F117),IF(ISNUMBER('SC Change Orders'!$G117),  IF('SC Change Orders'!$G117&gt;0,IF(ROUND('SC Change Orders'!$E117+'SC Change Orders'!$F117,2)&lt;&gt;ROUND('SC Change Orders'!$G117,2),  "Original + Added &lt;&gt; Total Line Cost Allotted; ",""),""),""),""),"")&amp;IF(AND(ISNUMBER('SC Change Orders'!$B117),COUNTIFS('SC Change Orders'!$B$2:$B$501,'SC Change Orders'!$B117,'SC Change Orders'!$C$2:$C$501,'SC Change Orders'!$C117,'SC Change Orders'!$D$2:$D$501,'SC Change Orders'!$D117,'SC Change Orders'!$F$2:$F$501,'SC Change Orders'!$F117,'SC Change Orders'!$E$2:$E$501,'SC Change Orders'!$E117)&gt;1),"Duplicate of another row — funds counted twice; ","")&amp;IF(ISNUMBER('SC Change Orders'!$F117),IF('SC Change Orders'!$F117&lt;&gt;0,IF(AND(ISNUMBER('SC Change Orders'!$B117),NOT(COUNTIFS('SC Change Orders'!$B$2:$B$501,'SC Change Orders'!$B117,'SC Change Orders'!$C$2:$C$501,'SC Change Orders'!$C117,'SC Change Orders'!$D$2:$D$501,'SC Change Orders'!$D117,'SC Change Orders'!$F$2:$F$501,'SC Change Orders'!$F117,'SC Change Orders'!$E$2:$E$501,'SC Change Orders'!$E117)&gt;1),COUNTIFS('SC Change Orders'!$B$2:$B$501,'SC Change Orders'!$B117,'SC Change Orders'!$F$2:$F$501,'SC Change Orders'!$F117)&gt;1),  "Same PO and Amount Added as another row — check for a restatement counted twice; ",""),""),""))</f>
        <v/>
      </c>
    </row>
    <row r="136" customFormat="false" ht="15" hidden="false" customHeight="false" outlineLevel="0" collapsed="false">
      <c r="A136" s="18" t="str">
        <f aca="false">IF(AND('SC Change Orders'!$A118="",'SC Change Orders'!$B118="",'SC Change Orders'!$C118=""),"",118)</f>
        <v/>
      </c>
      <c r="B136" s="31" t="str">
        <f aca="false">IF($A136="","",'SC Change Orders'!$A118)</f>
        <v/>
      </c>
      <c r="C136" s="18" t="str">
        <f aca="false">IF($A136="","",'SC Change Orders'!$B118)</f>
        <v/>
      </c>
      <c r="D136" s="32" t="str">
        <f aca="false">IF($A136="","",'SC Change Orders'!$C118)</f>
        <v/>
      </c>
      <c r="E136" s="31" t="str">
        <f aca="false">IF($A136="","",'SC Change Orders'!$D118)</f>
        <v/>
      </c>
      <c r="F136" s="33" t="str">
        <f aca="false">IF($A136="","",'SC Change Orders'!$E118)</f>
        <v/>
      </c>
      <c r="G136" s="33" t="str">
        <f aca="false">IF($A136="","",'SC Change Orders'!$F118)</f>
        <v/>
      </c>
      <c r="H136" s="33" t="str">
        <f aca="false">IF($A136="","",'SC Change Orders'!$G118)</f>
        <v/>
      </c>
      <c r="I136" s="34" t="str">
        <f aca="false">IF($A136="","",IF(AND(ISNUMBER('SC Change Orders'!$C118),'SC Change Orders'!$C118&gt;=Controls!$C$5,'SC Change Orders'!$C118&lt;=Controls!$C$6),"Yes","No"))</f>
        <v/>
      </c>
      <c r="J136" s="31" t="str">
        <f aca="false">IF($A136="","",IF($K136="","OK",$K136))</f>
        <v/>
      </c>
      <c r="K136" s="0" t="str">
        <f aca="false">IF($A136="","",IF(NOT(ISNUMBER('SC Change Orders'!$B118)),"PO not numeric — row is invisible to the tracker; ","")&amp;IF(NOT(ISNUMBER('SC Change Orders'!$C118)),"Date missing or text — row excluded; ",  IF(OR('SC Change Orders'!$C118&lt;Controls!$C$5,'SC Change Orders'!$C118&gt;Controls!$C$6),"Dated outside the FY window — excluded; ",""))&amp;IF(AND('SC Change Orders'!$E118&lt;&gt;"",NOT(ISNUMBER('SC Change Orders'!$E118))),"Original Amount held as text — ignored by MINIFS; ","")&amp;IF(AND('SC Change Orders'!$F118&lt;&gt;"",NOT(ISNUMBER('SC Change Orders'!$F118))),"Amount Added held as text — ignored by SUMIFS; ","")&amp;IF(ISNUMBER('SC Change Orders'!$E118),IF(ISNUMBER('SC Change Orders'!$F118),IF(ISNUMBER('SC Change Orders'!$G118),  IF('SC Change Orders'!$G118&gt;0,IF(ROUND('SC Change Orders'!$E118+'SC Change Orders'!$F118,2)&lt;&gt;ROUND('SC Change Orders'!$G118,2),  "Original + Added &lt;&gt; Total Line Cost Allotted; ",""),""),""),""),"")&amp;IF(AND(ISNUMBER('SC Change Orders'!$B118),COUNTIFS('SC Change Orders'!$B$2:$B$501,'SC Change Orders'!$B118,'SC Change Orders'!$C$2:$C$501,'SC Change Orders'!$C118,'SC Change Orders'!$D$2:$D$501,'SC Change Orders'!$D118,'SC Change Orders'!$F$2:$F$501,'SC Change Orders'!$F118,'SC Change Orders'!$E$2:$E$501,'SC Change Orders'!$E118)&gt;1),"Duplicate of another row — funds counted twice; ","")&amp;IF(ISNUMBER('SC Change Orders'!$F118),IF('SC Change Orders'!$F118&lt;&gt;0,IF(AND(ISNUMBER('SC Change Orders'!$B118),NOT(COUNTIFS('SC Change Orders'!$B$2:$B$501,'SC Change Orders'!$B118,'SC Change Orders'!$C$2:$C$501,'SC Change Orders'!$C118,'SC Change Orders'!$D$2:$D$501,'SC Change Orders'!$D118,'SC Change Orders'!$F$2:$F$501,'SC Change Orders'!$F118,'SC Change Orders'!$E$2:$E$501,'SC Change Orders'!$E118)&gt;1),COUNTIFS('SC Change Orders'!$B$2:$B$501,'SC Change Orders'!$B118,'SC Change Orders'!$F$2:$F$501,'SC Change Orders'!$F118)&gt;1),  "Same PO and Amount Added as another row — check for a restatement counted twice; ",""),""),""))</f>
        <v/>
      </c>
    </row>
    <row r="137" customFormat="false" ht="15" hidden="false" customHeight="false" outlineLevel="0" collapsed="false">
      <c r="A137" s="18" t="str">
        <f aca="false">IF(AND('SC Change Orders'!$A119="",'SC Change Orders'!$B119="",'SC Change Orders'!$C119=""),"",119)</f>
        <v/>
      </c>
      <c r="B137" s="31" t="str">
        <f aca="false">IF($A137="","",'SC Change Orders'!$A119)</f>
        <v/>
      </c>
      <c r="C137" s="18" t="str">
        <f aca="false">IF($A137="","",'SC Change Orders'!$B119)</f>
        <v/>
      </c>
      <c r="D137" s="32" t="str">
        <f aca="false">IF($A137="","",'SC Change Orders'!$C119)</f>
        <v/>
      </c>
      <c r="E137" s="31" t="str">
        <f aca="false">IF($A137="","",'SC Change Orders'!$D119)</f>
        <v/>
      </c>
      <c r="F137" s="33" t="str">
        <f aca="false">IF($A137="","",'SC Change Orders'!$E119)</f>
        <v/>
      </c>
      <c r="G137" s="33" t="str">
        <f aca="false">IF($A137="","",'SC Change Orders'!$F119)</f>
        <v/>
      </c>
      <c r="H137" s="33" t="str">
        <f aca="false">IF($A137="","",'SC Change Orders'!$G119)</f>
        <v/>
      </c>
      <c r="I137" s="34" t="str">
        <f aca="false">IF($A137="","",IF(AND(ISNUMBER('SC Change Orders'!$C119),'SC Change Orders'!$C119&gt;=Controls!$C$5,'SC Change Orders'!$C119&lt;=Controls!$C$6),"Yes","No"))</f>
        <v/>
      </c>
      <c r="J137" s="31" t="str">
        <f aca="false">IF($A137="","",IF($K137="","OK",$K137))</f>
        <v/>
      </c>
      <c r="K137" s="0" t="str">
        <f aca="false">IF($A137="","",IF(NOT(ISNUMBER('SC Change Orders'!$B119)),"PO not numeric — row is invisible to the tracker; ","")&amp;IF(NOT(ISNUMBER('SC Change Orders'!$C119)),"Date missing or text — row excluded; ",  IF(OR('SC Change Orders'!$C119&lt;Controls!$C$5,'SC Change Orders'!$C119&gt;Controls!$C$6),"Dated outside the FY window — excluded; ",""))&amp;IF(AND('SC Change Orders'!$E119&lt;&gt;"",NOT(ISNUMBER('SC Change Orders'!$E119))),"Original Amount held as text — ignored by MINIFS; ","")&amp;IF(AND('SC Change Orders'!$F119&lt;&gt;"",NOT(ISNUMBER('SC Change Orders'!$F119))),"Amount Added held as text — ignored by SUMIFS; ","")&amp;IF(ISNUMBER('SC Change Orders'!$E119),IF(ISNUMBER('SC Change Orders'!$F119),IF(ISNUMBER('SC Change Orders'!$G119),  IF('SC Change Orders'!$G119&gt;0,IF(ROUND('SC Change Orders'!$E119+'SC Change Orders'!$F119,2)&lt;&gt;ROUND('SC Change Orders'!$G119,2),  "Original + Added &lt;&gt; Total Line Cost Allotted; ",""),""),""),""),"")&amp;IF(AND(ISNUMBER('SC Change Orders'!$B119),COUNTIFS('SC Change Orders'!$B$2:$B$501,'SC Change Orders'!$B119,'SC Change Orders'!$C$2:$C$501,'SC Change Orders'!$C119,'SC Change Orders'!$D$2:$D$501,'SC Change Orders'!$D119,'SC Change Orders'!$F$2:$F$501,'SC Change Orders'!$F119,'SC Change Orders'!$E$2:$E$501,'SC Change Orders'!$E119)&gt;1),"Duplicate of another row — funds counted twice; ","")&amp;IF(ISNUMBER('SC Change Orders'!$F119),IF('SC Change Orders'!$F119&lt;&gt;0,IF(AND(ISNUMBER('SC Change Orders'!$B119),NOT(COUNTIFS('SC Change Orders'!$B$2:$B$501,'SC Change Orders'!$B119,'SC Change Orders'!$C$2:$C$501,'SC Change Orders'!$C119,'SC Change Orders'!$D$2:$D$501,'SC Change Orders'!$D119,'SC Change Orders'!$F$2:$F$501,'SC Change Orders'!$F119,'SC Change Orders'!$E$2:$E$501,'SC Change Orders'!$E119)&gt;1),COUNTIFS('SC Change Orders'!$B$2:$B$501,'SC Change Orders'!$B119,'SC Change Orders'!$F$2:$F$501,'SC Change Orders'!$F119)&gt;1),  "Same PO and Amount Added as another row — check for a restatement counted twice; ",""),""),""))</f>
        <v/>
      </c>
    </row>
    <row r="138" customFormat="false" ht="15" hidden="false" customHeight="false" outlineLevel="0" collapsed="false">
      <c r="A138" s="18" t="str">
        <f aca="false">IF(AND('SC Change Orders'!$A120="",'SC Change Orders'!$B120="",'SC Change Orders'!$C120=""),"",120)</f>
        <v/>
      </c>
      <c r="B138" s="31" t="str">
        <f aca="false">IF($A138="","",'SC Change Orders'!$A120)</f>
        <v/>
      </c>
      <c r="C138" s="18" t="str">
        <f aca="false">IF($A138="","",'SC Change Orders'!$B120)</f>
        <v/>
      </c>
      <c r="D138" s="32" t="str">
        <f aca="false">IF($A138="","",'SC Change Orders'!$C120)</f>
        <v/>
      </c>
      <c r="E138" s="31" t="str">
        <f aca="false">IF($A138="","",'SC Change Orders'!$D120)</f>
        <v/>
      </c>
      <c r="F138" s="33" t="str">
        <f aca="false">IF($A138="","",'SC Change Orders'!$E120)</f>
        <v/>
      </c>
      <c r="G138" s="33" t="str">
        <f aca="false">IF($A138="","",'SC Change Orders'!$F120)</f>
        <v/>
      </c>
      <c r="H138" s="33" t="str">
        <f aca="false">IF($A138="","",'SC Change Orders'!$G120)</f>
        <v/>
      </c>
      <c r="I138" s="34" t="str">
        <f aca="false">IF($A138="","",IF(AND(ISNUMBER('SC Change Orders'!$C120),'SC Change Orders'!$C120&gt;=Controls!$C$5,'SC Change Orders'!$C120&lt;=Controls!$C$6),"Yes","No"))</f>
        <v/>
      </c>
      <c r="J138" s="31" t="str">
        <f aca="false">IF($A138="","",IF($K138="","OK",$K138))</f>
        <v/>
      </c>
      <c r="K138" s="0" t="str">
        <f aca="false">IF($A138="","",IF(NOT(ISNUMBER('SC Change Orders'!$B120)),"PO not numeric — row is invisible to the tracker; ","")&amp;IF(NOT(ISNUMBER('SC Change Orders'!$C120)),"Date missing or text — row excluded; ",  IF(OR('SC Change Orders'!$C120&lt;Controls!$C$5,'SC Change Orders'!$C120&gt;Controls!$C$6),"Dated outside the FY window — excluded; ",""))&amp;IF(AND('SC Change Orders'!$E120&lt;&gt;"",NOT(ISNUMBER('SC Change Orders'!$E120))),"Original Amount held as text — ignored by MINIFS; ","")&amp;IF(AND('SC Change Orders'!$F120&lt;&gt;"",NOT(ISNUMBER('SC Change Orders'!$F120))),"Amount Added held as text — ignored by SUMIFS; ","")&amp;IF(ISNUMBER('SC Change Orders'!$E120),IF(ISNUMBER('SC Change Orders'!$F120),IF(ISNUMBER('SC Change Orders'!$G120),  IF('SC Change Orders'!$G120&gt;0,IF(ROUND('SC Change Orders'!$E120+'SC Change Orders'!$F120,2)&lt;&gt;ROUND('SC Change Orders'!$G120,2),  "Original + Added &lt;&gt; Total Line Cost Allotted; ",""),""),""),""),"")&amp;IF(AND(ISNUMBER('SC Change Orders'!$B120),COUNTIFS('SC Change Orders'!$B$2:$B$501,'SC Change Orders'!$B120,'SC Change Orders'!$C$2:$C$501,'SC Change Orders'!$C120,'SC Change Orders'!$D$2:$D$501,'SC Change Orders'!$D120,'SC Change Orders'!$F$2:$F$501,'SC Change Orders'!$F120,'SC Change Orders'!$E$2:$E$501,'SC Change Orders'!$E120)&gt;1),"Duplicate of another row — funds counted twice; ","")&amp;IF(ISNUMBER('SC Change Orders'!$F120),IF('SC Change Orders'!$F120&lt;&gt;0,IF(AND(ISNUMBER('SC Change Orders'!$B120),NOT(COUNTIFS('SC Change Orders'!$B$2:$B$501,'SC Change Orders'!$B120,'SC Change Orders'!$C$2:$C$501,'SC Change Orders'!$C120,'SC Change Orders'!$D$2:$D$501,'SC Change Orders'!$D120,'SC Change Orders'!$F$2:$F$501,'SC Change Orders'!$F120,'SC Change Orders'!$E$2:$E$501,'SC Change Orders'!$E120)&gt;1),COUNTIFS('SC Change Orders'!$B$2:$B$501,'SC Change Orders'!$B120,'SC Change Orders'!$F$2:$F$501,'SC Change Orders'!$F120)&gt;1),  "Same PO and Amount Added as another row — check for a restatement counted twice; ",""),""),""))</f>
        <v/>
      </c>
    </row>
    <row r="139" customFormat="false" ht="15" hidden="false" customHeight="false" outlineLevel="0" collapsed="false">
      <c r="A139" s="18" t="str">
        <f aca="false">IF(AND('SC Change Orders'!$A121="",'SC Change Orders'!$B121="",'SC Change Orders'!$C121=""),"",121)</f>
        <v/>
      </c>
      <c r="B139" s="31" t="str">
        <f aca="false">IF($A139="","",'SC Change Orders'!$A121)</f>
        <v/>
      </c>
      <c r="C139" s="18" t="str">
        <f aca="false">IF($A139="","",'SC Change Orders'!$B121)</f>
        <v/>
      </c>
      <c r="D139" s="32" t="str">
        <f aca="false">IF($A139="","",'SC Change Orders'!$C121)</f>
        <v/>
      </c>
      <c r="E139" s="31" t="str">
        <f aca="false">IF($A139="","",'SC Change Orders'!$D121)</f>
        <v/>
      </c>
      <c r="F139" s="33" t="str">
        <f aca="false">IF($A139="","",'SC Change Orders'!$E121)</f>
        <v/>
      </c>
      <c r="G139" s="33" t="str">
        <f aca="false">IF($A139="","",'SC Change Orders'!$F121)</f>
        <v/>
      </c>
      <c r="H139" s="33" t="str">
        <f aca="false">IF($A139="","",'SC Change Orders'!$G121)</f>
        <v/>
      </c>
      <c r="I139" s="34" t="str">
        <f aca="false">IF($A139="","",IF(AND(ISNUMBER('SC Change Orders'!$C121),'SC Change Orders'!$C121&gt;=Controls!$C$5,'SC Change Orders'!$C121&lt;=Controls!$C$6),"Yes","No"))</f>
        <v/>
      </c>
      <c r="J139" s="31" t="str">
        <f aca="false">IF($A139="","",IF($K139="","OK",$K139))</f>
        <v/>
      </c>
      <c r="K139" s="0" t="str">
        <f aca="false">IF($A139="","",IF(NOT(ISNUMBER('SC Change Orders'!$B121)),"PO not numeric — row is invisible to the tracker; ","")&amp;IF(NOT(ISNUMBER('SC Change Orders'!$C121)),"Date missing or text — row excluded; ",  IF(OR('SC Change Orders'!$C121&lt;Controls!$C$5,'SC Change Orders'!$C121&gt;Controls!$C$6),"Dated outside the FY window — excluded; ",""))&amp;IF(AND('SC Change Orders'!$E121&lt;&gt;"",NOT(ISNUMBER('SC Change Orders'!$E121))),"Original Amount held as text — ignored by MINIFS; ","")&amp;IF(AND('SC Change Orders'!$F121&lt;&gt;"",NOT(ISNUMBER('SC Change Orders'!$F121))),"Amount Added held as text — ignored by SUMIFS; ","")&amp;IF(ISNUMBER('SC Change Orders'!$E121),IF(ISNUMBER('SC Change Orders'!$F121),IF(ISNUMBER('SC Change Orders'!$G121),  IF('SC Change Orders'!$G121&gt;0,IF(ROUND('SC Change Orders'!$E121+'SC Change Orders'!$F121,2)&lt;&gt;ROUND('SC Change Orders'!$G121,2),  "Original + Added &lt;&gt; Total Line Cost Allotted; ",""),""),""),""),"")&amp;IF(AND(ISNUMBER('SC Change Orders'!$B121),COUNTIFS('SC Change Orders'!$B$2:$B$501,'SC Change Orders'!$B121,'SC Change Orders'!$C$2:$C$501,'SC Change Orders'!$C121,'SC Change Orders'!$D$2:$D$501,'SC Change Orders'!$D121,'SC Change Orders'!$F$2:$F$501,'SC Change Orders'!$F121,'SC Change Orders'!$E$2:$E$501,'SC Change Orders'!$E121)&gt;1),"Duplicate of another row — funds counted twice; ","")&amp;IF(ISNUMBER('SC Change Orders'!$F121),IF('SC Change Orders'!$F121&lt;&gt;0,IF(AND(ISNUMBER('SC Change Orders'!$B121),NOT(COUNTIFS('SC Change Orders'!$B$2:$B$501,'SC Change Orders'!$B121,'SC Change Orders'!$C$2:$C$501,'SC Change Orders'!$C121,'SC Change Orders'!$D$2:$D$501,'SC Change Orders'!$D121,'SC Change Orders'!$F$2:$F$501,'SC Change Orders'!$F121,'SC Change Orders'!$E$2:$E$501,'SC Change Orders'!$E121)&gt;1),COUNTIFS('SC Change Orders'!$B$2:$B$501,'SC Change Orders'!$B121,'SC Change Orders'!$F$2:$F$501,'SC Change Orders'!$F121)&gt;1),  "Same PO and Amount Added as another row — check for a restatement counted twice; ",""),""),""))</f>
        <v/>
      </c>
    </row>
    <row r="140" customFormat="false" ht="15" hidden="false" customHeight="false" outlineLevel="0" collapsed="false">
      <c r="A140" s="18" t="str">
        <f aca="false">IF(AND('SC Change Orders'!$A122="",'SC Change Orders'!$B122="",'SC Change Orders'!$C122=""),"",122)</f>
        <v/>
      </c>
      <c r="B140" s="31" t="str">
        <f aca="false">IF($A140="","",'SC Change Orders'!$A122)</f>
        <v/>
      </c>
      <c r="C140" s="18" t="str">
        <f aca="false">IF($A140="","",'SC Change Orders'!$B122)</f>
        <v/>
      </c>
      <c r="D140" s="32" t="str">
        <f aca="false">IF($A140="","",'SC Change Orders'!$C122)</f>
        <v/>
      </c>
      <c r="E140" s="31" t="str">
        <f aca="false">IF($A140="","",'SC Change Orders'!$D122)</f>
        <v/>
      </c>
      <c r="F140" s="33" t="str">
        <f aca="false">IF($A140="","",'SC Change Orders'!$E122)</f>
        <v/>
      </c>
      <c r="G140" s="33" t="str">
        <f aca="false">IF($A140="","",'SC Change Orders'!$F122)</f>
        <v/>
      </c>
      <c r="H140" s="33" t="str">
        <f aca="false">IF($A140="","",'SC Change Orders'!$G122)</f>
        <v/>
      </c>
      <c r="I140" s="34" t="str">
        <f aca="false">IF($A140="","",IF(AND(ISNUMBER('SC Change Orders'!$C122),'SC Change Orders'!$C122&gt;=Controls!$C$5,'SC Change Orders'!$C122&lt;=Controls!$C$6),"Yes","No"))</f>
        <v/>
      </c>
      <c r="J140" s="31" t="str">
        <f aca="false">IF($A140="","",IF($K140="","OK",$K140))</f>
        <v/>
      </c>
      <c r="K140" s="0" t="str">
        <f aca="false">IF($A140="","",IF(NOT(ISNUMBER('SC Change Orders'!$B122)),"PO not numeric — row is invisible to the tracker; ","")&amp;IF(NOT(ISNUMBER('SC Change Orders'!$C122)),"Date missing or text — row excluded; ",  IF(OR('SC Change Orders'!$C122&lt;Controls!$C$5,'SC Change Orders'!$C122&gt;Controls!$C$6),"Dated outside the FY window — excluded; ",""))&amp;IF(AND('SC Change Orders'!$E122&lt;&gt;"",NOT(ISNUMBER('SC Change Orders'!$E122))),"Original Amount held as text — ignored by MINIFS; ","")&amp;IF(AND('SC Change Orders'!$F122&lt;&gt;"",NOT(ISNUMBER('SC Change Orders'!$F122))),"Amount Added held as text — ignored by SUMIFS; ","")&amp;IF(ISNUMBER('SC Change Orders'!$E122),IF(ISNUMBER('SC Change Orders'!$F122),IF(ISNUMBER('SC Change Orders'!$G122),  IF('SC Change Orders'!$G122&gt;0,IF(ROUND('SC Change Orders'!$E122+'SC Change Orders'!$F122,2)&lt;&gt;ROUND('SC Change Orders'!$G122,2),  "Original + Added &lt;&gt; Total Line Cost Allotted; ",""),""),""),""),"")&amp;IF(AND(ISNUMBER('SC Change Orders'!$B122),COUNTIFS('SC Change Orders'!$B$2:$B$501,'SC Change Orders'!$B122,'SC Change Orders'!$C$2:$C$501,'SC Change Orders'!$C122,'SC Change Orders'!$D$2:$D$501,'SC Change Orders'!$D122,'SC Change Orders'!$F$2:$F$501,'SC Change Orders'!$F122,'SC Change Orders'!$E$2:$E$501,'SC Change Orders'!$E122)&gt;1),"Duplicate of another row — funds counted twice; ","")&amp;IF(ISNUMBER('SC Change Orders'!$F122),IF('SC Change Orders'!$F122&lt;&gt;0,IF(AND(ISNUMBER('SC Change Orders'!$B122),NOT(COUNTIFS('SC Change Orders'!$B$2:$B$501,'SC Change Orders'!$B122,'SC Change Orders'!$C$2:$C$501,'SC Change Orders'!$C122,'SC Change Orders'!$D$2:$D$501,'SC Change Orders'!$D122,'SC Change Orders'!$F$2:$F$501,'SC Change Orders'!$F122,'SC Change Orders'!$E$2:$E$501,'SC Change Orders'!$E122)&gt;1),COUNTIFS('SC Change Orders'!$B$2:$B$501,'SC Change Orders'!$B122,'SC Change Orders'!$F$2:$F$501,'SC Change Orders'!$F122)&gt;1),  "Same PO and Amount Added as another row — check for a restatement counted twice; ",""),""),""))</f>
        <v/>
      </c>
    </row>
    <row r="141" customFormat="false" ht="15" hidden="false" customHeight="false" outlineLevel="0" collapsed="false">
      <c r="A141" s="18" t="str">
        <f aca="false">IF(AND('SC Change Orders'!$A123="",'SC Change Orders'!$B123="",'SC Change Orders'!$C123=""),"",123)</f>
        <v/>
      </c>
      <c r="B141" s="31" t="str">
        <f aca="false">IF($A141="","",'SC Change Orders'!$A123)</f>
        <v/>
      </c>
      <c r="C141" s="18" t="str">
        <f aca="false">IF($A141="","",'SC Change Orders'!$B123)</f>
        <v/>
      </c>
      <c r="D141" s="32" t="str">
        <f aca="false">IF($A141="","",'SC Change Orders'!$C123)</f>
        <v/>
      </c>
      <c r="E141" s="31" t="str">
        <f aca="false">IF($A141="","",'SC Change Orders'!$D123)</f>
        <v/>
      </c>
      <c r="F141" s="33" t="str">
        <f aca="false">IF($A141="","",'SC Change Orders'!$E123)</f>
        <v/>
      </c>
      <c r="G141" s="33" t="str">
        <f aca="false">IF($A141="","",'SC Change Orders'!$F123)</f>
        <v/>
      </c>
      <c r="H141" s="33" t="str">
        <f aca="false">IF($A141="","",'SC Change Orders'!$G123)</f>
        <v/>
      </c>
      <c r="I141" s="34" t="str">
        <f aca="false">IF($A141="","",IF(AND(ISNUMBER('SC Change Orders'!$C123),'SC Change Orders'!$C123&gt;=Controls!$C$5,'SC Change Orders'!$C123&lt;=Controls!$C$6),"Yes","No"))</f>
        <v/>
      </c>
      <c r="J141" s="31" t="str">
        <f aca="false">IF($A141="","",IF($K141="","OK",$K141))</f>
        <v/>
      </c>
      <c r="K141" s="0" t="str">
        <f aca="false">IF($A141="","",IF(NOT(ISNUMBER('SC Change Orders'!$B123)),"PO not numeric — row is invisible to the tracker; ","")&amp;IF(NOT(ISNUMBER('SC Change Orders'!$C123)),"Date missing or text — row excluded; ",  IF(OR('SC Change Orders'!$C123&lt;Controls!$C$5,'SC Change Orders'!$C123&gt;Controls!$C$6),"Dated outside the FY window — excluded; ",""))&amp;IF(AND('SC Change Orders'!$E123&lt;&gt;"",NOT(ISNUMBER('SC Change Orders'!$E123))),"Original Amount held as text — ignored by MINIFS; ","")&amp;IF(AND('SC Change Orders'!$F123&lt;&gt;"",NOT(ISNUMBER('SC Change Orders'!$F123))),"Amount Added held as text — ignored by SUMIFS; ","")&amp;IF(ISNUMBER('SC Change Orders'!$E123),IF(ISNUMBER('SC Change Orders'!$F123),IF(ISNUMBER('SC Change Orders'!$G123),  IF('SC Change Orders'!$G123&gt;0,IF(ROUND('SC Change Orders'!$E123+'SC Change Orders'!$F123,2)&lt;&gt;ROUND('SC Change Orders'!$G123,2),  "Original + Added &lt;&gt; Total Line Cost Allotted; ",""),""),""),""),"")&amp;IF(AND(ISNUMBER('SC Change Orders'!$B123),COUNTIFS('SC Change Orders'!$B$2:$B$501,'SC Change Orders'!$B123,'SC Change Orders'!$C$2:$C$501,'SC Change Orders'!$C123,'SC Change Orders'!$D$2:$D$501,'SC Change Orders'!$D123,'SC Change Orders'!$F$2:$F$501,'SC Change Orders'!$F123,'SC Change Orders'!$E$2:$E$501,'SC Change Orders'!$E123)&gt;1),"Duplicate of another row — funds counted twice; ","")&amp;IF(ISNUMBER('SC Change Orders'!$F123),IF('SC Change Orders'!$F123&lt;&gt;0,IF(AND(ISNUMBER('SC Change Orders'!$B123),NOT(COUNTIFS('SC Change Orders'!$B$2:$B$501,'SC Change Orders'!$B123,'SC Change Orders'!$C$2:$C$501,'SC Change Orders'!$C123,'SC Change Orders'!$D$2:$D$501,'SC Change Orders'!$D123,'SC Change Orders'!$F$2:$F$501,'SC Change Orders'!$F123,'SC Change Orders'!$E$2:$E$501,'SC Change Orders'!$E123)&gt;1),COUNTIFS('SC Change Orders'!$B$2:$B$501,'SC Change Orders'!$B123,'SC Change Orders'!$F$2:$F$501,'SC Change Orders'!$F123)&gt;1),  "Same PO and Amount Added as another row — check for a restatement counted twice; ",""),""),""))</f>
        <v/>
      </c>
    </row>
    <row r="142" customFormat="false" ht="15" hidden="false" customHeight="false" outlineLevel="0" collapsed="false">
      <c r="A142" s="18" t="str">
        <f aca="false">IF(AND('SC Change Orders'!$A124="",'SC Change Orders'!$B124="",'SC Change Orders'!$C124=""),"",124)</f>
        <v/>
      </c>
      <c r="B142" s="31" t="str">
        <f aca="false">IF($A142="","",'SC Change Orders'!$A124)</f>
        <v/>
      </c>
      <c r="C142" s="18" t="str">
        <f aca="false">IF($A142="","",'SC Change Orders'!$B124)</f>
        <v/>
      </c>
      <c r="D142" s="32" t="str">
        <f aca="false">IF($A142="","",'SC Change Orders'!$C124)</f>
        <v/>
      </c>
      <c r="E142" s="31" t="str">
        <f aca="false">IF($A142="","",'SC Change Orders'!$D124)</f>
        <v/>
      </c>
      <c r="F142" s="33" t="str">
        <f aca="false">IF($A142="","",'SC Change Orders'!$E124)</f>
        <v/>
      </c>
      <c r="G142" s="33" t="str">
        <f aca="false">IF($A142="","",'SC Change Orders'!$F124)</f>
        <v/>
      </c>
      <c r="H142" s="33" t="str">
        <f aca="false">IF($A142="","",'SC Change Orders'!$G124)</f>
        <v/>
      </c>
      <c r="I142" s="34" t="str">
        <f aca="false">IF($A142="","",IF(AND(ISNUMBER('SC Change Orders'!$C124),'SC Change Orders'!$C124&gt;=Controls!$C$5,'SC Change Orders'!$C124&lt;=Controls!$C$6),"Yes","No"))</f>
        <v/>
      </c>
      <c r="J142" s="31" t="str">
        <f aca="false">IF($A142="","",IF($K142="","OK",$K142))</f>
        <v/>
      </c>
      <c r="K142" s="0" t="str">
        <f aca="false">IF($A142="","",IF(NOT(ISNUMBER('SC Change Orders'!$B124)),"PO not numeric — row is invisible to the tracker; ","")&amp;IF(NOT(ISNUMBER('SC Change Orders'!$C124)),"Date missing or text — row excluded; ",  IF(OR('SC Change Orders'!$C124&lt;Controls!$C$5,'SC Change Orders'!$C124&gt;Controls!$C$6),"Dated outside the FY window — excluded; ",""))&amp;IF(AND('SC Change Orders'!$E124&lt;&gt;"",NOT(ISNUMBER('SC Change Orders'!$E124))),"Original Amount held as text — ignored by MINIFS; ","")&amp;IF(AND('SC Change Orders'!$F124&lt;&gt;"",NOT(ISNUMBER('SC Change Orders'!$F124))),"Amount Added held as text — ignored by SUMIFS; ","")&amp;IF(ISNUMBER('SC Change Orders'!$E124),IF(ISNUMBER('SC Change Orders'!$F124),IF(ISNUMBER('SC Change Orders'!$G124),  IF('SC Change Orders'!$G124&gt;0,IF(ROUND('SC Change Orders'!$E124+'SC Change Orders'!$F124,2)&lt;&gt;ROUND('SC Change Orders'!$G124,2),  "Original + Added &lt;&gt; Total Line Cost Allotted; ",""),""),""),""),"")&amp;IF(AND(ISNUMBER('SC Change Orders'!$B124),COUNTIFS('SC Change Orders'!$B$2:$B$501,'SC Change Orders'!$B124,'SC Change Orders'!$C$2:$C$501,'SC Change Orders'!$C124,'SC Change Orders'!$D$2:$D$501,'SC Change Orders'!$D124,'SC Change Orders'!$F$2:$F$501,'SC Change Orders'!$F124,'SC Change Orders'!$E$2:$E$501,'SC Change Orders'!$E124)&gt;1),"Duplicate of another row — funds counted twice; ","")&amp;IF(ISNUMBER('SC Change Orders'!$F124),IF('SC Change Orders'!$F124&lt;&gt;0,IF(AND(ISNUMBER('SC Change Orders'!$B124),NOT(COUNTIFS('SC Change Orders'!$B$2:$B$501,'SC Change Orders'!$B124,'SC Change Orders'!$C$2:$C$501,'SC Change Orders'!$C124,'SC Change Orders'!$D$2:$D$501,'SC Change Orders'!$D124,'SC Change Orders'!$F$2:$F$501,'SC Change Orders'!$F124,'SC Change Orders'!$E$2:$E$501,'SC Change Orders'!$E124)&gt;1),COUNTIFS('SC Change Orders'!$B$2:$B$501,'SC Change Orders'!$B124,'SC Change Orders'!$F$2:$F$501,'SC Change Orders'!$F124)&gt;1),  "Same PO and Amount Added as another row — check for a restatement counted twice; ",""),""),""))</f>
        <v/>
      </c>
    </row>
    <row r="143" customFormat="false" ht="15" hidden="false" customHeight="false" outlineLevel="0" collapsed="false">
      <c r="A143" s="18" t="str">
        <f aca="false">IF(AND('SC Change Orders'!$A125="",'SC Change Orders'!$B125="",'SC Change Orders'!$C125=""),"",125)</f>
        <v/>
      </c>
      <c r="B143" s="31" t="str">
        <f aca="false">IF($A143="","",'SC Change Orders'!$A125)</f>
        <v/>
      </c>
      <c r="C143" s="18" t="str">
        <f aca="false">IF($A143="","",'SC Change Orders'!$B125)</f>
        <v/>
      </c>
      <c r="D143" s="32" t="str">
        <f aca="false">IF($A143="","",'SC Change Orders'!$C125)</f>
        <v/>
      </c>
      <c r="E143" s="31" t="str">
        <f aca="false">IF($A143="","",'SC Change Orders'!$D125)</f>
        <v/>
      </c>
      <c r="F143" s="33" t="str">
        <f aca="false">IF($A143="","",'SC Change Orders'!$E125)</f>
        <v/>
      </c>
      <c r="G143" s="33" t="str">
        <f aca="false">IF($A143="","",'SC Change Orders'!$F125)</f>
        <v/>
      </c>
      <c r="H143" s="33" t="str">
        <f aca="false">IF($A143="","",'SC Change Orders'!$G125)</f>
        <v/>
      </c>
      <c r="I143" s="34" t="str">
        <f aca="false">IF($A143="","",IF(AND(ISNUMBER('SC Change Orders'!$C125),'SC Change Orders'!$C125&gt;=Controls!$C$5,'SC Change Orders'!$C125&lt;=Controls!$C$6),"Yes","No"))</f>
        <v/>
      </c>
      <c r="J143" s="31" t="str">
        <f aca="false">IF($A143="","",IF($K143="","OK",$K143))</f>
        <v/>
      </c>
      <c r="K143" s="0" t="str">
        <f aca="false">IF($A143="","",IF(NOT(ISNUMBER('SC Change Orders'!$B125)),"PO not numeric — row is invisible to the tracker; ","")&amp;IF(NOT(ISNUMBER('SC Change Orders'!$C125)),"Date missing or text — row excluded; ",  IF(OR('SC Change Orders'!$C125&lt;Controls!$C$5,'SC Change Orders'!$C125&gt;Controls!$C$6),"Dated outside the FY window — excluded; ",""))&amp;IF(AND('SC Change Orders'!$E125&lt;&gt;"",NOT(ISNUMBER('SC Change Orders'!$E125))),"Original Amount held as text — ignored by MINIFS; ","")&amp;IF(AND('SC Change Orders'!$F125&lt;&gt;"",NOT(ISNUMBER('SC Change Orders'!$F125))),"Amount Added held as text — ignored by SUMIFS; ","")&amp;IF(ISNUMBER('SC Change Orders'!$E125),IF(ISNUMBER('SC Change Orders'!$F125),IF(ISNUMBER('SC Change Orders'!$G125),  IF('SC Change Orders'!$G125&gt;0,IF(ROUND('SC Change Orders'!$E125+'SC Change Orders'!$F125,2)&lt;&gt;ROUND('SC Change Orders'!$G125,2),  "Original + Added &lt;&gt; Total Line Cost Allotted; ",""),""),""),""),"")&amp;IF(AND(ISNUMBER('SC Change Orders'!$B125),COUNTIFS('SC Change Orders'!$B$2:$B$501,'SC Change Orders'!$B125,'SC Change Orders'!$C$2:$C$501,'SC Change Orders'!$C125,'SC Change Orders'!$D$2:$D$501,'SC Change Orders'!$D125,'SC Change Orders'!$F$2:$F$501,'SC Change Orders'!$F125,'SC Change Orders'!$E$2:$E$501,'SC Change Orders'!$E125)&gt;1),"Duplicate of another row — funds counted twice; ","")&amp;IF(ISNUMBER('SC Change Orders'!$F125),IF('SC Change Orders'!$F125&lt;&gt;0,IF(AND(ISNUMBER('SC Change Orders'!$B125),NOT(COUNTIFS('SC Change Orders'!$B$2:$B$501,'SC Change Orders'!$B125,'SC Change Orders'!$C$2:$C$501,'SC Change Orders'!$C125,'SC Change Orders'!$D$2:$D$501,'SC Change Orders'!$D125,'SC Change Orders'!$F$2:$F$501,'SC Change Orders'!$F125,'SC Change Orders'!$E$2:$E$501,'SC Change Orders'!$E125)&gt;1),COUNTIFS('SC Change Orders'!$B$2:$B$501,'SC Change Orders'!$B125,'SC Change Orders'!$F$2:$F$501,'SC Change Orders'!$F125)&gt;1),  "Same PO and Amount Added as another row — check for a restatement counted twice; ",""),""),""))</f>
        <v/>
      </c>
    </row>
    <row r="144" customFormat="false" ht="15" hidden="false" customHeight="false" outlineLevel="0" collapsed="false">
      <c r="A144" s="18" t="str">
        <f aca="false">IF(AND('SC Change Orders'!$A126="",'SC Change Orders'!$B126="",'SC Change Orders'!$C126=""),"",126)</f>
        <v/>
      </c>
      <c r="B144" s="31" t="str">
        <f aca="false">IF($A144="","",'SC Change Orders'!$A126)</f>
        <v/>
      </c>
      <c r="C144" s="18" t="str">
        <f aca="false">IF($A144="","",'SC Change Orders'!$B126)</f>
        <v/>
      </c>
      <c r="D144" s="32" t="str">
        <f aca="false">IF($A144="","",'SC Change Orders'!$C126)</f>
        <v/>
      </c>
      <c r="E144" s="31" t="str">
        <f aca="false">IF($A144="","",'SC Change Orders'!$D126)</f>
        <v/>
      </c>
      <c r="F144" s="33" t="str">
        <f aca="false">IF($A144="","",'SC Change Orders'!$E126)</f>
        <v/>
      </c>
      <c r="G144" s="33" t="str">
        <f aca="false">IF($A144="","",'SC Change Orders'!$F126)</f>
        <v/>
      </c>
      <c r="H144" s="33" t="str">
        <f aca="false">IF($A144="","",'SC Change Orders'!$G126)</f>
        <v/>
      </c>
      <c r="I144" s="34" t="str">
        <f aca="false">IF($A144="","",IF(AND(ISNUMBER('SC Change Orders'!$C126),'SC Change Orders'!$C126&gt;=Controls!$C$5,'SC Change Orders'!$C126&lt;=Controls!$C$6),"Yes","No"))</f>
        <v/>
      </c>
      <c r="J144" s="31" t="str">
        <f aca="false">IF($A144="","",IF($K144="","OK",$K144))</f>
        <v/>
      </c>
      <c r="K144" s="0" t="str">
        <f aca="false">IF($A144="","",IF(NOT(ISNUMBER('SC Change Orders'!$B126)),"PO not numeric — row is invisible to the tracker; ","")&amp;IF(NOT(ISNUMBER('SC Change Orders'!$C126)),"Date missing or text — row excluded; ",  IF(OR('SC Change Orders'!$C126&lt;Controls!$C$5,'SC Change Orders'!$C126&gt;Controls!$C$6),"Dated outside the FY window — excluded; ",""))&amp;IF(AND('SC Change Orders'!$E126&lt;&gt;"",NOT(ISNUMBER('SC Change Orders'!$E126))),"Original Amount held as text — ignored by MINIFS; ","")&amp;IF(AND('SC Change Orders'!$F126&lt;&gt;"",NOT(ISNUMBER('SC Change Orders'!$F126))),"Amount Added held as text — ignored by SUMIFS; ","")&amp;IF(ISNUMBER('SC Change Orders'!$E126),IF(ISNUMBER('SC Change Orders'!$F126),IF(ISNUMBER('SC Change Orders'!$G126),  IF('SC Change Orders'!$G126&gt;0,IF(ROUND('SC Change Orders'!$E126+'SC Change Orders'!$F126,2)&lt;&gt;ROUND('SC Change Orders'!$G126,2),  "Original + Added &lt;&gt; Total Line Cost Allotted; ",""),""),""),""),"")&amp;IF(AND(ISNUMBER('SC Change Orders'!$B126),COUNTIFS('SC Change Orders'!$B$2:$B$501,'SC Change Orders'!$B126,'SC Change Orders'!$C$2:$C$501,'SC Change Orders'!$C126,'SC Change Orders'!$D$2:$D$501,'SC Change Orders'!$D126,'SC Change Orders'!$F$2:$F$501,'SC Change Orders'!$F126,'SC Change Orders'!$E$2:$E$501,'SC Change Orders'!$E126)&gt;1),"Duplicate of another row — funds counted twice; ","")&amp;IF(ISNUMBER('SC Change Orders'!$F126),IF('SC Change Orders'!$F126&lt;&gt;0,IF(AND(ISNUMBER('SC Change Orders'!$B126),NOT(COUNTIFS('SC Change Orders'!$B$2:$B$501,'SC Change Orders'!$B126,'SC Change Orders'!$C$2:$C$501,'SC Change Orders'!$C126,'SC Change Orders'!$D$2:$D$501,'SC Change Orders'!$D126,'SC Change Orders'!$F$2:$F$501,'SC Change Orders'!$F126,'SC Change Orders'!$E$2:$E$501,'SC Change Orders'!$E126)&gt;1),COUNTIFS('SC Change Orders'!$B$2:$B$501,'SC Change Orders'!$B126,'SC Change Orders'!$F$2:$F$501,'SC Change Orders'!$F126)&gt;1),  "Same PO and Amount Added as another row — check for a restatement counted twice; ",""),""),""))</f>
        <v/>
      </c>
    </row>
    <row r="145" customFormat="false" ht="15" hidden="false" customHeight="false" outlineLevel="0" collapsed="false">
      <c r="A145" s="18" t="str">
        <f aca="false">IF(AND('SC Change Orders'!$A127="",'SC Change Orders'!$B127="",'SC Change Orders'!$C127=""),"",127)</f>
        <v/>
      </c>
      <c r="B145" s="31" t="str">
        <f aca="false">IF($A145="","",'SC Change Orders'!$A127)</f>
        <v/>
      </c>
      <c r="C145" s="18" t="str">
        <f aca="false">IF($A145="","",'SC Change Orders'!$B127)</f>
        <v/>
      </c>
      <c r="D145" s="32" t="str">
        <f aca="false">IF($A145="","",'SC Change Orders'!$C127)</f>
        <v/>
      </c>
      <c r="E145" s="31" t="str">
        <f aca="false">IF($A145="","",'SC Change Orders'!$D127)</f>
        <v/>
      </c>
      <c r="F145" s="33" t="str">
        <f aca="false">IF($A145="","",'SC Change Orders'!$E127)</f>
        <v/>
      </c>
      <c r="G145" s="33" t="str">
        <f aca="false">IF($A145="","",'SC Change Orders'!$F127)</f>
        <v/>
      </c>
      <c r="H145" s="33" t="str">
        <f aca="false">IF($A145="","",'SC Change Orders'!$G127)</f>
        <v/>
      </c>
      <c r="I145" s="34" t="str">
        <f aca="false">IF($A145="","",IF(AND(ISNUMBER('SC Change Orders'!$C127),'SC Change Orders'!$C127&gt;=Controls!$C$5,'SC Change Orders'!$C127&lt;=Controls!$C$6),"Yes","No"))</f>
        <v/>
      </c>
      <c r="J145" s="31" t="str">
        <f aca="false">IF($A145="","",IF($K145="","OK",$K145))</f>
        <v/>
      </c>
      <c r="K145" s="0" t="str">
        <f aca="false">IF($A145="","",IF(NOT(ISNUMBER('SC Change Orders'!$B127)),"PO not numeric — row is invisible to the tracker; ","")&amp;IF(NOT(ISNUMBER('SC Change Orders'!$C127)),"Date missing or text — row excluded; ",  IF(OR('SC Change Orders'!$C127&lt;Controls!$C$5,'SC Change Orders'!$C127&gt;Controls!$C$6),"Dated outside the FY window — excluded; ",""))&amp;IF(AND('SC Change Orders'!$E127&lt;&gt;"",NOT(ISNUMBER('SC Change Orders'!$E127))),"Original Amount held as text — ignored by MINIFS; ","")&amp;IF(AND('SC Change Orders'!$F127&lt;&gt;"",NOT(ISNUMBER('SC Change Orders'!$F127))),"Amount Added held as text — ignored by SUMIFS; ","")&amp;IF(ISNUMBER('SC Change Orders'!$E127),IF(ISNUMBER('SC Change Orders'!$F127),IF(ISNUMBER('SC Change Orders'!$G127),  IF('SC Change Orders'!$G127&gt;0,IF(ROUND('SC Change Orders'!$E127+'SC Change Orders'!$F127,2)&lt;&gt;ROUND('SC Change Orders'!$G127,2),  "Original + Added &lt;&gt; Total Line Cost Allotted; ",""),""),""),""),"")&amp;IF(AND(ISNUMBER('SC Change Orders'!$B127),COUNTIFS('SC Change Orders'!$B$2:$B$501,'SC Change Orders'!$B127,'SC Change Orders'!$C$2:$C$501,'SC Change Orders'!$C127,'SC Change Orders'!$D$2:$D$501,'SC Change Orders'!$D127,'SC Change Orders'!$F$2:$F$501,'SC Change Orders'!$F127,'SC Change Orders'!$E$2:$E$501,'SC Change Orders'!$E127)&gt;1),"Duplicate of another row — funds counted twice; ","")&amp;IF(ISNUMBER('SC Change Orders'!$F127),IF('SC Change Orders'!$F127&lt;&gt;0,IF(AND(ISNUMBER('SC Change Orders'!$B127),NOT(COUNTIFS('SC Change Orders'!$B$2:$B$501,'SC Change Orders'!$B127,'SC Change Orders'!$C$2:$C$501,'SC Change Orders'!$C127,'SC Change Orders'!$D$2:$D$501,'SC Change Orders'!$D127,'SC Change Orders'!$F$2:$F$501,'SC Change Orders'!$F127,'SC Change Orders'!$E$2:$E$501,'SC Change Orders'!$E127)&gt;1),COUNTIFS('SC Change Orders'!$B$2:$B$501,'SC Change Orders'!$B127,'SC Change Orders'!$F$2:$F$501,'SC Change Orders'!$F127)&gt;1),  "Same PO and Amount Added as another row — check for a restatement counted twice; ",""),""),""))</f>
        <v/>
      </c>
    </row>
    <row r="146" customFormat="false" ht="15" hidden="false" customHeight="false" outlineLevel="0" collapsed="false">
      <c r="A146" s="18" t="str">
        <f aca="false">IF(AND('SC Change Orders'!$A128="",'SC Change Orders'!$B128="",'SC Change Orders'!$C128=""),"",128)</f>
        <v/>
      </c>
      <c r="B146" s="31" t="str">
        <f aca="false">IF($A146="","",'SC Change Orders'!$A128)</f>
        <v/>
      </c>
      <c r="C146" s="18" t="str">
        <f aca="false">IF($A146="","",'SC Change Orders'!$B128)</f>
        <v/>
      </c>
      <c r="D146" s="32" t="str">
        <f aca="false">IF($A146="","",'SC Change Orders'!$C128)</f>
        <v/>
      </c>
      <c r="E146" s="31" t="str">
        <f aca="false">IF($A146="","",'SC Change Orders'!$D128)</f>
        <v/>
      </c>
      <c r="F146" s="33" t="str">
        <f aca="false">IF($A146="","",'SC Change Orders'!$E128)</f>
        <v/>
      </c>
      <c r="G146" s="33" t="str">
        <f aca="false">IF($A146="","",'SC Change Orders'!$F128)</f>
        <v/>
      </c>
      <c r="H146" s="33" t="str">
        <f aca="false">IF($A146="","",'SC Change Orders'!$G128)</f>
        <v/>
      </c>
      <c r="I146" s="34" t="str">
        <f aca="false">IF($A146="","",IF(AND(ISNUMBER('SC Change Orders'!$C128),'SC Change Orders'!$C128&gt;=Controls!$C$5,'SC Change Orders'!$C128&lt;=Controls!$C$6),"Yes","No"))</f>
        <v/>
      </c>
      <c r="J146" s="31" t="str">
        <f aca="false">IF($A146="","",IF($K146="","OK",$K146))</f>
        <v/>
      </c>
      <c r="K146" s="0" t="str">
        <f aca="false">IF($A146="","",IF(NOT(ISNUMBER('SC Change Orders'!$B128)),"PO not numeric — row is invisible to the tracker; ","")&amp;IF(NOT(ISNUMBER('SC Change Orders'!$C128)),"Date missing or text — row excluded; ",  IF(OR('SC Change Orders'!$C128&lt;Controls!$C$5,'SC Change Orders'!$C128&gt;Controls!$C$6),"Dated outside the FY window — excluded; ",""))&amp;IF(AND('SC Change Orders'!$E128&lt;&gt;"",NOT(ISNUMBER('SC Change Orders'!$E128))),"Original Amount held as text — ignored by MINIFS; ","")&amp;IF(AND('SC Change Orders'!$F128&lt;&gt;"",NOT(ISNUMBER('SC Change Orders'!$F128))),"Amount Added held as text — ignored by SUMIFS; ","")&amp;IF(ISNUMBER('SC Change Orders'!$E128),IF(ISNUMBER('SC Change Orders'!$F128),IF(ISNUMBER('SC Change Orders'!$G128),  IF('SC Change Orders'!$G128&gt;0,IF(ROUND('SC Change Orders'!$E128+'SC Change Orders'!$F128,2)&lt;&gt;ROUND('SC Change Orders'!$G128,2),  "Original + Added &lt;&gt; Total Line Cost Allotted; ",""),""),""),""),"")&amp;IF(AND(ISNUMBER('SC Change Orders'!$B128),COUNTIFS('SC Change Orders'!$B$2:$B$501,'SC Change Orders'!$B128,'SC Change Orders'!$C$2:$C$501,'SC Change Orders'!$C128,'SC Change Orders'!$D$2:$D$501,'SC Change Orders'!$D128,'SC Change Orders'!$F$2:$F$501,'SC Change Orders'!$F128,'SC Change Orders'!$E$2:$E$501,'SC Change Orders'!$E128)&gt;1),"Duplicate of another row — funds counted twice; ","")&amp;IF(ISNUMBER('SC Change Orders'!$F128),IF('SC Change Orders'!$F128&lt;&gt;0,IF(AND(ISNUMBER('SC Change Orders'!$B128),NOT(COUNTIFS('SC Change Orders'!$B$2:$B$501,'SC Change Orders'!$B128,'SC Change Orders'!$C$2:$C$501,'SC Change Orders'!$C128,'SC Change Orders'!$D$2:$D$501,'SC Change Orders'!$D128,'SC Change Orders'!$F$2:$F$501,'SC Change Orders'!$F128,'SC Change Orders'!$E$2:$E$501,'SC Change Orders'!$E128)&gt;1),COUNTIFS('SC Change Orders'!$B$2:$B$501,'SC Change Orders'!$B128,'SC Change Orders'!$F$2:$F$501,'SC Change Orders'!$F128)&gt;1),  "Same PO and Amount Added as another row — check for a restatement counted twice; ",""),""),""))</f>
        <v/>
      </c>
    </row>
    <row r="147" customFormat="false" ht="15" hidden="false" customHeight="false" outlineLevel="0" collapsed="false">
      <c r="A147" s="18" t="str">
        <f aca="false">IF(AND('SC Change Orders'!$A129="",'SC Change Orders'!$B129="",'SC Change Orders'!$C129=""),"",129)</f>
        <v/>
      </c>
      <c r="B147" s="31" t="str">
        <f aca="false">IF($A147="","",'SC Change Orders'!$A129)</f>
        <v/>
      </c>
      <c r="C147" s="18" t="str">
        <f aca="false">IF($A147="","",'SC Change Orders'!$B129)</f>
        <v/>
      </c>
      <c r="D147" s="32" t="str">
        <f aca="false">IF($A147="","",'SC Change Orders'!$C129)</f>
        <v/>
      </c>
      <c r="E147" s="31" t="str">
        <f aca="false">IF($A147="","",'SC Change Orders'!$D129)</f>
        <v/>
      </c>
      <c r="F147" s="33" t="str">
        <f aca="false">IF($A147="","",'SC Change Orders'!$E129)</f>
        <v/>
      </c>
      <c r="G147" s="33" t="str">
        <f aca="false">IF($A147="","",'SC Change Orders'!$F129)</f>
        <v/>
      </c>
      <c r="H147" s="33" t="str">
        <f aca="false">IF($A147="","",'SC Change Orders'!$G129)</f>
        <v/>
      </c>
      <c r="I147" s="34" t="str">
        <f aca="false">IF($A147="","",IF(AND(ISNUMBER('SC Change Orders'!$C129),'SC Change Orders'!$C129&gt;=Controls!$C$5,'SC Change Orders'!$C129&lt;=Controls!$C$6),"Yes","No"))</f>
        <v/>
      </c>
      <c r="J147" s="31" t="str">
        <f aca="false">IF($A147="","",IF($K147="","OK",$K147))</f>
        <v/>
      </c>
      <c r="K147" s="0" t="str">
        <f aca="false">IF($A147="","",IF(NOT(ISNUMBER('SC Change Orders'!$B129)),"PO not numeric — row is invisible to the tracker; ","")&amp;IF(NOT(ISNUMBER('SC Change Orders'!$C129)),"Date missing or text — row excluded; ",  IF(OR('SC Change Orders'!$C129&lt;Controls!$C$5,'SC Change Orders'!$C129&gt;Controls!$C$6),"Dated outside the FY window — excluded; ",""))&amp;IF(AND('SC Change Orders'!$E129&lt;&gt;"",NOT(ISNUMBER('SC Change Orders'!$E129))),"Original Amount held as text — ignored by MINIFS; ","")&amp;IF(AND('SC Change Orders'!$F129&lt;&gt;"",NOT(ISNUMBER('SC Change Orders'!$F129))),"Amount Added held as text — ignored by SUMIFS; ","")&amp;IF(ISNUMBER('SC Change Orders'!$E129),IF(ISNUMBER('SC Change Orders'!$F129),IF(ISNUMBER('SC Change Orders'!$G129),  IF('SC Change Orders'!$G129&gt;0,IF(ROUND('SC Change Orders'!$E129+'SC Change Orders'!$F129,2)&lt;&gt;ROUND('SC Change Orders'!$G129,2),  "Original + Added &lt;&gt; Total Line Cost Allotted; ",""),""),""),""),"")&amp;IF(AND(ISNUMBER('SC Change Orders'!$B129),COUNTIFS('SC Change Orders'!$B$2:$B$501,'SC Change Orders'!$B129,'SC Change Orders'!$C$2:$C$501,'SC Change Orders'!$C129,'SC Change Orders'!$D$2:$D$501,'SC Change Orders'!$D129,'SC Change Orders'!$F$2:$F$501,'SC Change Orders'!$F129,'SC Change Orders'!$E$2:$E$501,'SC Change Orders'!$E129)&gt;1),"Duplicate of another row — funds counted twice; ","")&amp;IF(ISNUMBER('SC Change Orders'!$F129),IF('SC Change Orders'!$F129&lt;&gt;0,IF(AND(ISNUMBER('SC Change Orders'!$B129),NOT(COUNTIFS('SC Change Orders'!$B$2:$B$501,'SC Change Orders'!$B129,'SC Change Orders'!$C$2:$C$501,'SC Change Orders'!$C129,'SC Change Orders'!$D$2:$D$501,'SC Change Orders'!$D129,'SC Change Orders'!$F$2:$F$501,'SC Change Orders'!$F129,'SC Change Orders'!$E$2:$E$501,'SC Change Orders'!$E129)&gt;1),COUNTIFS('SC Change Orders'!$B$2:$B$501,'SC Change Orders'!$B129,'SC Change Orders'!$F$2:$F$501,'SC Change Orders'!$F129)&gt;1),  "Same PO and Amount Added as another row — check for a restatement counted twice; ",""),""),""))</f>
        <v/>
      </c>
    </row>
    <row r="148" customFormat="false" ht="15" hidden="false" customHeight="false" outlineLevel="0" collapsed="false">
      <c r="A148" s="18" t="str">
        <f aca="false">IF(AND('SC Change Orders'!$A130="",'SC Change Orders'!$B130="",'SC Change Orders'!$C130=""),"",130)</f>
        <v/>
      </c>
      <c r="B148" s="31" t="str">
        <f aca="false">IF($A148="","",'SC Change Orders'!$A130)</f>
        <v/>
      </c>
      <c r="C148" s="18" t="str">
        <f aca="false">IF($A148="","",'SC Change Orders'!$B130)</f>
        <v/>
      </c>
      <c r="D148" s="32" t="str">
        <f aca="false">IF($A148="","",'SC Change Orders'!$C130)</f>
        <v/>
      </c>
      <c r="E148" s="31" t="str">
        <f aca="false">IF($A148="","",'SC Change Orders'!$D130)</f>
        <v/>
      </c>
      <c r="F148" s="33" t="str">
        <f aca="false">IF($A148="","",'SC Change Orders'!$E130)</f>
        <v/>
      </c>
      <c r="G148" s="33" t="str">
        <f aca="false">IF($A148="","",'SC Change Orders'!$F130)</f>
        <v/>
      </c>
      <c r="H148" s="33" t="str">
        <f aca="false">IF($A148="","",'SC Change Orders'!$G130)</f>
        <v/>
      </c>
      <c r="I148" s="34" t="str">
        <f aca="false">IF($A148="","",IF(AND(ISNUMBER('SC Change Orders'!$C130),'SC Change Orders'!$C130&gt;=Controls!$C$5,'SC Change Orders'!$C130&lt;=Controls!$C$6),"Yes","No"))</f>
        <v/>
      </c>
      <c r="J148" s="31" t="str">
        <f aca="false">IF($A148="","",IF($K148="","OK",$K148))</f>
        <v/>
      </c>
      <c r="K148" s="0" t="str">
        <f aca="false">IF($A148="","",IF(NOT(ISNUMBER('SC Change Orders'!$B130)),"PO not numeric — row is invisible to the tracker; ","")&amp;IF(NOT(ISNUMBER('SC Change Orders'!$C130)),"Date missing or text — row excluded; ",  IF(OR('SC Change Orders'!$C130&lt;Controls!$C$5,'SC Change Orders'!$C130&gt;Controls!$C$6),"Dated outside the FY window — excluded; ",""))&amp;IF(AND('SC Change Orders'!$E130&lt;&gt;"",NOT(ISNUMBER('SC Change Orders'!$E130))),"Original Amount held as text — ignored by MINIFS; ","")&amp;IF(AND('SC Change Orders'!$F130&lt;&gt;"",NOT(ISNUMBER('SC Change Orders'!$F130))),"Amount Added held as text — ignored by SUMIFS; ","")&amp;IF(ISNUMBER('SC Change Orders'!$E130),IF(ISNUMBER('SC Change Orders'!$F130),IF(ISNUMBER('SC Change Orders'!$G130),  IF('SC Change Orders'!$G130&gt;0,IF(ROUND('SC Change Orders'!$E130+'SC Change Orders'!$F130,2)&lt;&gt;ROUND('SC Change Orders'!$G130,2),  "Original + Added &lt;&gt; Total Line Cost Allotted; ",""),""),""),""),"")&amp;IF(AND(ISNUMBER('SC Change Orders'!$B130),COUNTIFS('SC Change Orders'!$B$2:$B$501,'SC Change Orders'!$B130,'SC Change Orders'!$C$2:$C$501,'SC Change Orders'!$C130,'SC Change Orders'!$D$2:$D$501,'SC Change Orders'!$D130,'SC Change Orders'!$F$2:$F$501,'SC Change Orders'!$F130,'SC Change Orders'!$E$2:$E$501,'SC Change Orders'!$E130)&gt;1),"Duplicate of another row — funds counted twice; ","")&amp;IF(ISNUMBER('SC Change Orders'!$F130),IF('SC Change Orders'!$F130&lt;&gt;0,IF(AND(ISNUMBER('SC Change Orders'!$B130),NOT(COUNTIFS('SC Change Orders'!$B$2:$B$501,'SC Change Orders'!$B130,'SC Change Orders'!$C$2:$C$501,'SC Change Orders'!$C130,'SC Change Orders'!$D$2:$D$501,'SC Change Orders'!$D130,'SC Change Orders'!$F$2:$F$501,'SC Change Orders'!$F130,'SC Change Orders'!$E$2:$E$501,'SC Change Orders'!$E130)&gt;1),COUNTIFS('SC Change Orders'!$B$2:$B$501,'SC Change Orders'!$B130,'SC Change Orders'!$F$2:$F$501,'SC Change Orders'!$F130)&gt;1),  "Same PO and Amount Added as another row — check for a restatement counted twice; ",""),""),""))</f>
        <v/>
      </c>
    </row>
    <row r="149" customFormat="false" ht="15" hidden="false" customHeight="false" outlineLevel="0" collapsed="false">
      <c r="A149" s="18" t="str">
        <f aca="false">IF(AND('SC Change Orders'!$A131="",'SC Change Orders'!$B131="",'SC Change Orders'!$C131=""),"",131)</f>
        <v/>
      </c>
      <c r="B149" s="31" t="str">
        <f aca="false">IF($A149="","",'SC Change Orders'!$A131)</f>
        <v/>
      </c>
      <c r="C149" s="18" t="str">
        <f aca="false">IF($A149="","",'SC Change Orders'!$B131)</f>
        <v/>
      </c>
      <c r="D149" s="32" t="str">
        <f aca="false">IF($A149="","",'SC Change Orders'!$C131)</f>
        <v/>
      </c>
      <c r="E149" s="31" t="str">
        <f aca="false">IF($A149="","",'SC Change Orders'!$D131)</f>
        <v/>
      </c>
      <c r="F149" s="33" t="str">
        <f aca="false">IF($A149="","",'SC Change Orders'!$E131)</f>
        <v/>
      </c>
      <c r="G149" s="33" t="str">
        <f aca="false">IF($A149="","",'SC Change Orders'!$F131)</f>
        <v/>
      </c>
      <c r="H149" s="33" t="str">
        <f aca="false">IF($A149="","",'SC Change Orders'!$G131)</f>
        <v/>
      </c>
      <c r="I149" s="34" t="str">
        <f aca="false">IF($A149="","",IF(AND(ISNUMBER('SC Change Orders'!$C131),'SC Change Orders'!$C131&gt;=Controls!$C$5,'SC Change Orders'!$C131&lt;=Controls!$C$6),"Yes","No"))</f>
        <v/>
      </c>
      <c r="J149" s="31" t="str">
        <f aca="false">IF($A149="","",IF($K149="","OK",$K149))</f>
        <v/>
      </c>
      <c r="K149" s="0" t="str">
        <f aca="false">IF($A149="","",IF(NOT(ISNUMBER('SC Change Orders'!$B131)),"PO not numeric — row is invisible to the tracker; ","")&amp;IF(NOT(ISNUMBER('SC Change Orders'!$C131)),"Date missing or text — row excluded; ",  IF(OR('SC Change Orders'!$C131&lt;Controls!$C$5,'SC Change Orders'!$C131&gt;Controls!$C$6),"Dated outside the FY window — excluded; ",""))&amp;IF(AND('SC Change Orders'!$E131&lt;&gt;"",NOT(ISNUMBER('SC Change Orders'!$E131))),"Original Amount held as text — ignored by MINIFS; ","")&amp;IF(AND('SC Change Orders'!$F131&lt;&gt;"",NOT(ISNUMBER('SC Change Orders'!$F131))),"Amount Added held as text — ignored by SUMIFS; ","")&amp;IF(ISNUMBER('SC Change Orders'!$E131),IF(ISNUMBER('SC Change Orders'!$F131),IF(ISNUMBER('SC Change Orders'!$G131),  IF('SC Change Orders'!$G131&gt;0,IF(ROUND('SC Change Orders'!$E131+'SC Change Orders'!$F131,2)&lt;&gt;ROUND('SC Change Orders'!$G131,2),  "Original + Added &lt;&gt; Total Line Cost Allotted; ",""),""),""),""),"")&amp;IF(AND(ISNUMBER('SC Change Orders'!$B131),COUNTIFS('SC Change Orders'!$B$2:$B$501,'SC Change Orders'!$B131,'SC Change Orders'!$C$2:$C$501,'SC Change Orders'!$C131,'SC Change Orders'!$D$2:$D$501,'SC Change Orders'!$D131,'SC Change Orders'!$F$2:$F$501,'SC Change Orders'!$F131,'SC Change Orders'!$E$2:$E$501,'SC Change Orders'!$E131)&gt;1),"Duplicate of another row — funds counted twice; ","")&amp;IF(ISNUMBER('SC Change Orders'!$F131),IF('SC Change Orders'!$F131&lt;&gt;0,IF(AND(ISNUMBER('SC Change Orders'!$B131),NOT(COUNTIFS('SC Change Orders'!$B$2:$B$501,'SC Change Orders'!$B131,'SC Change Orders'!$C$2:$C$501,'SC Change Orders'!$C131,'SC Change Orders'!$D$2:$D$501,'SC Change Orders'!$D131,'SC Change Orders'!$F$2:$F$501,'SC Change Orders'!$F131,'SC Change Orders'!$E$2:$E$501,'SC Change Orders'!$E131)&gt;1),COUNTIFS('SC Change Orders'!$B$2:$B$501,'SC Change Orders'!$B131,'SC Change Orders'!$F$2:$F$501,'SC Change Orders'!$F131)&gt;1),  "Same PO and Amount Added as another row — check for a restatement counted twice; ",""),""),""))</f>
        <v/>
      </c>
    </row>
    <row r="150" customFormat="false" ht="15" hidden="false" customHeight="false" outlineLevel="0" collapsed="false">
      <c r="A150" s="18" t="str">
        <f aca="false">IF(AND('SC Change Orders'!$A132="",'SC Change Orders'!$B132="",'SC Change Orders'!$C132=""),"",132)</f>
        <v/>
      </c>
      <c r="B150" s="31" t="str">
        <f aca="false">IF($A150="","",'SC Change Orders'!$A132)</f>
        <v/>
      </c>
      <c r="C150" s="18" t="str">
        <f aca="false">IF($A150="","",'SC Change Orders'!$B132)</f>
        <v/>
      </c>
      <c r="D150" s="32" t="str">
        <f aca="false">IF($A150="","",'SC Change Orders'!$C132)</f>
        <v/>
      </c>
      <c r="E150" s="31" t="str">
        <f aca="false">IF($A150="","",'SC Change Orders'!$D132)</f>
        <v/>
      </c>
      <c r="F150" s="33" t="str">
        <f aca="false">IF($A150="","",'SC Change Orders'!$E132)</f>
        <v/>
      </c>
      <c r="G150" s="33" t="str">
        <f aca="false">IF($A150="","",'SC Change Orders'!$F132)</f>
        <v/>
      </c>
      <c r="H150" s="33" t="str">
        <f aca="false">IF($A150="","",'SC Change Orders'!$G132)</f>
        <v/>
      </c>
      <c r="I150" s="34" t="str">
        <f aca="false">IF($A150="","",IF(AND(ISNUMBER('SC Change Orders'!$C132),'SC Change Orders'!$C132&gt;=Controls!$C$5,'SC Change Orders'!$C132&lt;=Controls!$C$6),"Yes","No"))</f>
        <v/>
      </c>
      <c r="J150" s="31" t="str">
        <f aca="false">IF($A150="","",IF($K150="","OK",$K150))</f>
        <v/>
      </c>
      <c r="K150" s="0" t="str">
        <f aca="false">IF($A150="","",IF(NOT(ISNUMBER('SC Change Orders'!$B132)),"PO not numeric — row is invisible to the tracker; ","")&amp;IF(NOT(ISNUMBER('SC Change Orders'!$C132)),"Date missing or text — row excluded; ",  IF(OR('SC Change Orders'!$C132&lt;Controls!$C$5,'SC Change Orders'!$C132&gt;Controls!$C$6),"Dated outside the FY window — excluded; ",""))&amp;IF(AND('SC Change Orders'!$E132&lt;&gt;"",NOT(ISNUMBER('SC Change Orders'!$E132))),"Original Amount held as text — ignored by MINIFS; ","")&amp;IF(AND('SC Change Orders'!$F132&lt;&gt;"",NOT(ISNUMBER('SC Change Orders'!$F132))),"Amount Added held as text — ignored by SUMIFS; ","")&amp;IF(ISNUMBER('SC Change Orders'!$E132),IF(ISNUMBER('SC Change Orders'!$F132),IF(ISNUMBER('SC Change Orders'!$G132),  IF('SC Change Orders'!$G132&gt;0,IF(ROUND('SC Change Orders'!$E132+'SC Change Orders'!$F132,2)&lt;&gt;ROUND('SC Change Orders'!$G132,2),  "Original + Added &lt;&gt; Total Line Cost Allotted; ",""),""),""),""),"")&amp;IF(AND(ISNUMBER('SC Change Orders'!$B132),COUNTIFS('SC Change Orders'!$B$2:$B$501,'SC Change Orders'!$B132,'SC Change Orders'!$C$2:$C$501,'SC Change Orders'!$C132,'SC Change Orders'!$D$2:$D$501,'SC Change Orders'!$D132,'SC Change Orders'!$F$2:$F$501,'SC Change Orders'!$F132,'SC Change Orders'!$E$2:$E$501,'SC Change Orders'!$E132)&gt;1),"Duplicate of another row — funds counted twice; ","")&amp;IF(ISNUMBER('SC Change Orders'!$F132),IF('SC Change Orders'!$F132&lt;&gt;0,IF(AND(ISNUMBER('SC Change Orders'!$B132),NOT(COUNTIFS('SC Change Orders'!$B$2:$B$501,'SC Change Orders'!$B132,'SC Change Orders'!$C$2:$C$501,'SC Change Orders'!$C132,'SC Change Orders'!$D$2:$D$501,'SC Change Orders'!$D132,'SC Change Orders'!$F$2:$F$501,'SC Change Orders'!$F132,'SC Change Orders'!$E$2:$E$501,'SC Change Orders'!$E132)&gt;1),COUNTIFS('SC Change Orders'!$B$2:$B$501,'SC Change Orders'!$B132,'SC Change Orders'!$F$2:$F$501,'SC Change Orders'!$F132)&gt;1),  "Same PO and Amount Added as another row — check for a restatement counted twice; ",""),""),""))</f>
        <v/>
      </c>
    </row>
    <row r="151" customFormat="false" ht="15" hidden="false" customHeight="false" outlineLevel="0" collapsed="false">
      <c r="A151" s="18" t="str">
        <f aca="false">IF(AND('SC Change Orders'!$A133="",'SC Change Orders'!$B133="",'SC Change Orders'!$C133=""),"",133)</f>
        <v/>
      </c>
      <c r="B151" s="31" t="str">
        <f aca="false">IF($A151="","",'SC Change Orders'!$A133)</f>
        <v/>
      </c>
      <c r="C151" s="18" t="str">
        <f aca="false">IF($A151="","",'SC Change Orders'!$B133)</f>
        <v/>
      </c>
      <c r="D151" s="32" t="str">
        <f aca="false">IF($A151="","",'SC Change Orders'!$C133)</f>
        <v/>
      </c>
      <c r="E151" s="31" t="str">
        <f aca="false">IF($A151="","",'SC Change Orders'!$D133)</f>
        <v/>
      </c>
      <c r="F151" s="33" t="str">
        <f aca="false">IF($A151="","",'SC Change Orders'!$E133)</f>
        <v/>
      </c>
      <c r="G151" s="33" t="str">
        <f aca="false">IF($A151="","",'SC Change Orders'!$F133)</f>
        <v/>
      </c>
      <c r="H151" s="33" t="str">
        <f aca="false">IF($A151="","",'SC Change Orders'!$G133)</f>
        <v/>
      </c>
      <c r="I151" s="34" t="str">
        <f aca="false">IF($A151="","",IF(AND(ISNUMBER('SC Change Orders'!$C133),'SC Change Orders'!$C133&gt;=Controls!$C$5,'SC Change Orders'!$C133&lt;=Controls!$C$6),"Yes","No"))</f>
        <v/>
      </c>
      <c r="J151" s="31" t="str">
        <f aca="false">IF($A151="","",IF($K151="","OK",$K151))</f>
        <v/>
      </c>
      <c r="K151" s="0" t="str">
        <f aca="false">IF($A151="","",IF(NOT(ISNUMBER('SC Change Orders'!$B133)),"PO not numeric — row is invisible to the tracker; ","")&amp;IF(NOT(ISNUMBER('SC Change Orders'!$C133)),"Date missing or text — row excluded; ",  IF(OR('SC Change Orders'!$C133&lt;Controls!$C$5,'SC Change Orders'!$C133&gt;Controls!$C$6),"Dated outside the FY window — excluded; ",""))&amp;IF(AND('SC Change Orders'!$E133&lt;&gt;"",NOT(ISNUMBER('SC Change Orders'!$E133))),"Original Amount held as text — ignored by MINIFS; ","")&amp;IF(AND('SC Change Orders'!$F133&lt;&gt;"",NOT(ISNUMBER('SC Change Orders'!$F133))),"Amount Added held as text — ignored by SUMIFS; ","")&amp;IF(ISNUMBER('SC Change Orders'!$E133),IF(ISNUMBER('SC Change Orders'!$F133),IF(ISNUMBER('SC Change Orders'!$G133),  IF('SC Change Orders'!$G133&gt;0,IF(ROUND('SC Change Orders'!$E133+'SC Change Orders'!$F133,2)&lt;&gt;ROUND('SC Change Orders'!$G133,2),  "Original + Added &lt;&gt; Total Line Cost Allotted; ",""),""),""),""),"")&amp;IF(AND(ISNUMBER('SC Change Orders'!$B133),COUNTIFS('SC Change Orders'!$B$2:$B$501,'SC Change Orders'!$B133,'SC Change Orders'!$C$2:$C$501,'SC Change Orders'!$C133,'SC Change Orders'!$D$2:$D$501,'SC Change Orders'!$D133,'SC Change Orders'!$F$2:$F$501,'SC Change Orders'!$F133,'SC Change Orders'!$E$2:$E$501,'SC Change Orders'!$E133)&gt;1),"Duplicate of another row — funds counted twice; ","")&amp;IF(ISNUMBER('SC Change Orders'!$F133),IF('SC Change Orders'!$F133&lt;&gt;0,IF(AND(ISNUMBER('SC Change Orders'!$B133),NOT(COUNTIFS('SC Change Orders'!$B$2:$B$501,'SC Change Orders'!$B133,'SC Change Orders'!$C$2:$C$501,'SC Change Orders'!$C133,'SC Change Orders'!$D$2:$D$501,'SC Change Orders'!$D133,'SC Change Orders'!$F$2:$F$501,'SC Change Orders'!$F133,'SC Change Orders'!$E$2:$E$501,'SC Change Orders'!$E133)&gt;1),COUNTIFS('SC Change Orders'!$B$2:$B$501,'SC Change Orders'!$B133,'SC Change Orders'!$F$2:$F$501,'SC Change Orders'!$F133)&gt;1),  "Same PO and Amount Added as another row — check for a restatement counted twice; ",""),""),""))</f>
        <v/>
      </c>
    </row>
    <row r="152" customFormat="false" ht="15" hidden="false" customHeight="false" outlineLevel="0" collapsed="false">
      <c r="A152" s="18" t="str">
        <f aca="false">IF(AND('SC Change Orders'!$A134="",'SC Change Orders'!$B134="",'SC Change Orders'!$C134=""),"",134)</f>
        <v/>
      </c>
      <c r="B152" s="31" t="str">
        <f aca="false">IF($A152="","",'SC Change Orders'!$A134)</f>
        <v/>
      </c>
      <c r="C152" s="18" t="str">
        <f aca="false">IF($A152="","",'SC Change Orders'!$B134)</f>
        <v/>
      </c>
      <c r="D152" s="32" t="str">
        <f aca="false">IF($A152="","",'SC Change Orders'!$C134)</f>
        <v/>
      </c>
      <c r="E152" s="31" t="str">
        <f aca="false">IF($A152="","",'SC Change Orders'!$D134)</f>
        <v/>
      </c>
      <c r="F152" s="33" t="str">
        <f aca="false">IF($A152="","",'SC Change Orders'!$E134)</f>
        <v/>
      </c>
      <c r="G152" s="33" t="str">
        <f aca="false">IF($A152="","",'SC Change Orders'!$F134)</f>
        <v/>
      </c>
      <c r="H152" s="33" t="str">
        <f aca="false">IF($A152="","",'SC Change Orders'!$G134)</f>
        <v/>
      </c>
      <c r="I152" s="34" t="str">
        <f aca="false">IF($A152="","",IF(AND(ISNUMBER('SC Change Orders'!$C134),'SC Change Orders'!$C134&gt;=Controls!$C$5,'SC Change Orders'!$C134&lt;=Controls!$C$6),"Yes","No"))</f>
        <v/>
      </c>
      <c r="J152" s="31" t="str">
        <f aca="false">IF($A152="","",IF($K152="","OK",$K152))</f>
        <v/>
      </c>
      <c r="K152" s="0" t="str">
        <f aca="false">IF($A152="","",IF(NOT(ISNUMBER('SC Change Orders'!$B134)),"PO not numeric — row is invisible to the tracker; ","")&amp;IF(NOT(ISNUMBER('SC Change Orders'!$C134)),"Date missing or text — row excluded; ",  IF(OR('SC Change Orders'!$C134&lt;Controls!$C$5,'SC Change Orders'!$C134&gt;Controls!$C$6),"Dated outside the FY window — excluded; ",""))&amp;IF(AND('SC Change Orders'!$E134&lt;&gt;"",NOT(ISNUMBER('SC Change Orders'!$E134))),"Original Amount held as text — ignored by MINIFS; ","")&amp;IF(AND('SC Change Orders'!$F134&lt;&gt;"",NOT(ISNUMBER('SC Change Orders'!$F134))),"Amount Added held as text — ignored by SUMIFS; ","")&amp;IF(ISNUMBER('SC Change Orders'!$E134),IF(ISNUMBER('SC Change Orders'!$F134),IF(ISNUMBER('SC Change Orders'!$G134),  IF('SC Change Orders'!$G134&gt;0,IF(ROUND('SC Change Orders'!$E134+'SC Change Orders'!$F134,2)&lt;&gt;ROUND('SC Change Orders'!$G134,2),  "Original + Added &lt;&gt; Total Line Cost Allotted; ",""),""),""),""),"")&amp;IF(AND(ISNUMBER('SC Change Orders'!$B134),COUNTIFS('SC Change Orders'!$B$2:$B$501,'SC Change Orders'!$B134,'SC Change Orders'!$C$2:$C$501,'SC Change Orders'!$C134,'SC Change Orders'!$D$2:$D$501,'SC Change Orders'!$D134,'SC Change Orders'!$F$2:$F$501,'SC Change Orders'!$F134,'SC Change Orders'!$E$2:$E$501,'SC Change Orders'!$E134)&gt;1),"Duplicate of another row — funds counted twice; ","")&amp;IF(ISNUMBER('SC Change Orders'!$F134),IF('SC Change Orders'!$F134&lt;&gt;0,IF(AND(ISNUMBER('SC Change Orders'!$B134),NOT(COUNTIFS('SC Change Orders'!$B$2:$B$501,'SC Change Orders'!$B134,'SC Change Orders'!$C$2:$C$501,'SC Change Orders'!$C134,'SC Change Orders'!$D$2:$D$501,'SC Change Orders'!$D134,'SC Change Orders'!$F$2:$F$501,'SC Change Orders'!$F134,'SC Change Orders'!$E$2:$E$501,'SC Change Orders'!$E134)&gt;1),COUNTIFS('SC Change Orders'!$B$2:$B$501,'SC Change Orders'!$B134,'SC Change Orders'!$F$2:$F$501,'SC Change Orders'!$F134)&gt;1),  "Same PO and Amount Added as another row — check for a restatement counted twice; ",""),""),""))</f>
        <v/>
      </c>
    </row>
    <row r="153" customFormat="false" ht="15" hidden="false" customHeight="false" outlineLevel="0" collapsed="false">
      <c r="A153" s="18" t="str">
        <f aca="false">IF(AND('SC Change Orders'!$A135="",'SC Change Orders'!$B135="",'SC Change Orders'!$C135=""),"",135)</f>
        <v/>
      </c>
      <c r="B153" s="31" t="str">
        <f aca="false">IF($A153="","",'SC Change Orders'!$A135)</f>
        <v/>
      </c>
      <c r="C153" s="18" t="str">
        <f aca="false">IF($A153="","",'SC Change Orders'!$B135)</f>
        <v/>
      </c>
      <c r="D153" s="32" t="str">
        <f aca="false">IF($A153="","",'SC Change Orders'!$C135)</f>
        <v/>
      </c>
      <c r="E153" s="31" t="str">
        <f aca="false">IF($A153="","",'SC Change Orders'!$D135)</f>
        <v/>
      </c>
      <c r="F153" s="33" t="str">
        <f aca="false">IF($A153="","",'SC Change Orders'!$E135)</f>
        <v/>
      </c>
      <c r="G153" s="33" t="str">
        <f aca="false">IF($A153="","",'SC Change Orders'!$F135)</f>
        <v/>
      </c>
      <c r="H153" s="33" t="str">
        <f aca="false">IF($A153="","",'SC Change Orders'!$G135)</f>
        <v/>
      </c>
      <c r="I153" s="34" t="str">
        <f aca="false">IF($A153="","",IF(AND(ISNUMBER('SC Change Orders'!$C135),'SC Change Orders'!$C135&gt;=Controls!$C$5,'SC Change Orders'!$C135&lt;=Controls!$C$6),"Yes","No"))</f>
        <v/>
      </c>
      <c r="J153" s="31" t="str">
        <f aca="false">IF($A153="","",IF($K153="","OK",$K153))</f>
        <v/>
      </c>
      <c r="K153" s="0" t="str">
        <f aca="false">IF($A153="","",IF(NOT(ISNUMBER('SC Change Orders'!$B135)),"PO not numeric — row is invisible to the tracker; ","")&amp;IF(NOT(ISNUMBER('SC Change Orders'!$C135)),"Date missing or text — row excluded; ",  IF(OR('SC Change Orders'!$C135&lt;Controls!$C$5,'SC Change Orders'!$C135&gt;Controls!$C$6),"Dated outside the FY window — excluded; ",""))&amp;IF(AND('SC Change Orders'!$E135&lt;&gt;"",NOT(ISNUMBER('SC Change Orders'!$E135))),"Original Amount held as text — ignored by MINIFS; ","")&amp;IF(AND('SC Change Orders'!$F135&lt;&gt;"",NOT(ISNUMBER('SC Change Orders'!$F135))),"Amount Added held as text — ignored by SUMIFS; ","")&amp;IF(ISNUMBER('SC Change Orders'!$E135),IF(ISNUMBER('SC Change Orders'!$F135),IF(ISNUMBER('SC Change Orders'!$G135),  IF('SC Change Orders'!$G135&gt;0,IF(ROUND('SC Change Orders'!$E135+'SC Change Orders'!$F135,2)&lt;&gt;ROUND('SC Change Orders'!$G135,2),  "Original + Added &lt;&gt; Total Line Cost Allotted; ",""),""),""),""),"")&amp;IF(AND(ISNUMBER('SC Change Orders'!$B135),COUNTIFS('SC Change Orders'!$B$2:$B$501,'SC Change Orders'!$B135,'SC Change Orders'!$C$2:$C$501,'SC Change Orders'!$C135,'SC Change Orders'!$D$2:$D$501,'SC Change Orders'!$D135,'SC Change Orders'!$F$2:$F$501,'SC Change Orders'!$F135,'SC Change Orders'!$E$2:$E$501,'SC Change Orders'!$E135)&gt;1),"Duplicate of another row — funds counted twice; ","")&amp;IF(ISNUMBER('SC Change Orders'!$F135),IF('SC Change Orders'!$F135&lt;&gt;0,IF(AND(ISNUMBER('SC Change Orders'!$B135),NOT(COUNTIFS('SC Change Orders'!$B$2:$B$501,'SC Change Orders'!$B135,'SC Change Orders'!$C$2:$C$501,'SC Change Orders'!$C135,'SC Change Orders'!$D$2:$D$501,'SC Change Orders'!$D135,'SC Change Orders'!$F$2:$F$501,'SC Change Orders'!$F135,'SC Change Orders'!$E$2:$E$501,'SC Change Orders'!$E135)&gt;1),COUNTIFS('SC Change Orders'!$B$2:$B$501,'SC Change Orders'!$B135,'SC Change Orders'!$F$2:$F$501,'SC Change Orders'!$F135)&gt;1),  "Same PO and Amount Added as another row — check for a restatement counted twice; ",""),""),""))</f>
        <v/>
      </c>
    </row>
    <row r="154" customFormat="false" ht="15" hidden="false" customHeight="false" outlineLevel="0" collapsed="false">
      <c r="A154" s="18" t="str">
        <f aca="false">IF(AND('SC Change Orders'!$A136="",'SC Change Orders'!$B136="",'SC Change Orders'!$C136=""),"",136)</f>
        <v/>
      </c>
      <c r="B154" s="31" t="str">
        <f aca="false">IF($A154="","",'SC Change Orders'!$A136)</f>
        <v/>
      </c>
      <c r="C154" s="18" t="str">
        <f aca="false">IF($A154="","",'SC Change Orders'!$B136)</f>
        <v/>
      </c>
      <c r="D154" s="32" t="str">
        <f aca="false">IF($A154="","",'SC Change Orders'!$C136)</f>
        <v/>
      </c>
      <c r="E154" s="31" t="str">
        <f aca="false">IF($A154="","",'SC Change Orders'!$D136)</f>
        <v/>
      </c>
      <c r="F154" s="33" t="str">
        <f aca="false">IF($A154="","",'SC Change Orders'!$E136)</f>
        <v/>
      </c>
      <c r="G154" s="33" t="str">
        <f aca="false">IF($A154="","",'SC Change Orders'!$F136)</f>
        <v/>
      </c>
      <c r="H154" s="33" t="str">
        <f aca="false">IF($A154="","",'SC Change Orders'!$G136)</f>
        <v/>
      </c>
      <c r="I154" s="34" t="str">
        <f aca="false">IF($A154="","",IF(AND(ISNUMBER('SC Change Orders'!$C136),'SC Change Orders'!$C136&gt;=Controls!$C$5,'SC Change Orders'!$C136&lt;=Controls!$C$6),"Yes","No"))</f>
        <v/>
      </c>
      <c r="J154" s="31" t="str">
        <f aca="false">IF($A154="","",IF($K154="","OK",$K154))</f>
        <v/>
      </c>
      <c r="K154" s="0" t="str">
        <f aca="false">IF($A154="","",IF(NOT(ISNUMBER('SC Change Orders'!$B136)),"PO not numeric — row is invisible to the tracker; ","")&amp;IF(NOT(ISNUMBER('SC Change Orders'!$C136)),"Date missing or text — row excluded; ",  IF(OR('SC Change Orders'!$C136&lt;Controls!$C$5,'SC Change Orders'!$C136&gt;Controls!$C$6),"Dated outside the FY window — excluded; ",""))&amp;IF(AND('SC Change Orders'!$E136&lt;&gt;"",NOT(ISNUMBER('SC Change Orders'!$E136))),"Original Amount held as text — ignored by MINIFS; ","")&amp;IF(AND('SC Change Orders'!$F136&lt;&gt;"",NOT(ISNUMBER('SC Change Orders'!$F136))),"Amount Added held as text — ignored by SUMIFS; ","")&amp;IF(ISNUMBER('SC Change Orders'!$E136),IF(ISNUMBER('SC Change Orders'!$F136),IF(ISNUMBER('SC Change Orders'!$G136),  IF('SC Change Orders'!$G136&gt;0,IF(ROUND('SC Change Orders'!$E136+'SC Change Orders'!$F136,2)&lt;&gt;ROUND('SC Change Orders'!$G136,2),  "Original + Added &lt;&gt; Total Line Cost Allotted; ",""),""),""),""),"")&amp;IF(AND(ISNUMBER('SC Change Orders'!$B136),COUNTIFS('SC Change Orders'!$B$2:$B$501,'SC Change Orders'!$B136,'SC Change Orders'!$C$2:$C$501,'SC Change Orders'!$C136,'SC Change Orders'!$D$2:$D$501,'SC Change Orders'!$D136,'SC Change Orders'!$F$2:$F$501,'SC Change Orders'!$F136,'SC Change Orders'!$E$2:$E$501,'SC Change Orders'!$E136)&gt;1),"Duplicate of another row — funds counted twice; ","")&amp;IF(ISNUMBER('SC Change Orders'!$F136),IF('SC Change Orders'!$F136&lt;&gt;0,IF(AND(ISNUMBER('SC Change Orders'!$B136),NOT(COUNTIFS('SC Change Orders'!$B$2:$B$501,'SC Change Orders'!$B136,'SC Change Orders'!$C$2:$C$501,'SC Change Orders'!$C136,'SC Change Orders'!$D$2:$D$501,'SC Change Orders'!$D136,'SC Change Orders'!$F$2:$F$501,'SC Change Orders'!$F136,'SC Change Orders'!$E$2:$E$501,'SC Change Orders'!$E136)&gt;1),COUNTIFS('SC Change Orders'!$B$2:$B$501,'SC Change Orders'!$B136,'SC Change Orders'!$F$2:$F$501,'SC Change Orders'!$F136)&gt;1),  "Same PO and Amount Added as another row — check for a restatement counted twice; ",""),""),""))</f>
        <v/>
      </c>
    </row>
    <row r="155" customFormat="false" ht="15" hidden="false" customHeight="false" outlineLevel="0" collapsed="false">
      <c r="A155" s="18" t="str">
        <f aca="false">IF(AND('SC Change Orders'!$A137="",'SC Change Orders'!$B137="",'SC Change Orders'!$C137=""),"",137)</f>
        <v/>
      </c>
      <c r="B155" s="31" t="str">
        <f aca="false">IF($A155="","",'SC Change Orders'!$A137)</f>
        <v/>
      </c>
      <c r="C155" s="18" t="str">
        <f aca="false">IF($A155="","",'SC Change Orders'!$B137)</f>
        <v/>
      </c>
      <c r="D155" s="32" t="str">
        <f aca="false">IF($A155="","",'SC Change Orders'!$C137)</f>
        <v/>
      </c>
      <c r="E155" s="31" t="str">
        <f aca="false">IF($A155="","",'SC Change Orders'!$D137)</f>
        <v/>
      </c>
      <c r="F155" s="33" t="str">
        <f aca="false">IF($A155="","",'SC Change Orders'!$E137)</f>
        <v/>
      </c>
      <c r="G155" s="33" t="str">
        <f aca="false">IF($A155="","",'SC Change Orders'!$F137)</f>
        <v/>
      </c>
      <c r="H155" s="33" t="str">
        <f aca="false">IF($A155="","",'SC Change Orders'!$G137)</f>
        <v/>
      </c>
      <c r="I155" s="34" t="str">
        <f aca="false">IF($A155="","",IF(AND(ISNUMBER('SC Change Orders'!$C137),'SC Change Orders'!$C137&gt;=Controls!$C$5,'SC Change Orders'!$C137&lt;=Controls!$C$6),"Yes","No"))</f>
        <v/>
      </c>
      <c r="J155" s="31" t="str">
        <f aca="false">IF($A155="","",IF($K155="","OK",$K155))</f>
        <v/>
      </c>
      <c r="K155" s="0" t="str">
        <f aca="false">IF($A155="","",IF(NOT(ISNUMBER('SC Change Orders'!$B137)),"PO not numeric — row is invisible to the tracker; ","")&amp;IF(NOT(ISNUMBER('SC Change Orders'!$C137)),"Date missing or text — row excluded; ",  IF(OR('SC Change Orders'!$C137&lt;Controls!$C$5,'SC Change Orders'!$C137&gt;Controls!$C$6),"Dated outside the FY window — excluded; ",""))&amp;IF(AND('SC Change Orders'!$E137&lt;&gt;"",NOT(ISNUMBER('SC Change Orders'!$E137))),"Original Amount held as text — ignored by MINIFS; ","")&amp;IF(AND('SC Change Orders'!$F137&lt;&gt;"",NOT(ISNUMBER('SC Change Orders'!$F137))),"Amount Added held as text — ignored by SUMIFS; ","")&amp;IF(ISNUMBER('SC Change Orders'!$E137),IF(ISNUMBER('SC Change Orders'!$F137),IF(ISNUMBER('SC Change Orders'!$G137),  IF('SC Change Orders'!$G137&gt;0,IF(ROUND('SC Change Orders'!$E137+'SC Change Orders'!$F137,2)&lt;&gt;ROUND('SC Change Orders'!$G137,2),  "Original + Added &lt;&gt; Total Line Cost Allotted; ",""),""),""),""),"")&amp;IF(AND(ISNUMBER('SC Change Orders'!$B137),COUNTIFS('SC Change Orders'!$B$2:$B$501,'SC Change Orders'!$B137,'SC Change Orders'!$C$2:$C$501,'SC Change Orders'!$C137,'SC Change Orders'!$D$2:$D$501,'SC Change Orders'!$D137,'SC Change Orders'!$F$2:$F$501,'SC Change Orders'!$F137,'SC Change Orders'!$E$2:$E$501,'SC Change Orders'!$E137)&gt;1),"Duplicate of another row — funds counted twice; ","")&amp;IF(ISNUMBER('SC Change Orders'!$F137),IF('SC Change Orders'!$F137&lt;&gt;0,IF(AND(ISNUMBER('SC Change Orders'!$B137),NOT(COUNTIFS('SC Change Orders'!$B$2:$B$501,'SC Change Orders'!$B137,'SC Change Orders'!$C$2:$C$501,'SC Change Orders'!$C137,'SC Change Orders'!$D$2:$D$501,'SC Change Orders'!$D137,'SC Change Orders'!$F$2:$F$501,'SC Change Orders'!$F137,'SC Change Orders'!$E$2:$E$501,'SC Change Orders'!$E137)&gt;1),COUNTIFS('SC Change Orders'!$B$2:$B$501,'SC Change Orders'!$B137,'SC Change Orders'!$F$2:$F$501,'SC Change Orders'!$F137)&gt;1),  "Same PO and Amount Added as another row — check for a restatement counted twice; ",""),""),""))</f>
        <v/>
      </c>
    </row>
    <row r="156" customFormat="false" ht="15" hidden="false" customHeight="false" outlineLevel="0" collapsed="false">
      <c r="A156" s="18" t="str">
        <f aca="false">IF(AND('SC Change Orders'!$A138="",'SC Change Orders'!$B138="",'SC Change Orders'!$C138=""),"",138)</f>
        <v/>
      </c>
      <c r="B156" s="31" t="str">
        <f aca="false">IF($A156="","",'SC Change Orders'!$A138)</f>
        <v/>
      </c>
      <c r="C156" s="18" t="str">
        <f aca="false">IF($A156="","",'SC Change Orders'!$B138)</f>
        <v/>
      </c>
      <c r="D156" s="32" t="str">
        <f aca="false">IF($A156="","",'SC Change Orders'!$C138)</f>
        <v/>
      </c>
      <c r="E156" s="31" t="str">
        <f aca="false">IF($A156="","",'SC Change Orders'!$D138)</f>
        <v/>
      </c>
      <c r="F156" s="33" t="str">
        <f aca="false">IF($A156="","",'SC Change Orders'!$E138)</f>
        <v/>
      </c>
      <c r="G156" s="33" t="str">
        <f aca="false">IF($A156="","",'SC Change Orders'!$F138)</f>
        <v/>
      </c>
      <c r="H156" s="33" t="str">
        <f aca="false">IF($A156="","",'SC Change Orders'!$G138)</f>
        <v/>
      </c>
      <c r="I156" s="34" t="str">
        <f aca="false">IF($A156="","",IF(AND(ISNUMBER('SC Change Orders'!$C138),'SC Change Orders'!$C138&gt;=Controls!$C$5,'SC Change Orders'!$C138&lt;=Controls!$C$6),"Yes","No"))</f>
        <v/>
      </c>
      <c r="J156" s="31" t="str">
        <f aca="false">IF($A156="","",IF($K156="","OK",$K156))</f>
        <v/>
      </c>
      <c r="K156" s="0" t="str">
        <f aca="false">IF($A156="","",IF(NOT(ISNUMBER('SC Change Orders'!$B138)),"PO not numeric — row is invisible to the tracker; ","")&amp;IF(NOT(ISNUMBER('SC Change Orders'!$C138)),"Date missing or text — row excluded; ",  IF(OR('SC Change Orders'!$C138&lt;Controls!$C$5,'SC Change Orders'!$C138&gt;Controls!$C$6),"Dated outside the FY window — excluded; ",""))&amp;IF(AND('SC Change Orders'!$E138&lt;&gt;"",NOT(ISNUMBER('SC Change Orders'!$E138))),"Original Amount held as text — ignored by MINIFS; ","")&amp;IF(AND('SC Change Orders'!$F138&lt;&gt;"",NOT(ISNUMBER('SC Change Orders'!$F138))),"Amount Added held as text — ignored by SUMIFS; ","")&amp;IF(ISNUMBER('SC Change Orders'!$E138),IF(ISNUMBER('SC Change Orders'!$F138),IF(ISNUMBER('SC Change Orders'!$G138),  IF('SC Change Orders'!$G138&gt;0,IF(ROUND('SC Change Orders'!$E138+'SC Change Orders'!$F138,2)&lt;&gt;ROUND('SC Change Orders'!$G138,2),  "Original + Added &lt;&gt; Total Line Cost Allotted; ",""),""),""),""),"")&amp;IF(AND(ISNUMBER('SC Change Orders'!$B138),COUNTIFS('SC Change Orders'!$B$2:$B$501,'SC Change Orders'!$B138,'SC Change Orders'!$C$2:$C$501,'SC Change Orders'!$C138,'SC Change Orders'!$D$2:$D$501,'SC Change Orders'!$D138,'SC Change Orders'!$F$2:$F$501,'SC Change Orders'!$F138,'SC Change Orders'!$E$2:$E$501,'SC Change Orders'!$E138)&gt;1),"Duplicate of another row — funds counted twice; ","")&amp;IF(ISNUMBER('SC Change Orders'!$F138),IF('SC Change Orders'!$F138&lt;&gt;0,IF(AND(ISNUMBER('SC Change Orders'!$B138),NOT(COUNTIFS('SC Change Orders'!$B$2:$B$501,'SC Change Orders'!$B138,'SC Change Orders'!$C$2:$C$501,'SC Change Orders'!$C138,'SC Change Orders'!$D$2:$D$501,'SC Change Orders'!$D138,'SC Change Orders'!$F$2:$F$501,'SC Change Orders'!$F138,'SC Change Orders'!$E$2:$E$501,'SC Change Orders'!$E138)&gt;1),COUNTIFS('SC Change Orders'!$B$2:$B$501,'SC Change Orders'!$B138,'SC Change Orders'!$F$2:$F$501,'SC Change Orders'!$F138)&gt;1),  "Same PO and Amount Added as another row — check for a restatement counted twice; ",""),""),""))</f>
        <v/>
      </c>
    </row>
    <row r="157" customFormat="false" ht="15" hidden="false" customHeight="false" outlineLevel="0" collapsed="false">
      <c r="A157" s="18" t="str">
        <f aca="false">IF(AND('SC Change Orders'!$A139="",'SC Change Orders'!$B139="",'SC Change Orders'!$C139=""),"",139)</f>
        <v/>
      </c>
      <c r="B157" s="31" t="str">
        <f aca="false">IF($A157="","",'SC Change Orders'!$A139)</f>
        <v/>
      </c>
      <c r="C157" s="18" t="str">
        <f aca="false">IF($A157="","",'SC Change Orders'!$B139)</f>
        <v/>
      </c>
      <c r="D157" s="32" t="str">
        <f aca="false">IF($A157="","",'SC Change Orders'!$C139)</f>
        <v/>
      </c>
      <c r="E157" s="31" t="str">
        <f aca="false">IF($A157="","",'SC Change Orders'!$D139)</f>
        <v/>
      </c>
      <c r="F157" s="33" t="str">
        <f aca="false">IF($A157="","",'SC Change Orders'!$E139)</f>
        <v/>
      </c>
      <c r="G157" s="33" t="str">
        <f aca="false">IF($A157="","",'SC Change Orders'!$F139)</f>
        <v/>
      </c>
      <c r="H157" s="33" t="str">
        <f aca="false">IF($A157="","",'SC Change Orders'!$G139)</f>
        <v/>
      </c>
      <c r="I157" s="34" t="str">
        <f aca="false">IF($A157="","",IF(AND(ISNUMBER('SC Change Orders'!$C139),'SC Change Orders'!$C139&gt;=Controls!$C$5,'SC Change Orders'!$C139&lt;=Controls!$C$6),"Yes","No"))</f>
        <v/>
      </c>
      <c r="J157" s="31" t="str">
        <f aca="false">IF($A157="","",IF($K157="","OK",$K157))</f>
        <v/>
      </c>
      <c r="K157" s="0" t="str">
        <f aca="false">IF($A157="","",IF(NOT(ISNUMBER('SC Change Orders'!$B139)),"PO not numeric — row is invisible to the tracker; ","")&amp;IF(NOT(ISNUMBER('SC Change Orders'!$C139)),"Date missing or text — row excluded; ",  IF(OR('SC Change Orders'!$C139&lt;Controls!$C$5,'SC Change Orders'!$C139&gt;Controls!$C$6),"Dated outside the FY window — excluded; ",""))&amp;IF(AND('SC Change Orders'!$E139&lt;&gt;"",NOT(ISNUMBER('SC Change Orders'!$E139))),"Original Amount held as text — ignored by MINIFS; ","")&amp;IF(AND('SC Change Orders'!$F139&lt;&gt;"",NOT(ISNUMBER('SC Change Orders'!$F139))),"Amount Added held as text — ignored by SUMIFS; ","")&amp;IF(ISNUMBER('SC Change Orders'!$E139),IF(ISNUMBER('SC Change Orders'!$F139),IF(ISNUMBER('SC Change Orders'!$G139),  IF('SC Change Orders'!$G139&gt;0,IF(ROUND('SC Change Orders'!$E139+'SC Change Orders'!$F139,2)&lt;&gt;ROUND('SC Change Orders'!$G139,2),  "Original + Added &lt;&gt; Total Line Cost Allotted; ",""),""),""),""),"")&amp;IF(AND(ISNUMBER('SC Change Orders'!$B139),COUNTIFS('SC Change Orders'!$B$2:$B$501,'SC Change Orders'!$B139,'SC Change Orders'!$C$2:$C$501,'SC Change Orders'!$C139,'SC Change Orders'!$D$2:$D$501,'SC Change Orders'!$D139,'SC Change Orders'!$F$2:$F$501,'SC Change Orders'!$F139,'SC Change Orders'!$E$2:$E$501,'SC Change Orders'!$E139)&gt;1),"Duplicate of another row — funds counted twice; ","")&amp;IF(ISNUMBER('SC Change Orders'!$F139),IF('SC Change Orders'!$F139&lt;&gt;0,IF(AND(ISNUMBER('SC Change Orders'!$B139),NOT(COUNTIFS('SC Change Orders'!$B$2:$B$501,'SC Change Orders'!$B139,'SC Change Orders'!$C$2:$C$501,'SC Change Orders'!$C139,'SC Change Orders'!$D$2:$D$501,'SC Change Orders'!$D139,'SC Change Orders'!$F$2:$F$501,'SC Change Orders'!$F139,'SC Change Orders'!$E$2:$E$501,'SC Change Orders'!$E139)&gt;1),COUNTIFS('SC Change Orders'!$B$2:$B$501,'SC Change Orders'!$B139,'SC Change Orders'!$F$2:$F$501,'SC Change Orders'!$F139)&gt;1),  "Same PO and Amount Added as another row — check for a restatement counted twice; ",""),""),""))</f>
        <v/>
      </c>
    </row>
    <row r="158" customFormat="false" ht="15" hidden="false" customHeight="false" outlineLevel="0" collapsed="false">
      <c r="A158" s="18" t="str">
        <f aca="false">IF(AND('SC Change Orders'!$A140="",'SC Change Orders'!$B140="",'SC Change Orders'!$C140=""),"",140)</f>
        <v/>
      </c>
      <c r="B158" s="31" t="str">
        <f aca="false">IF($A158="","",'SC Change Orders'!$A140)</f>
        <v/>
      </c>
      <c r="C158" s="18" t="str">
        <f aca="false">IF($A158="","",'SC Change Orders'!$B140)</f>
        <v/>
      </c>
      <c r="D158" s="32" t="str">
        <f aca="false">IF($A158="","",'SC Change Orders'!$C140)</f>
        <v/>
      </c>
      <c r="E158" s="31" t="str">
        <f aca="false">IF($A158="","",'SC Change Orders'!$D140)</f>
        <v/>
      </c>
      <c r="F158" s="33" t="str">
        <f aca="false">IF($A158="","",'SC Change Orders'!$E140)</f>
        <v/>
      </c>
      <c r="G158" s="33" t="str">
        <f aca="false">IF($A158="","",'SC Change Orders'!$F140)</f>
        <v/>
      </c>
      <c r="H158" s="33" t="str">
        <f aca="false">IF($A158="","",'SC Change Orders'!$G140)</f>
        <v/>
      </c>
      <c r="I158" s="34" t="str">
        <f aca="false">IF($A158="","",IF(AND(ISNUMBER('SC Change Orders'!$C140),'SC Change Orders'!$C140&gt;=Controls!$C$5,'SC Change Orders'!$C140&lt;=Controls!$C$6),"Yes","No"))</f>
        <v/>
      </c>
      <c r="J158" s="31" t="str">
        <f aca="false">IF($A158="","",IF($K158="","OK",$K158))</f>
        <v/>
      </c>
      <c r="K158" s="0" t="str">
        <f aca="false">IF($A158="","",IF(NOT(ISNUMBER('SC Change Orders'!$B140)),"PO not numeric — row is invisible to the tracker; ","")&amp;IF(NOT(ISNUMBER('SC Change Orders'!$C140)),"Date missing or text — row excluded; ",  IF(OR('SC Change Orders'!$C140&lt;Controls!$C$5,'SC Change Orders'!$C140&gt;Controls!$C$6),"Dated outside the FY window — excluded; ",""))&amp;IF(AND('SC Change Orders'!$E140&lt;&gt;"",NOT(ISNUMBER('SC Change Orders'!$E140))),"Original Amount held as text — ignored by MINIFS; ","")&amp;IF(AND('SC Change Orders'!$F140&lt;&gt;"",NOT(ISNUMBER('SC Change Orders'!$F140))),"Amount Added held as text — ignored by SUMIFS; ","")&amp;IF(ISNUMBER('SC Change Orders'!$E140),IF(ISNUMBER('SC Change Orders'!$F140),IF(ISNUMBER('SC Change Orders'!$G140),  IF('SC Change Orders'!$G140&gt;0,IF(ROUND('SC Change Orders'!$E140+'SC Change Orders'!$F140,2)&lt;&gt;ROUND('SC Change Orders'!$G140,2),  "Original + Added &lt;&gt; Total Line Cost Allotted; ",""),""),""),""),"")&amp;IF(AND(ISNUMBER('SC Change Orders'!$B140),COUNTIFS('SC Change Orders'!$B$2:$B$501,'SC Change Orders'!$B140,'SC Change Orders'!$C$2:$C$501,'SC Change Orders'!$C140,'SC Change Orders'!$D$2:$D$501,'SC Change Orders'!$D140,'SC Change Orders'!$F$2:$F$501,'SC Change Orders'!$F140,'SC Change Orders'!$E$2:$E$501,'SC Change Orders'!$E140)&gt;1),"Duplicate of another row — funds counted twice; ","")&amp;IF(ISNUMBER('SC Change Orders'!$F140),IF('SC Change Orders'!$F140&lt;&gt;0,IF(AND(ISNUMBER('SC Change Orders'!$B140),NOT(COUNTIFS('SC Change Orders'!$B$2:$B$501,'SC Change Orders'!$B140,'SC Change Orders'!$C$2:$C$501,'SC Change Orders'!$C140,'SC Change Orders'!$D$2:$D$501,'SC Change Orders'!$D140,'SC Change Orders'!$F$2:$F$501,'SC Change Orders'!$F140,'SC Change Orders'!$E$2:$E$501,'SC Change Orders'!$E140)&gt;1),COUNTIFS('SC Change Orders'!$B$2:$B$501,'SC Change Orders'!$B140,'SC Change Orders'!$F$2:$F$501,'SC Change Orders'!$F140)&gt;1),  "Same PO and Amount Added as another row — check for a restatement counted twice; ",""),""),""))</f>
        <v/>
      </c>
    </row>
    <row r="159" customFormat="false" ht="15" hidden="false" customHeight="false" outlineLevel="0" collapsed="false">
      <c r="A159" s="18" t="str">
        <f aca="false">IF(AND('SC Change Orders'!$A141="",'SC Change Orders'!$B141="",'SC Change Orders'!$C141=""),"",141)</f>
        <v/>
      </c>
      <c r="B159" s="31" t="str">
        <f aca="false">IF($A159="","",'SC Change Orders'!$A141)</f>
        <v/>
      </c>
      <c r="C159" s="18" t="str">
        <f aca="false">IF($A159="","",'SC Change Orders'!$B141)</f>
        <v/>
      </c>
      <c r="D159" s="32" t="str">
        <f aca="false">IF($A159="","",'SC Change Orders'!$C141)</f>
        <v/>
      </c>
      <c r="E159" s="31" t="str">
        <f aca="false">IF($A159="","",'SC Change Orders'!$D141)</f>
        <v/>
      </c>
      <c r="F159" s="33" t="str">
        <f aca="false">IF($A159="","",'SC Change Orders'!$E141)</f>
        <v/>
      </c>
      <c r="G159" s="33" t="str">
        <f aca="false">IF($A159="","",'SC Change Orders'!$F141)</f>
        <v/>
      </c>
      <c r="H159" s="33" t="str">
        <f aca="false">IF($A159="","",'SC Change Orders'!$G141)</f>
        <v/>
      </c>
      <c r="I159" s="34" t="str">
        <f aca="false">IF($A159="","",IF(AND(ISNUMBER('SC Change Orders'!$C141),'SC Change Orders'!$C141&gt;=Controls!$C$5,'SC Change Orders'!$C141&lt;=Controls!$C$6),"Yes","No"))</f>
        <v/>
      </c>
      <c r="J159" s="31" t="str">
        <f aca="false">IF($A159="","",IF($K159="","OK",$K159))</f>
        <v/>
      </c>
      <c r="K159" s="0" t="str">
        <f aca="false">IF($A159="","",IF(NOT(ISNUMBER('SC Change Orders'!$B141)),"PO not numeric — row is invisible to the tracker; ","")&amp;IF(NOT(ISNUMBER('SC Change Orders'!$C141)),"Date missing or text — row excluded; ",  IF(OR('SC Change Orders'!$C141&lt;Controls!$C$5,'SC Change Orders'!$C141&gt;Controls!$C$6),"Dated outside the FY window — excluded; ",""))&amp;IF(AND('SC Change Orders'!$E141&lt;&gt;"",NOT(ISNUMBER('SC Change Orders'!$E141))),"Original Amount held as text — ignored by MINIFS; ","")&amp;IF(AND('SC Change Orders'!$F141&lt;&gt;"",NOT(ISNUMBER('SC Change Orders'!$F141))),"Amount Added held as text — ignored by SUMIFS; ","")&amp;IF(ISNUMBER('SC Change Orders'!$E141),IF(ISNUMBER('SC Change Orders'!$F141),IF(ISNUMBER('SC Change Orders'!$G141),  IF('SC Change Orders'!$G141&gt;0,IF(ROUND('SC Change Orders'!$E141+'SC Change Orders'!$F141,2)&lt;&gt;ROUND('SC Change Orders'!$G141,2),  "Original + Added &lt;&gt; Total Line Cost Allotted; ",""),""),""),""),"")&amp;IF(AND(ISNUMBER('SC Change Orders'!$B141),COUNTIFS('SC Change Orders'!$B$2:$B$501,'SC Change Orders'!$B141,'SC Change Orders'!$C$2:$C$501,'SC Change Orders'!$C141,'SC Change Orders'!$D$2:$D$501,'SC Change Orders'!$D141,'SC Change Orders'!$F$2:$F$501,'SC Change Orders'!$F141,'SC Change Orders'!$E$2:$E$501,'SC Change Orders'!$E141)&gt;1),"Duplicate of another row — funds counted twice; ","")&amp;IF(ISNUMBER('SC Change Orders'!$F141),IF('SC Change Orders'!$F141&lt;&gt;0,IF(AND(ISNUMBER('SC Change Orders'!$B141),NOT(COUNTIFS('SC Change Orders'!$B$2:$B$501,'SC Change Orders'!$B141,'SC Change Orders'!$C$2:$C$501,'SC Change Orders'!$C141,'SC Change Orders'!$D$2:$D$501,'SC Change Orders'!$D141,'SC Change Orders'!$F$2:$F$501,'SC Change Orders'!$F141,'SC Change Orders'!$E$2:$E$501,'SC Change Orders'!$E141)&gt;1),COUNTIFS('SC Change Orders'!$B$2:$B$501,'SC Change Orders'!$B141,'SC Change Orders'!$F$2:$F$501,'SC Change Orders'!$F141)&gt;1),  "Same PO and Amount Added as another row — check for a restatement counted twice; ",""),""),""))</f>
        <v/>
      </c>
    </row>
    <row r="160" customFormat="false" ht="15" hidden="false" customHeight="false" outlineLevel="0" collapsed="false">
      <c r="A160" s="18" t="str">
        <f aca="false">IF(AND('SC Change Orders'!$A142="",'SC Change Orders'!$B142="",'SC Change Orders'!$C142=""),"",142)</f>
        <v/>
      </c>
      <c r="B160" s="31" t="str">
        <f aca="false">IF($A160="","",'SC Change Orders'!$A142)</f>
        <v/>
      </c>
      <c r="C160" s="18" t="str">
        <f aca="false">IF($A160="","",'SC Change Orders'!$B142)</f>
        <v/>
      </c>
      <c r="D160" s="32" t="str">
        <f aca="false">IF($A160="","",'SC Change Orders'!$C142)</f>
        <v/>
      </c>
      <c r="E160" s="31" t="str">
        <f aca="false">IF($A160="","",'SC Change Orders'!$D142)</f>
        <v/>
      </c>
      <c r="F160" s="33" t="str">
        <f aca="false">IF($A160="","",'SC Change Orders'!$E142)</f>
        <v/>
      </c>
      <c r="G160" s="33" t="str">
        <f aca="false">IF($A160="","",'SC Change Orders'!$F142)</f>
        <v/>
      </c>
      <c r="H160" s="33" t="str">
        <f aca="false">IF($A160="","",'SC Change Orders'!$G142)</f>
        <v/>
      </c>
      <c r="I160" s="34" t="str">
        <f aca="false">IF($A160="","",IF(AND(ISNUMBER('SC Change Orders'!$C142),'SC Change Orders'!$C142&gt;=Controls!$C$5,'SC Change Orders'!$C142&lt;=Controls!$C$6),"Yes","No"))</f>
        <v/>
      </c>
      <c r="J160" s="31" t="str">
        <f aca="false">IF($A160="","",IF($K160="","OK",$K160))</f>
        <v/>
      </c>
      <c r="K160" s="0" t="str">
        <f aca="false">IF($A160="","",IF(NOT(ISNUMBER('SC Change Orders'!$B142)),"PO not numeric — row is invisible to the tracker; ","")&amp;IF(NOT(ISNUMBER('SC Change Orders'!$C142)),"Date missing or text — row excluded; ",  IF(OR('SC Change Orders'!$C142&lt;Controls!$C$5,'SC Change Orders'!$C142&gt;Controls!$C$6),"Dated outside the FY window — excluded; ",""))&amp;IF(AND('SC Change Orders'!$E142&lt;&gt;"",NOT(ISNUMBER('SC Change Orders'!$E142))),"Original Amount held as text — ignored by MINIFS; ","")&amp;IF(AND('SC Change Orders'!$F142&lt;&gt;"",NOT(ISNUMBER('SC Change Orders'!$F142))),"Amount Added held as text — ignored by SUMIFS; ","")&amp;IF(ISNUMBER('SC Change Orders'!$E142),IF(ISNUMBER('SC Change Orders'!$F142),IF(ISNUMBER('SC Change Orders'!$G142),  IF('SC Change Orders'!$G142&gt;0,IF(ROUND('SC Change Orders'!$E142+'SC Change Orders'!$F142,2)&lt;&gt;ROUND('SC Change Orders'!$G142,2),  "Original + Added &lt;&gt; Total Line Cost Allotted; ",""),""),""),""),"")&amp;IF(AND(ISNUMBER('SC Change Orders'!$B142),COUNTIFS('SC Change Orders'!$B$2:$B$501,'SC Change Orders'!$B142,'SC Change Orders'!$C$2:$C$501,'SC Change Orders'!$C142,'SC Change Orders'!$D$2:$D$501,'SC Change Orders'!$D142,'SC Change Orders'!$F$2:$F$501,'SC Change Orders'!$F142,'SC Change Orders'!$E$2:$E$501,'SC Change Orders'!$E142)&gt;1),"Duplicate of another row — funds counted twice; ","")&amp;IF(ISNUMBER('SC Change Orders'!$F142),IF('SC Change Orders'!$F142&lt;&gt;0,IF(AND(ISNUMBER('SC Change Orders'!$B142),NOT(COUNTIFS('SC Change Orders'!$B$2:$B$501,'SC Change Orders'!$B142,'SC Change Orders'!$C$2:$C$501,'SC Change Orders'!$C142,'SC Change Orders'!$D$2:$D$501,'SC Change Orders'!$D142,'SC Change Orders'!$F$2:$F$501,'SC Change Orders'!$F142,'SC Change Orders'!$E$2:$E$501,'SC Change Orders'!$E142)&gt;1),COUNTIFS('SC Change Orders'!$B$2:$B$501,'SC Change Orders'!$B142,'SC Change Orders'!$F$2:$F$501,'SC Change Orders'!$F142)&gt;1),  "Same PO and Amount Added as another row — check for a restatement counted twice; ",""),""),""))</f>
        <v/>
      </c>
    </row>
    <row r="161" customFormat="false" ht="15" hidden="false" customHeight="false" outlineLevel="0" collapsed="false">
      <c r="A161" s="18" t="str">
        <f aca="false">IF(AND('SC Change Orders'!$A143="",'SC Change Orders'!$B143="",'SC Change Orders'!$C143=""),"",143)</f>
        <v/>
      </c>
      <c r="B161" s="31" t="str">
        <f aca="false">IF($A161="","",'SC Change Orders'!$A143)</f>
        <v/>
      </c>
      <c r="C161" s="18" t="str">
        <f aca="false">IF($A161="","",'SC Change Orders'!$B143)</f>
        <v/>
      </c>
      <c r="D161" s="32" t="str">
        <f aca="false">IF($A161="","",'SC Change Orders'!$C143)</f>
        <v/>
      </c>
      <c r="E161" s="31" t="str">
        <f aca="false">IF($A161="","",'SC Change Orders'!$D143)</f>
        <v/>
      </c>
      <c r="F161" s="33" t="str">
        <f aca="false">IF($A161="","",'SC Change Orders'!$E143)</f>
        <v/>
      </c>
      <c r="G161" s="33" t="str">
        <f aca="false">IF($A161="","",'SC Change Orders'!$F143)</f>
        <v/>
      </c>
      <c r="H161" s="33" t="str">
        <f aca="false">IF($A161="","",'SC Change Orders'!$G143)</f>
        <v/>
      </c>
      <c r="I161" s="34" t="str">
        <f aca="false">IF($A161="","",IF(AND(ISNUMBER('SC Change Orders'!$C143),'SC Change Orders'!$C143&gt;=Controls!$C$5,'SC Change Orders'!$C143&lt;=Controls!$C$6),"Yes","No"))</f>
        <v/>
      </c>
      <c r="J161" s="31" t="str">
        <f aca="false">IF($A161="","",IF($K161="","OK",$K161))</f>
        <v/>
      </c>
      <c r="K161" s="0" t="str">
        <f aca="false">IF($A161="","",IF(NOT(ISNUMBER('SC Change Orders'!$B143)),"PO not numeric — row is invisible to the tracker; ","")&amp;IF(NOT(ISNUMBER('SC Change Orders'!$C143)),"Date missing or text — row excluded; ",  IF(OR('SC Change Orders'!$C143&lt;Controls!$C$5,'SC Change Orders'!$C143&gt;Controls!$C$6),"Dated outside the FY window — excluded; ",""))&amp;IF(AND('SC Change Orders'!$E143&lt;&gt;"",NOT(ISNUMBER('SC Change Orders'!$E143))),"Original Amount held as text — ignored by MINIFS; ","")&amp;IF(AND('SC Change Orders'!$F143&lt;&gt;"",NOT(ISNUMBER('SC Change Orders'!$F143))),"Amount Added held as text — ignored by SUMIFS; ","")&amp;IF(ISNUMBER('SC Change Orders'!$E143),IF(ISNUMBER('SC Change Orders'!$F143),IF(ISNUMBER('SC Change Orders'!$G143),  IF('SC Change Orders'!$G143&gt;0,IF(ROUND('SC Change Orders'!$E143+'SC Change Orders'!$F143,2)&lt;&gt;ROUND('SC Change Orders'!$G143,2),  "Original + Added &lt;&gt; Total Line Cost Allotted; ",""),""),""),""),"")&amp;IF(AND(ISNUMBER('SC Change Orders'!$B143),COUNTIFS('SC Change Orders'!$B$2:$B$501,'SC Change Orders'!$B143,'SC Change Orders'!$C$2:$C$501,'SC Change Orders'!$C143,'SC Change Orders'!$D$2:$D$501,'SC Change Orders'!$D143,'SC Change Orders'!$F$2:$F$501,'SC Change Orders'!$F143,'SC Change Orders'!$E$2:$E$501,'SC Change Orders'!$E143)&gt;1),"Duplicate of another row — funds counted twice; ","")&amp;IF(ISNUMBER('SC Change Orders'!$F143),IF('SC Change Orders'!$F143&lt;&gt;0,IF(AND(ISNUMBER('SC Change Orders'!$B143),NOT(COUNTIFS('SC Change Orders'!$B$2:$B$501,'SC Change Orders'!$B143,'SC Change Orders'!$C$2:$C$501,'SC Change Orders'!$C143,'SC Change Orders'!$D$2:$D$501,'SC Change Orders'!$D143,'SC Change Orders'!$F$2:$F$501,'SC Change Orders'!$F143,'SC Change Orders'!$E$2:$E$501,'SC Change Orders'!$E143)&gt;1),COUNTIFS('SC Change Orders'!$B$2:$B$501,'SC Change Orders'!$B143,'SC Change Orders'!$F$2:$F$501,'SC Change Orders'!$F143)&gt;1),  "Same PO and Amount Added as another row — check for a restatement counted twice; ",""),""),""))</f>
        <v/>
      </c>
    </row>
    <row r="162" customFormat="false" ht="15" hidden="false" customHeight="false" outlineLevel="0" collapsed="false">
      <c r="A162" s="18" t="str">
        <f aca="false">IF(AND('SC Change Orders'!$A144="",'SC Change Orders'!$B144="",'SC Change Orders'!$C144=""),"",144)</f>
        <v/>
      </c>
      <c r="B162" s="31" t="str">
        <f aca="false">IF($A162="","",'SC Change Orders'!$A144)</f>
        <v/>
      </c>
      <c r="C162" s="18" t="str">
        <f aca="false">IF($A162="","",'SC Change Orders'!$B144)</f>
        <v/>
      </c>
      <c r="D162" s="32" t="str">
        <f aca="false">IF($A162="","",'SC Change Orders'!$C144)</f>
        <v/>
      </c>
      <c r="E162" s="31" t="str">
        <f aca="false">IF($A162="","",'SC Change Orders'!$D144)</f>
        <v/>
      </c>
      <c r="F162" s="33" t="str">
        <f aca="false">IF($A162="","",'SC Change Orders'!$E144)</f>
        <v/>
      </c>
      <c r="G162" s="33" t="str">
        <f aca="false">IF($A162="","",'SC Change Orders'!$F144)</f>
        <v/>
      </c>
      <c r="H162" s="33" t="str">
        <f aca="false">IF($A162="","",'SC Change Orders'!$G144)</f>
        <v/>
      </c>
      <c r="I162" s="34" t="str">
        <f aca="false">IF($A162="","",IF(AND(ISNUMBER('SC Change Orders'!$C144),'SC Change Orders'!$C144&gt;=Controls!$C$5,'SC Change Orders'!$C144&lt;=Controls!$C$6),"Yes","No"))</f>
        <v/>
      </c>
      <c r="J162" s="31" t="str">
        <f aca="false">IF($A162="","",IF($K162="","OK",$K162))</f>
        <v/>
      </c>
      <c r="K162" s="0" t="str">
        <f aca="false">IF($A162="","",IF(NOT(ISNUMBER('SC Change Orders'!$B144)),"PO not numeric — row is invisible to the tracker; ","")&amp;IF(NOT(ISNUMBER('SC Change Orders'!$C144)),"Date missing or text — row excluded; ",  IF(OR('SC Change Orders'!$C144&lt;Controls!$C$5,'SC Change Orders'!$C144&gt;Controls!$C$6),"Dated outside the FY window — excluded; ",""))&amp;IF(AND('SC Change Orders'!$E144&lt;&gt;"",NOT(ISNUMBER('SC Change Orders'!$E144))),"Original Amount held as text — ignored by MINIFS; ","")&amp;IF(AND('SC Change Orders'!$F144&lt;&gt;"",NOT(ISNUMBER('SC Change Orders'!$F144))),"Amount Added held as text — ignored by SUMIFS; ","")&amp;IF(ISNUMBER('SC Change Orders'!$E144),IF(ISNUMBER('SC Change Orders'!$F144),IF(ISNUMBER('SC Change Orders'!$G144),  IF('SC Change Orders'!$G144&gt;0,IF(ROUND('SC Change Orders'!$E144+'SC Change Orders'!$F144,2)&lt;&gt;ROUND('SC Change Orders'!$G144,2),  "Original + Added &lt;&gt; Total Line Cost Allotted; ",""),""),""),""),"")&amp;IF(AND(ISNUMBER('SC Change Orders'!$B144),COUNTIFS('SC Change Orders'!$B$2:$B$501,'SC Change Orders'!$B144,'SC Change Orders'!$C$2:$C$501,'SC Change Orders'!$C144,'SC Change Orders'!$D$2:$D$501,'SC Change Orders'!$D144,'SC Change Orders'!$F$2:$F$501,'SC Change Orders'!$F144,'SC Change Orders'!$E$2:$E$501,'SC Change Orders'!$E144)&gt;1),"Duplicate of another row — funds counted twice; ","")&amp;IF(ISNUMBER('SC Change Orders'!$F144),IF('SC Change Orders'!$F144&lt;&gt;0,IF(AND(ISNUMBER('SC Change Orders'!$B144),NOT(COUNTIFS('SC Change Orders'!$B$2:$B$501,'SC Change Orders'!$B144,'SC Change Orders'!$C$2:$C$501,'SC Change Orders'!$C144,'SC Change Orders'!$D$2:$D$501,'SC Change Orders'!$D144,'SC Change Orders'!$F$2:$F$501,'SC Change Orders'!$F144,'SC Change Orders'!$E$2:$E$501,'SC Change Orders'!$E144)&gt;1),COUNTIFS('SC Change Orders'!$B$2:$B$501,'SC Change Orders'!$B144,'SC Change Orders'!$F$2:$F$501,'SC Change Orders'!$F144)&gt;1),  "Same PO and Amount Added as another row — check for a restatement counted twice; ",""),""),""))</f>
        <v/>
      </c>
    </row>
    <row r="163" customFormat="false" ht="15" hidden="false" customHeight="false" outlineLevel="0" collapsed="false">
      <c r="A163" s="18" t="str">
        <f aca="false">IF(AND('SC Change Orders'!$A145="",'SC Change Orders'!$B145="",'SC Change Orders'!$C145=""),"",145)</f>
        <v/>
      </c>
      <c r="B163" s="31" t="str">
        <f aca="false">IF($A163="","",'SC Change Orders'!$A145)</f>
        <v/>
      </c>
      <c r="C163" s="18" t="str">
        <f aca="false">IF($A163="","",'SC Change Orders'!$B145)</f>
        <v/>
      </c>
      <c r="D163" s="32" t="str">
        <f aca="false">IF($A163="","",'SC Change Orders'!$C145)</f>
        <v/>
      </c>
      <c r="E163" s="31" t="str">
        <f aca="false">IF($A163="","",'SC Change Orders'!$D145)</f>
        <v/>
      </c>
      <c r="F163" s="33" t="str">
        <f aca="false">IF($A163="","",'SC Change Orders'!$E145)</f>
        <v/>
      </c>
      <c r="G163" s="33" t="str">
        <f aca="false">IF($A163="","",'SC Change Orders'!$F145)</f>
        <v/>
      </c>
      <c r="H163" s="33" t="str">
        <f aca="false">IF($A163="","",'SC Change Orders'!$G145)</f>
        <v/>
      </c>
      <c r="I163" s="34" t="str">
        <f aca="false">IF($A163="","",IF(AND(ISNUMBER('SC Change Orders'!$C145),'SC Change Orders'!$C145&gt;=Controls!$C$5,'SC Change Orders'!$C145&lt;=Controls!$C$6),"Yes","No"))</f>
        <v/>
      </c>
      <c r="J163" s="31" t="str">
        <f aca="false">IF($A163="","",IF($K163="","OK",$K163))</f>
        <v/>
      </c>
      <c r="K163" s="0" t="str">
        <f aca="false">IF($A163="","",IF(NOT(ISNUMBER('SC Change Orders'!$B145)),"PO not numeric — row is invisible to the tracker; ","")&amp;IF(NOT(ISNUMBER('SC Change Orders'!$C145)),"Date missing or text — row excluded; ",  IF(OR('SC Change Orders'!$C145&lt;Controls!$C$5,'SC Change Orders'!$C145&gt;Controls!$C$6),"Dated outside the FY window — excluded; ",""))&amp;IF(AND('SC Change Orders'!$E145&lt;&gt;"",NOT(ISNUMBER('SC Change Orders'!$E145))),"Original Amount held as text — ignored by MINIFS; ","")&amp;IF(AND('SC Change Orders'!$F145&lt;&gt;"",NOT(ISNUMBER('SC Change Orders'!$F145))),"Amount Added held as text — ignored by SUMIFS; ","")&amp;IF(ISNUMBER('SC Change Orders'!$E145),IF(ISNUMBER('SC Change Orders'!$F145),IF(ISNUMBER('SC Change Orders'!$G145),  IF('SC Change Orders'!$G145&gt;0,IF(ROUND('SC Change Orders'!$E145+'SC Change Orders'!$F145,2)&lt;&gt;ROUND('SC Change Orders'!$G145,2),  "Original + Added &lt;&gt; Total Line Cost Allotted; ",""),""),""),""),"")&amp;IF(AND(ISNUMBER('SC Change Orders'!$B145),COUNTIFS('SC Change Orders'!$B$2:$B$501,'SC Change Orders'!$B145,'SC Change Orders'!$C$2:$C$501,'SC Change Orders'!$C145,'SC Change Orders'!$D$2:$D$501,'SC Change Orders'!$D145,'SC Change Orders'!$F$2:$F$501,'SC Change Orders'!$F145,'SC Change Orders'!$E$2:$E$501,'SC Change Orders'!$E145)&gt;1),"Duplicate of another row — funds counted twice; ","")&amp;IF(ISNUMBER('SC Change Orders'!$F145),IF('SC Change Orders'!$F145&lt;&gt;0,IF(AND(ISNUMBER('SC Change Orders'!$B145),NOT(COUNTIFS('SC Change Orders'!$B$2:$B$501,'SC Change Orders'!$B145,'SC Change Orders'!$C$2:$C$501,'SC Change Orders'!$C145,'SC Change Orders'!$D$2:$D$501,'SC Change Orders'!$D145,'SC Change Orders'!$F$2:$F$501,'SC Change Orders'!$F145,'SC Change Orders'!$E$2:$E$501,'SC Change Orders'!$E145)&gt;1),COUNTIFS('SC Change Orders'!$B$2:$B$501,'SC Change Orders'!$B145,'SC Change Orders'!$F$2:$F$501,'SC Change Orders'!$F145)&gt;1),  "Same PO and Amount Added as another row — check for a restatement counted twice; ",""),""),""))</f>
        <v/>
      </c>
    </row>
    <row r="164" customFormat="false" ht="15" hidden="false" customHeight="false" outlineLevel="0" collapsed="false">
      <c r="A164" s="18" t="str">
        <f aca="false">IF(AND('SC Change Orders'!$A146="",'SC Change Orders'!$B146="",'SC Change Orders'!$C146=""),"",146)</f>
        <v/>
      </c>
      <c r="B164" s="31" t="str">
        <f aca="false">IF($A164="","",'SC Change Orders'!$A146)</f>
        <v/>
      </c>
      <c r="C164" s="18" t="str">
        <f aca="false">IF($A164="","",'SC Change Orders'!$B146)</f>
        <v/>
      </c>
      <c r="D164" s="32" t="str">
        <f aca="false">IF($A164="","",'SC Change Orders'!$C146)</f>
        <v/>
      </c>
      <c r="E164" s="31" t="str">
        <f aca="false">IF($A164="","",'SC Change Orders'!$D146)</f>
        <v/>
      </c>
      <c r="F164" s="33" t="str">
        <f aca="false">IF($A164="","",'SC Change Orders'!$E146)</f>
        <v/>
      </c>
      <c r="G164" s="33" t="str">
        <f aca="false">IF($A164="","",'SC Change Orders'!$F146)</f>
        <v/>
      </c>
      <c r="H164" s="33" t="str">
        <f aca="false">IF($A164="","",'SC Change Orders'!$G146)</f>
        <v/>
      </c>
      <c r="I164" s="34" t="str">
        <f aca="false">IF($A164="","",IF(AND(ISNUMBER('SC Change Orders'!$C146),'SC Change Orders'!$C146&gt;=Controls!$C$5,'SC Change Orders'!$C146&lt;=Controls!$C$6),"Yes","No"))</f>
        <v/>
      </c>
      <c r="J164" s="31" t="str">
        <f aca="false">IF($A164="","",IF($K164="","OK",$K164))</f>
        <v/>
      </c>
      <c r="K164" s="0" t="str">
        <f aca="false">IF($A164="","",IF(NOT(ISNUMBER('SC Change Orders'!$B146)),"PO not numeric — row is invisible to the tracker; ","")&amp;IF(NOT(ISNUMBER('SC Change Orders'!$C146)),"Date missing or text — row excluded; ",  IF(OR('SC Change Orders'!$C146&lt;Controls!$C$5,'SC Change Orders'!$C146&gt;Controls!$C$6),"Dated outside the FY window — excluded; ",""))&amp;IF(AND('SC Change Orders'!$E146&lt;&gt;"",NOT(ISNUMBER('SC Change Orders'!$E146))),"Original Amount held as text — ignored by MINIFS; ","")&amp;IF(AND('SC Change Orders'!$F146&lt;&gt;"",NOT(ISNUMBER('SC Change Orders'!$F146))),"Amount Added held as text — ignored by SUMIFS; ","")&amp;IF(ISNUMBER('SC Change Orders'!$E146),IF(ISNUMBER('SC Change Orders'!$F146),IF(ISNUMBER('SC Change Orders'!$G146),  IF('SC Change Orders'!$G146&gt;0,IF(ROUND('SC Change Orders'!$E146+'SC Change Orders'!$F146,2)&lt;&gt;ROUND('SC Change Orders'!$G146,2),  "Original + Added &lt;&gt; Total Line Cost Allotted; ",""),""),""),""),"")&amp;IF(AND(ISNUMBER('SC Change Orders'!$B146),COUNTIFS('SC Change Orders'!$B$2:$B$501,'SC Change Orders'!$B146,'SC Change Orders'!$C$2:$C$501,'SC Change Orders'!$C146,'SC Change Orders'!$D$2:$D$501,'SC Change Orders'!$D146,'SC Change Orders'!$F$2:$F$501,'SC Change Orders'!$F146,'SC Change Orders'!$E$2:$E$501,'SC Change Orders'!$E146)&gt;1),"Duplicate of another row — funds counted twice; ","")&amp;IF(ISNUMBER('SC Change Orders'!$F146),IF('SC Change Orders'!$F146&lt;&gt;0,IF(AND(ISNUMBER('SC Change Orders'!$B146),NOT(COUNTIFS('SC Change Orders'!$B$2:$B$501,'SC Change Orders'!$B146,'SC Change Orders'!$C$2:$C$501,'SC Change Orders'!$C146,'SC Change Orders'!$D$2:$D$501,'SC Change Orders'!$D146,'SC Change Orders'!$F$2:$F$501,'SC Change Orders'!$F146,'SC Change Orders'!$E$2:$E$501,'SC Change Orders'!$E146)&gt;1),COUNTIFS('SC Change Orders'!$B$2:$B$501,'SC Change Orders'!$B146,'SC Change Orders'!$F$2:$F$501,'SC Change Orders'!$F146)&gt;1),  "Same PO and Amount Added as another row — check for a restatement counted twice; ",""),""),""))</f>
        <v/>
      </c>
    </row>
    <row r="165" customFormat="false" ht="15" hidden="false" customHeight="false" outlineLevel="0" collapsed="false">
      <c r="A165" s="18" t="str">
        <f aca="false">IF(AND('SC Change Orders'!$A147="",'SC Change Orders'!$B147="",'SC Change Orders'!$C147=""),"",147)</f>
        <v/>
      </c>
      <c r="B165" s="31" t="str">
        <f aca="false">IF($A165="","",'SC Change Orders'!$A147)</f>
        <v/>
      </c>
      <c r="C165" s="18" t="str">
        <f aca="false">IF($A165="","",'SC Change Orders'!$B147)</f>
        <v/>
      </c>
      <c r="D165" s="32" t="str">
        <f aca="false">IF($A165="","",'SC Change Orders'!$C147)</f>
        <v/>
      </c>
      <c r="E165" s="31" t="str">
        <f aca="false">IF($A165="","",'SC Change Orders'!$D147)</f>
        <v/>
      </c>
      <c r="F165" s="33" t="str">
        <f aca="false">IF($A165="","",'SC Change Orders'!$E147)</f>
        <v/>
      </c>
      <c r="G165" s="33" t="str">
        <f aca="false">IF($A165="","",'SC Change Orders'!$F147)</f>
        <v/>
      </c>
      <c r="H165" s="33" t="str">
        <f aca="false">IF($A165="","",'SC Change Orders'!$G147)</f>
        <v/>
      </c>
      <c r="I165" s="34" t="str">
        <f aca="false">IF($A165="","",IF(AND(ISNUMBER('SC Change Orders'!$C147),'SC Change Orders'!$C147&gt;=Controls!$C$5,'SC Change Orders'!$C147&lt;=Controls!$C$6),"Yes","No"))</f>
        <v/>
      </c>
      <c r="J165" s="31" t="str">
        <f aca="false">IF($A165="","",IF($K165="","OK",$K165))</f>
        <v/>
      </c>
      <c r="K165" s="0" t="str">
        <f aca="false">IF($A165="","",IF(NOT(ISNUMBER('SC Change Orders'!$B147)),"PO not numeric — row is invisible to the tracker; ","")&amp;IF(NOT(ISNUMBER('SC Change Orders'!$C147)),"Date missing or text — row excluded; ",  IF(OR('SC Change Orders'!$C147&lt;Controls!$C$5,'SC Change Orders'!$C147&gt;Controls!$C$6),"Dated outside the FY window — excluded; ",""))&amp;IF(AND('SC Change Orders'!$E147&lt;&gt;"",NOT(ISNUMBER('SC Change Orders'!$E147))),"Original Amount held as text — ignored by MINIFS; ","")&amp;IF(AND('SC Change Orders'!$F147&lt;&gt;"",NOT(ISNUMBER('SC Change Orders'!$F147))),"Amount Added held as text — ignored by SUMIFS; ","")&amp;IF(ISNUMBER('SC Change Orders'!$E147),IF(ISNUMBER('SC Change Orders'!$F147),IF(ISNUMBER('SC Change Orders'!$G147),  IF('SC Change Orders'!$G147&gt;0,IF(ROUND('SC Change Orders'!$E147+'SC Change Orders'!$F147,2)&lt;&gt;ROUND('SC Change Orders'!$G147,2),  "Original + Added &lt;&gt; Total Line Cost Allotted; ",""),""),""),""),"")&amp;IF(AND(ISNUMBER('SC Change Orders'!$B147),COUNTIFS('SC Change Orders'!$B$2:$B$501,'SC Change Orders'!$B147,'SC Change Orders'!$C$2:$C$501,'SC Change Orders'!$C147,'SC Change Orders'!$D$2:$D$501,'SC Change Orders'!$D147,'SC Change Orders'!$F$2:$F$501,'SC Change Orders'!$F147,'SC Change Orders'!$E$2:$E$501,'SC Change Orders'!$E147)&gt;1),"Duplicate of another row — funds counted twice; ","")&amp;IF(ISNUMBER('SC Change Orders'!$F147),IF('SC Change Orders'!$F147&lt;&gt;0,IF(AND(ISNUMBER('SC Change Orders'!$B147),NOT(COUNTIFS('SC Change Orders'!$B$2:$B$501,'SC Change Orders'!$B147,'SC Change Orders'!$C$2:$C$501,'SC Change Orders'!$C147,'SC Change Orders'!$D$2:$D$501,'SC Change Orders'!$D147,'SC Change Orders'!$F$2:$F$501,'SC Change Orders'!$F147,'SC Change Orders'!$E$2:$E$501,'SC Change Orders'!$E147)&gt;1),COUNTIFS('SC Change Orders'!$B$2:$B$501,'SC Change Orders'!$B147,'SC Change Orders'!$F$2:$F$501,'SC Change Orders'!$F147)&gt;1),  "Same PO and Amount Added as another row — check for a restatement counted twice; ",""),""),""))</f>
        <v/>
      </c>
    </row>
    <row r="166" customFormat="false" ht="15" hidden="false" customHeight="false" outlineLevel="0" collapsed="false">
      <c r="A166" s="18" t="str">
        <f aca="false">IF(AND('SC Change Orders'!$A148="",'SC Change Orders'!$B148="",'SC Change Orders'!$C148=""),"",148)</f>
        <v/>
      </c>
      <c r="B166" s="31" t="str">
        <f aca="false">IF($A166="","",'SC Change Orders'!$A148)</f>
        <v/>
      </c>
      <c r="C166" s="18" t="str">
        <f aca="false">IF($A166="","",'SC Change Orders'!$B148)</f>
        <v/>
      </c>
      <c r="D166" s="32" t="str">
        <f aca="false">IF($A166="","",'SC Change Orders'!$C148)</f>
        <v/>
      </c>
      <c r="E166" s="31" t="str">
        <f aca="false">IF($A166="","",'SC Change Orders'!$D148)</f>
        <v/>
      </c>
      <c r="F166" s="33" t="str">
        <f aca="false">IF($A166="","",'SC Change Orders'!$E148)</f>
        <v/>
      </c>
      <c r="G166" s="33" t="str">
        <f aca="false">IF($A166="","",'SC Change Orders'!$F148)</f>
        <v/>
      </c>
      <c r="H166" s="33" t="str">
        <f aca="false">IF($A166="","",'SC Change Orders'!$G148)</f>
        <v/>
      </c>
      <c r="I166" s="34" t="str">
        <f aca="false">IF($A166="","",IF(AND(ISNUMBER('SC Change Orders'!$C148),'SC Change Orders'!$C148&gt;=Controls!$C$5,'SC Change Orders'!$C148&lt;=Controls!$C$6),"Yes","No"))</f>
        <v/>
      </c>
      <c r="J166" s="31" t="str">
        <f aca="false">IF($A166="","",IF($K166="","OK",$K166))</f>
        <v/>
      </c>
      <c r="K166" s="0" t="str">
        <f aca="false">IF($A166="","",IF(NOT(ISNUMBER('SC Change Orders'!$B148)),"PO not numeric — row is invisible to the tracker; ","")&amp;IF(NOT(ISNUMBER('SC Change Orders'!$C148)),"Date missing or text — row excluded; ",  IF(OR('SC Change Orders'!$C148&lt;Controls!$C$5,'SC Change Orders'!$C148&gt;Controls!$C$6),"Dated outside the FY window — excluded; ",""))&amp;IF(AND('SC Change Orders'!$E148&lt;&gt;"",NOT(ISNUMBER('SC Change Orders'!$E148))),"Original Amount held as text — ignored by MINIFS; ","")&amp;IF(AND('SC Change Orders'!$F148&lt;&gt;"",NOT(ISNUMBER('SC Change Orders'!$F148))),"Amount Added held as text — ignored by SUMIFS; ","")&amp;IF(ISNUMBER('SC Change Orders'!$E148),IF(ISNUMBER('SC Change Orders'!$F148),IF(ISNUMBER('SC Change Orders'!$G148),  IF('SC Change Orders'!$G148&gt;0,IF(ROUND('SC Change Orders'!$E148+'SC Change Orders'!$F148,2)&lt;&gt;ROUND('SC Change Orders'!$G148,2),  "Original + Added &lt;&gt; Total Line Cost Allotted; ",""),""),""),""),"")&amp;IF(AND(ISNUMBER('SC Change Orders'!$B148),COUNTIFS('SC Change Orders'!$B$2:$B$501,'SC Change Orders'!$B148,'SC Change Orders'!$C$2:$C$501,'SC Change Orders'!$C148,'SC Change Orders'!$D$2:$D$501,'SC Change Orders'!$D148,'SC Change Orders'!$F$2:$F$501,'SC Change Orders'!$F148,'SC Change Orders'!$E$2:$E$501,'SC Change Orders'!$E148)&gt;1),"Duplicate of another row — funds counted twice; ","")&amp;IF(ISNUMBER('SC Change Orders'!$F148),IF('SC Change Orders'!$F148&lt;&gt;0,IF(AND(ISNUMBER('SC Change Orders'!$B148),NOT(COUNTIFS('SC Change Orders'!$B$2:$B$501,'SC Change Orders'!$B148,'SC Change Orders'!$C$2:$C$501,'SC Change Orders'!$C148,'SC Change Orders'!$D$2:$D$501,'SC Change Orders'!$D148,'SC Change Orders'!$F$2:$F$501,'SC Change Orders'!$F148,'SC Change Orders'!$E$2:$E$501,'SC Change Orders'!$E148)&gt;1),COUNTIFS('SC Change Orders'!$B$2:$B$501,'SC Change Orders'!$B148,'SC Change Orders'!$F$2:$F$501,'SC Change Orders'!$F148)&gt;1),  "Same PO and Amount Added as another row — check for a restatement counted twice; ",""),""),""))</f>
        <v/>
      </c>
    </row>
    <row r="167" customFormat="false" ht="15" hidden="false" customHeight="false" outlineLevel="0" collapsed="false">
      <c r="A167" s="18" t="str">
        <f aca="false">IF(AND('SC Change Orders'!$A149="",'SC Change Orders'!$B149="",'SC Change Orders'!$C149=""),"",149)</f>
        <v/>
      </c>
      <c r="B167" s="31" t="str">
        <f aca="false">IF($A167="","",'SC Change Orders'!$A149)</f>
        <v/>
      </c>
      <c r="C167" s="18" t="str">
        <f aca="false">IF($A167="","",'SC Change Orders'!$B149)</f>
        <v/>
      </c>
      <c r="D167" s="32" t="str">
        <f aca="false">IF($A167="","",'SC Change Orders'!$C149)</f>
        <v/>
      </c>
      <c r="E167" s="31" t="str">
        <f aca="false">IF($A167="","",'SC Change Orders'!$D149)</f>
        <v/>
      </c>
      <c r="F167" s="33" t="str">
        <f aca="false">IF($A167="","",'SC Change Orders'!$E149)</f>
        <v/>
      </c>
      <c r="G167" s="33" t="str">
        <f aca="false">IF($A167="","",'SC Change Orders'!$F149)</f>
        <v/>
      </c>
      <c r="H167" s="33" t="str">
        <f aca="false">IF($A167="","",'SC Change Orders'!$G149)</f>
        <v/>
      </c>
      <c r="I167" s="34" t="str">
        <f aca="false">IF($A167="","",IF(AND(ISNUMBER('SC Change Orders'!$C149),'SC Change Orders'!$C149&gt;=Controls!$C$5,'SC Change Orders'!$C149&lt;=Controls!$C$6),"Yes","No"))</f>
        <v/>
      </c>
      <c r="J167" s="31" t="str">
        <f aca="false">IF($A167="","",IF($K167="","OK",$K167))</f>
        <v/>
      </c>
      <c r="K167" s="0" t="str">
        <f aca="false">IF($A167="","",IF(NOT(ISNUMBER('SC Change Orders'!$B149)),"PO not numeric — row is invisible to the tracker; ","")&amp;IF(NOT(ISNUMBER('SC Change Orders'!$C149)),"Date missing or text — row excluded; ",  IF(OR('SC Change Orders'!$C149&lt;Controls!$C$5,'SC Change Orders'!$C149&gt;Controls!$C$6),"Dated outside the FY window — excluded; ",""))&amp;IF(AND('SC Change Orders'!$E149&lt;&gt;"",NOT(ISNUMBER('SC Change Orders'!$E149))),"Original Amount held as text — ignored by MINIFS; ","")&amp;IF(AND('SC Change Orders'!$F149&lt;&gt;"",NOT(ISNUMBER('SC Change Orders'!$F149))),"Amount Added held as text — ignored by SUMIFS; ","")&amp;IF(ISNUMBER('SC Change Orders'!$E149),IF(ISNUMBER('SC Change Orders'!$F149),IF(ISNUMBER('SC Change Orders'!$G149),  IF('SC Change Orders'!$G149&gt;0,IF(ROUND('SC Change Orders'!$E149+'SC Change Orders'!$F149,2)&lt;&gt;ROUND('SC Change Orders'!$G149,2),  "Original + Added &lt;&gt; Total Line Cost Allotted; ",""),""),""),""),"")&amp;IF(AND(ISNUMBER('SC Change Orders'!$B149),COUNTIFS('SC Change Orders'!$B$2:$B$501,'SC Change Orders'!$B149,'SC Change Orders'!$C$2:$C$501,'SC Change Orders'!$C149,'SC Change Orders'!$D$2:$D$501,'SC Change Orders'!$D149,'SC Change Orders'!$F$2:$F$501,'SC Change Orders'!$F149,'SC Change Orders'!$E$2:$E$501,'SC Change Orders'!$E149)&gt;1),"Duplicate of another row — funds counted twice; ","")&amp;IF(ISNUMBER('SC Change Orders'!$F149),IF('SC Change Orders'!$F149&lt;&gt;0,IF(AND(ISNUMBER('SC Change Orders'!$B149),NOT(COUNTIFS('SC Change Orders'!$B$2:$B$501,'SC Change Orders'!$B149,'SC Change Orders'!$C$2:$C$501,'SC Change Orders'!$C149,'SC Change Orders'!$D$2:$D$501,'SC Change Orders'!$D149,'SC Change Orders'!$F$2:$F$501,'SC Change Orders'!$F149,'SC Change Orders'!$E$2:$E$501,'SC Change Orders'!$E149)&gt;1),COUNTIFS('SC Change Orders'!$B$2:$B$501,'SC Change Orders'!$B149,'SC Change Orders'!$F$2:$F$501,'SC Change Orders'!$F149)&gt;1),  "Same PO and Amount Added as another row — check for a restatement counted twice; ",""),""),""))</f>
        <v/>
      </c>
    </row>
    <row r="168" customFormat="false" ht="15" hidden="false" customHeight="false" outlineLevel="0" collapsed="false">
      <c r="A168" s="18" t="str">
        <f aca="false">IF(AND('SC Change Orders'!$A150="",'SC Change Orders'!$B150="",'SC Change Orders'!$C150=""),"",150)</f>
        <v/>
      </c>
      <c r="B168" s="31" t="str">
        <f aca="false">IF($A168="","",'SC Change Orders'!$A150)</f>
        <v/>
      </c>
      <c r="C168" s="18" t="str">
        <f aca="false">IF($A168="","",'SC Change Orders'!$B150)</f>
        <v/>
      </c>
      <c r="D168" s="32" t="str">
        <f aca="false">IF($A168="","",'SC Change Orders'!$C150)</f>
        <v/>
      </c>
      <c r="E168" s="31" t="str">
        <f aca="false">IF($A168="","",'SC Change Orders'!$D150)</f>
        <v/>
      </c>
      <c r="F168" s="33" t="str">
        <f aca="false">IF($A168="","",'SC Change Orders'!$E150)</f>
        <v/>
      </c>
      <c r="G168" s="33" t="str">
        <f aca="false">IF($A168="","",'SC Change Orders'!$F150)</f>
        <v/>
      </c>
      <c r="H168" s="33" t="str">
        <f aca="false">IF($A168="","",'SC Change Orders'!$G150)</f>
        <v/>
      </c>
      <c r="I168" s="34" t="str">
        <f aca="false">IF($A168="","",IF(AND(ISNUMBER('SC Change Orders'!$C150),'SC Change Orders'!$C150&gt;=Controls!$C$5,'SC Change Orders'!$C150&lt;=Controls!$C$6),"Yes","No"))</f>
        <v/>
      </c>
      <c r="J168" s="31" t="str">
        <f aca="false">IF($A168="","",IF($K168="","OK",$K168))</f>
        <v/>
      </c>
      <c r="K168" s="0" t="str">
        <f aca="false">IF($A168="","",IF(NOT(ISNUMBER('SC Change Orders'!$B150)),"PO not numeric — row is invisible to the tracker; ","")&amp;IF(NOT(ISNUMBER('SC Change Orders'!$C150)),"Date missing or text — row excluded; ",  IF(OR('SC Change Orders'!$C150&lt;Controls!$C$5,'SC Change Orders'!$C150&gt;Controls!$C$6),"Dated outside the FY window — excluded; ",""))&amp;IF(AND('SC Change Orders'!$E150&lt;&gt;"",NOT(ISNUMBER('SC Change Orders'!$E150))),"Original Amount held as text — ignored by MINIFS; ","")&amp;IF(AND('SC Change Orders'!$F150&lt;&gt;"",NOT(ISNUMBER('SC Change Orders'!$F150))),"Amount Added held as text — ignored by SUMIFS; ","")&amp;IF(ISNUMBER('SC Change Orders'!$E150),IF(ISNUMBER('SC Change Orders'!$F150),IF(ISNUMBER('SC Change Orders'!$G150),  IF('SC Change Orders'!$G150&gt;0,IF(ROUND('SC Change Orders'!$E150+'SC Change Orders'!$F150,2)&lt;&gt;ROUND('SC Change Orders'!$G150,2),  "Original + Added &lt;&gt; Total Line Cost Allotted; ",""),""),""),""),"")&amp;IF(AND(ISNUMBER('SC Change Orders'!$B150),COUNTIFS('SC Change Orders'!$B$2:$B$501,'SC Change Orders'!$B150,'SC Change Orders'!$C$2:$C$501,'SC Change Orders'!$C150,'SC Change Orders'!$D$2:$D$501,'SC Change Orders'!$D150,'SC Change Orders'!$F$2:$F$501,'SC Change Orders'!$F150,'SC Change Orders'!$E$2:$E$501,'SC Change Orders'!$E150)&gt;1),"Duplicate of another row — funds counted twice; ","")&amp;IF(ISNUMBER('SC Change Orders'!$F150),IF('SC Change Orders'!$F150&lt;&gt;0,IF(AND(ISNUMBER('SC Change Orders'!$B150),NOT(COUNTIFS('SC Change Orders'!$B$2:$B$501,'SC Change Orders'!$B150,'SC Change Orders'!$C$2:$C$501,'SC Change Orders'!$C150,'SC Change Orders'!$D$2:$D$501,'SC Change Orders'!$D150,'SC Change Orders'!$F$2:$F$501,'SC Change Orders'!$F150,'SC Change Orders'!$E$2:$E$501,'SC Change Orders'!$E150)&gt;1),COUNTIFS('SC Change Orders'!$B$2:$B$501,'SC Change Orders'!$B150,'SC Change Orders'!$F$2:$F$501,'SC Change Orders'!$F150)&gt;1),  "Same PO and Amount Added as another row — check for a restatement counted twice; ",""),""),""))</f>
        <v/>
      </c>
    </row>
    <row r="169" customFormat="false" ht="15" hidden="false" customHeight="false" outlineLevel="0" collapsed="false">
      <c r="A169" s="18" t="str">
        <f aca="false">IF(AND('SC Change Orders'!$A151="",'SC Change Orders'!$B151="",'SC Change Orders'!$C151=""),"",151)</f>
        <v/>
      </c>
      <c r="B169" s="31" t="str">
        <f aca="false">IF($A169="","",'SC Change Orders'!$A151)</f>
        <v/>
      </c>
      <c r="C169" s="18" t="str">
        <f aca="false">IF($A169="","",'SC Change Orders'!$B151)</f>
        <v/>
      </c>
      <c r="D169" s="32" t="str">
        <f aca="false">IF($A169="","",'SC Change Orders'!$C151)</f>
        <v/>
      </c>
      <c r="E169" s="31" t="str">
        <f aca="false">IF($A169="","",'SC Change Orders'!$D151)</f>
        <v/>
      </c>
      <c r="F169" s="33" t="str">
        <f aca="false">IF($A169="","",'SC Change Orders'!$E151)</f>
        <v/>
      </c>
      <c r="G169" s="33" t="str">
        <f aca="false">IF($A169="","",'SC Change Orders'!$F151)</f>
        <v/>
      </c>
      <c r="H169" s="33" t="str">
        <f aca="false">IF($A169="","",'SC Change Orders'!$G151)</f>
        <v/>
      </c>
      <c r="I169" s="34" t="str">
        <f aca="false">IF($A169="","",IF(AND(ISNUMBER('SC Change Orders'!$C151),'SC Change Orders'!$C151&gt;=Controls!$C$5,'SC Change Orders'!$C151&lt;=Controls!$C$6),"Yes","No"))</f>
        <v/>
      </c>
      <c r="J169" s="31" t="str">
        <f aca="false">IF($A169="","",IF($K169="","OK",$K169))</f>
        <v/>
      </c>
      <c r="K169" s="0" t="str">
        <f aca="false">IF($A169="","",IF(NOT(ISNUMBER('SC Change Orders'!$B151)),"PO not numeric — row is invisible to the tracker; ","")&amp;IF(NOT(ISNUMBER('SC Change Orders'!$C151)),"Date missing or text — row excluded; ",  IF(OR('SC Change Orders'!$C151&lt;Controls!$C$5,'SC Change Orders'!$C151&gt;Controls!$C$6),"Dated outside the FY window — excluded; ",""))&amp;IF(AND('SC Change Orders'!$E151&lt;&gt;"",NOT(ISNUMBER('SC Change Orders'!$E151))),"Original Amount held as text — ignored by MINIFS; ","")&amp;IF(AND('SC Change Orders'!$F151&lt;&gt;"",NOT(ISNUMBER('SC Change Orders'!$F151))),"Amount Added held as text — ignored by SUMIFS; ","")&amp;IF(ISNUMBER('SC Change Orders'!$E151),IF(ISNUMBER('SC Change Orders'!$F151),IF(ISNUMBER('SC Change Orders'!$G151),  IF('SC Change Orders'!$G151&gt;0,IF(ROUND('SC Change Orders'!$E151+'SC Change Orders'!$F151,2)&lt;&gt;ROUND('SC Change Orders'!$G151,2),  "Original + Added &lt;&gt; Total Line Cost Allotted; ",""),""),""),""),"")&amp;IF(AND(ISNUMBER('SC Change Orders'!$B151),COUNTIFS('SC Change Orders'!$B$2:$B$501,'SC Change Orders'!$B151,'SC Change Orders'!$C$2:$C$501,'SC Change Orders'!$C151,'SC Change Orders'!$D$2:$D$501,'SC Change Orders'!$D151,'SC Change Orders'!$F$2:$F$501,'SC Change Orders'!$F151,'SC Change Orders'!$E$2:$E$501,'SC Change Orders'!$E151)&gt;1),"Duplicate of another row — funds counted twice; ","")&amp;IF(ISNUMBER('SC Change Orders'!$F151),IF('SC Change Orders'!$F151&lt;&gt;0,IF(AND(ISNUMBER('SC Change Orders'!$B151),NOT(COUNTIFS('SC Change Orders'!$B$2:$B$501,'SC Change Orders'!$B151,'SC Change Orders'!$C$2:$C$501,'SC Change Orders'!$C151,'SC Change Orders'!$D$2:$D$501,'SC Change Orders'!$D151,'SC Change Orders'!$F$2:$F$501,'SC Change Orders'!$F151,'SC Change Orders'!$E$2:$E$501,'SC Change Orders'!$E151)&gt;1),COUNTIFS('SC Change Orders'!$B$2:$B$501,'SC Change Orders'!$B151,'SC Change Orders'!$F$2:$F$501,'SC Change Orders'!$F151)&gt;1),  "Same PO and Amount Added as another row — check for a restatement counted twice; ",""),""),""))</f>
        <v/>
      </c>
    </row>
    <row r="170" customFormat="false" ht="15" hidden="false" customHeight="false" outlineLevel="0" collapsed="false">
      <c r="A170" s="18" t="str">
        <f aca="false">IF(AND('SC Change Orders'!$A152="",'SC Change Orders'!$B152="",'SC Change Orders'!$C152=""),"",152)</f>
        <v/>
      </c>
      <c r="B170" s="31" t="str">
        <f aca="false">IF($A170="","",'SC Change Orders'!$A152)</f>
        <v/>
      </c>
      <c r="C170" s="18" t="str">
        <f aca="false">IF($A170="","",'SC Change Orders'!$B152)</f>
        <v/>
      </c>
      <c r="D170" s="32" t="str">
        <f aca="false">IF($A170="","",'SC Change Orders'!$C152)</f>
        <v/>
      </c>
      <c r="E170" s="31" t="str">
        <f aca="false">IF($A170="","",'SC Change Orders'!$D152)</f>
        <v/>
      </c>
      <c r="F170" s="33" t="str">
        <f aca="false">IF($A170="","",'SC Change Orders'!$E152)</f>
        <v/>
      </c>
      <c r="G170" s="33" t="str">
        <f aca="false">IF($A170="","",'SC Change Orders'!$F152)</f>
        <v/>
      </c>
      <c r="H170" s="33" t="str">
        <f aca="false">IF($A170="","",'SC Change Orders'!$G152)</f>
        <v/>
      </c>
      <c r="I170" s="34" t="str">
        <f aca="false">IF($A170="","",IF(AND(ISNUMBER('SC Change Orders'!$C152),'SC Change Orders'!$C152&gt;=Controls!$C$5,'SC Change Orders'!$C152&lt;=Controls!$C$6),"Yes","No"))</f>
        <v/>
      </c>
      <c r="J170" s="31" t="str">
        <f aca="false">IF($A170="","",IF($K170="","OK",$K170))</f>
        <v/>
      </c>
      <c r="K170" s="0" t="str">
        <f aca="false">IF($A170="","",IF(NOT(ISNUMBER('SC Change Orders'!$B152)),"PO not numeric — row is invisible to the tracker; ","")&amp;IF(NOT(ISNUMBER('SC Change Orders'!$C152)),"Date missing or text — row excluded; ",  IF(OR('SC Change Orders'!$C152&lt;Controls!$C$5,'SC Change Orders'!$C152&gt;Controls!$C$6),"Dated outside the FY window — excluded; ",""))&amp;IF(AND('SC Change Orders'!$E152&lt;&gt;"",NOT(ISNUMBER('SC Change Orders'!$E152))),"Original Amount held as text — ignored by MINIFS; ","")&amp;IF(AND('SC Change Orders'!$F152&lt;&gt;"",NOT(ISNUMBER('SC Change Orders'!$F152))),"Amount Added held as text — ignored by SUMIFS; ","")&amp;IF(ISNUMBER('SC Change Orders'!$E152),IF(ISNUMBER('SC Change Orders'!$F152),IF(ISNUMBER('SC Change Orders'!$G152),  IF('SC Change Orders'!$G152&gt;0,IF(ROUND('SC Change Orders'!$E152+'SC Change Orders'!$F152,2)&lt;&gt;ROUND('SC Change Orders'!$G152,2),  "Original + Added &lt;&gt; Total Line Cost Allotted; ",""),""),""),""),"")&amp;IF(AND(ISNUMBER('SC Change Orders'!$B152),COUNTIFS('SC Change Orders'!$B$2:$B$501,'SC Change Orders'!$B152,'SC Change Orders'!$C$2:$C$501,'SC Change Orders'!$C152,'SC Change Orders'!$D$2:$D$501,'SC Change Orders'!$D152,'SC Change Orders'!$F$2:$F$501,'SC Change Orders'!$F152,'SC Change Orders'!$E$2:$E$501,'SC Change Orders'!$E152)&gt;1),"Duplicate of another row — funds counted twice; ","")&amp;IF(ISNUMBER('SC Change Orders'!$F152),IF('SC Change Orders'!$F152&lt;&gt;0,IF(AND(ISNUMBER('SC Change Orders'!$B152),NOT(COUNTIFS('SC Change Orders'!$B$2:$B$501,'SC Change Orders'!$B152,'SC Change Orders'!$C$2:$C$501,'SC Change Orders'!$C152,'SC Change Orders'!$D$2:$D$501,'SC Change Orders'!$D152,'SC Change Orders'!$F$2:$F$501,'SC Change Orders'!$F152,'SC Change Orders'!$E$2:$E$501,'SC Change Orders'!$E152)&gt;1),COUNTIFS('SC Change Orders'!$B$2:$B$501,'SC Change Orders'!$B152,'SC Change Orders'!$F$2:$F$501,'SC Change Orders'!$F152)&gt;1),  "Same PO and Amount Added as another row — check for a restatement counted twice; ",""),""),""))</f>
        <v/>
      </c>
    </row>
    <row r="171" customFormat="false" ht="15" hidden="false" customHeight="false" outlineLevel="0" collapsed="false">
      <c r="A171" s="18" t="str">
        <f aca="false">IF(AND('SC Change Orders'!$A153="",'SC Change Orders'!$B153="",'SC Change Orders'!$C153=""),"",153)</f>
        <v/>
      </c>
      <c r="B171" s="31" t="str">
        <f aca="false">IF($A171="","",'SC Change Orders'!$A153)</f>
        <v/>
      </c>
      <c r="C171" s="18" t="str">
        <f aca="false">IF($A171="","",'SC Change Orders'!$B153)</f>
        <v/>
      </c>
      <c r="D171" s="32" t="str">
        <f aca="false">IF($A171="","",'SC Change Orders'!$C153)</f>
        <v/>
      </c>
      <c r="E171" s="31" t="str">
        <f aca="false">IF($A171="","",'SC Change Orders'!$D153)</f>
        <v/>
      </c>
      <c r="F171" s="33" t="str">
        <f aca="false">IF($A171="","",'SC Change Orders'!$E153)</f>
        <v/>
      </c>
      <c r="G171" s="33" t="str">
        <f aca="false">IF($A171="","",'SC Change Orders'!$F153)</f>
        <v/>
      </c>
      <c r="H171" s="33" t="str">
        <f aca="false">IF($A171="","",'SC Change Orders'!$G153)</f>
        <v/>
      </c>
      <c r="I171" s="34" t="str">
        <f aca="false">IF($A171="","",IF(AND(ISNUMBER('SC Change Orders'!$C153),'SC Change Orders'!$C153&gt;=Controls!$C$5,'SC Change Orders'!$C153&lt;=Controls!$C$6),"Yes","No"))</f>
        <v/>
      </c>
      <c r="J171" s="31" t="str">
        <f aca="false">IF($A171="","",IF($K171="","OK",$K171))</f>
        <v/>
      </c>
      <c r="K171" s="0" t="str">
        <f aca="false">IF($A171="","",IF(NOT(ISNUMBER('SC Change Orders'!$B153)),"PO not numeric — row is invisible to the tracker; ","")&amp;IF(NOT(ISNUMBER('SC Change Orders'!$C153)),"Date missing or text — row excluded; ",  IF(OR('SC Change Orders'!$C153&lt;Controls!$C$5,'SC Change Orders'!$C153&gt;Controls!$C$6),"Dated outside the FY window — excluded; ",""))&amp;IF(AND('SC Change Orders'!$E153&lt;&gt;"",NOT(ISNUMBER('SC Change Orders'!$E153))),"Original Amount held as text — ignored by MINIFS; ","")&amp;IF(AND('SC Change Orders'!$F153&lt;&gt;"",NOT(ISNUMBER('SC Change Orders'!$F153))),"Amount Added held as text — ignored by SUMIFS; ","")&amp;IF(ISNUMBER('SC Change Orders'!$E153),IF(ISNUMBER('SC Change Orders'!$F153),IF(ISNUMBER('SC Change Orders'!$G153),  IF('SC Change Orders'!$G153&gt;0,IF(ROUND('SC Change Orders'!$E153+'SC Change Orders'!$F153,2)&lt;&gt;ROUND('SC Change Orders'!$G153,2),  "Original + Added &lt;&gt; Total Line Cost Allotted; ",""),""),""),""),"")&amp;IF(AND(ISNUMBER('SC Change Orders'!$B153),COUNTIFS('SC Change Orders'!$B$2:$B$501,'SC Change Orders'!$B153,'SC Change Orders'!$C$2:$C$501,'SC Change Orders'!$C153,'SC Change Orders'!$D$2:$D$501,'SC Change Orders'!$D153,'SC Change Orders'!$F$2:$F$501,'SC Change Orders'!$F153,'SC Change Orders'!$E$2:$E$501,'SC Change Orders'!$E153)&gt;1),"Duplicate of another row — funds counted twice; ","")&amp;IF(ISNUMBER('SC Change Orders'!$F153),IF('SC Change Orders'!$F153&lt;&gt;0,IF(AND(ISNUMBER('SC Change Orders'!$B153),NOT(COUNTIFS('SC Change Orders'!$B$2:$B$501,'SC Change Orders'!$B153,'SC Change Orders'!$C$2:$C$501,'SC Change Orders'!$C153,'SC Change Orders'!$D$2:$D$501,'SC Change Orders'!$D153,'SC Change Orders'!$F$2:$F$501,'SC Change Orders'!$F153,'SC Change Orders'!$E$2:$E$501,'SC Change Orders'!$E153)&gt;1),COUNTIFS('SC Change Orders'!$B$2:$B$501,'SC Change Orders'!$B153,'SC Change Orders'!$F$2:$F$501,'SC Change Orders'!$F153)&gt;1),  "Same PO and Amount Added as another row — check for a restatement counted twice; ",""),""),""))</f>
        <v/>
      </c>
    </row>
    <row r="172" customFormat="false" ht="15" hidden="false" customHeight="false" outlineLevel="0" collapsed="false">
      <c r="A172" s="18" t="str">
        <f aca="false">IF(AND('SC Change Orders'!$A154="",'SC Change Orders'!$B154="",'SC Change Orders'!$C154=""),"",154)</f>
        <v/>
      </c>
      <c r="B172" s="31" t="str">
        <f aca="false">IF($A172="","",'SC Change Orders'!$A154)</f>
        <v/>
      </c>
      <c r="C172" s="18" t="str">
        <f aca="false">IF($A172="","",'SC Change Orders'!$B154)</f>
        <v/>
      </c>
      <c r="D172" s="32" t="str">
        <f aca="false">IF($A172="","",'SC Change Orders'!$C154)</f>
        <v/>
      </c>
      <c r="E172" s="31" t="str">
        <f aca="false">IF($A172="","",'SC Change Orders'!$D154)</f>
        <v/>
      </c>
      <c r="F172" s="33" t="str">
        <f aca="false">IF($A172="","",'SC Change Orders'!$E154)</f>
        <v/>
      </c>
      <c r="G172" s="33" t="str">
        <f aca="false">IF($A172="","",'SC Change Orders'!$F154)</f>
        <v/>
      </c>
      <c r="H172" s="33" t="str">
        <f aca="false">IF($A172="","",'SC Change Orders'!$G154)</f>
        <v/>
      </c>
      <c r="I172" s="34" t="str">
        <f aca="false">IF($A172="","",IF(AND(ISNUMBER('SC Change Orders'!$C154),'SC Change Orders'!$C154&gt;=Controls!$C$5,'SC Change Orders'!$C154&lt;=Controls!$C$6),"Yes","No"))</f>
        <v/>
      </c>
      <c r="J172" s="31" t="str">
        <f aca="false">IF($A172="","",IF($K172="","OK",$K172))</f>
        <v/>
      </c>
      <c r="K172" s="0" t="str">
        <f aca="false">IF($A172="","",IF(NOT(ISNUMBER('SC Change Orders'!$B154)),"PO not numeric — row is invisible to the tracker; ","")&amp;IF(NOT(ISNUMBER('SC Change Orders'!$C154)),"Date missing or text — row excluded; ",  IF(OR('SC Change Orders'!$C154&lt;Controls!$C$5,'SC Change Orders'!$C154&gt;Controls!$C$6),"Dated outside the FY window — excluded; ",""))&amp;IF(AND('SC Change Orders'!$E154&lt;&gt;"",NOT(ISNUMBER('SC Change Orders'!$E154))),"Original Amount held as text — ignored by MINIFS; ","")&amp;IF(AND('SC Change Orders'!$F154&lt;&gt;"",NOT(ISNUMBER('SC Change Orders'!$F154))),"Amount Added held as text — ignored by SUMIFS; ","")&amp;IF(ISNUMBER('SC Change Orders'!$E154),IF(ISNUMBER('SC Change Orders'!$F154),IF(ISNUMBER('SC Change Orders'!$G154),  IF('SC Change Orders'!$G154&gt;0,IF(ROUND('SC Change Orders'!$E154+'SC Change Orders'!$F154,2)&lt;&gt;ROUND('SC Change Orders'!$G154,2),  "Original + Added &lt;&gt; Total Line Cost Allotted; ",""),""),""),""),"")&amp;IF(AND(ISNUMBER('SC Change Orders'!$B154),COUNTIFS('SC Change Orders'!$B$2:$B$501,'SC Change Orders'!$B154,'SC Change Orders'!$C$2:$C$501,'SC Change Orders'!$C154,'SC Change Orders'!$D$2:$D$501,'SC Change Orders'!$D154,'SC Change Orders'!$F$2:$F$501,'SC Change Orders'!$F154,'SC Change Orders'!$E$2:$E$501,'SC Change Orders'!$E154)&gt;1),"Duplicate of another row — funds counted twice; ","")&amp;IF(ISNUMBER('SC Change Orders'!$F154),IF('SC Change Orders'!$F154&lt;&gt;0,IF(AND(ISNUMBER('SC Change Orders'!$B154),NOT(COUNTIFS('SC Change Orders'!$B$2:$B$501,'SC Change Orders'!$B154,'SC Change Orders'!$C$2:$C$501,'SC Change Orders'!$C154,'SC Change Orders'!$D$2:$D$501,'SC Change Orders'!$D154,'SC Change Orders'!$F$2:$F$501,'SC Change Orders'!$F154,'SC Change Orders'!$E$2:$E$501,'SC Change Orders'!$E154)&gt;1),COUNTIFS('SC Change Orders'!$B$2:$B$501,'SC Change Orders'!$B154,'SC Change Orders'!$F$2:$F$501,'SC Change Orders'!$F154)&gt;1),  "Same PO and Amount Added as another row — check for a restatement counted twice; ",""),""),""))</f>
        <v/>
      </c>
    </row>
    <row r="173" customFormat="false" ht="15" hidden="false" customHeight="false" outlineLevel="0" collapsed="false">
      <c r="A173" s="18" t="str">
        <f aca="false">IF(AND('SC Change Orders'!$A155="",'SC Change Orders'!$B155="",'SC Change Orders'!$C155=""),"",155)</f>
        <v/>
      </c>
      <c r="B173" s="31" t="str">
        <f aca="false">IF($A173="","",'SC Change Orders'!$A155)</f>
        <v/>
      </c>
      <c r="C173" s="18" t="str">
        <f aca="false">IF($A173="","",'SC Change Orders'!$B155)</f>
        <v/>
      </c>
      <c r="D173" s="32" t="str">
        <f aca="false">IF($A173="","",'SC Change Orders'!$C155)</f>
        <v/>
      </c>
      <c r="E173" s="31" t="str">
        <f aca="false">IF($A173="","",'SC Change Orders'!$D155)</f>
        <v/>
      </c>
      <c r="F173" s="33" t="str">
        <f aca="false">IF($A173="","",'SC Change Orders'!$E155)</f>
        <v/>
      </c>
      <c r="G173" s="33" t="str">
        <f aca="false">IF($A173="","",'SC Change Orders'!$F155)</f>
        <v/>
      </c>
      <c r="H173" s="33" t="str">
        <f aca="false">IF($A173="","",'SC Change Orders'!$G155)</f>
        <v/>
      </c>
      <c r="I173" s="34" t="str">
        <f aca="false">IF($A173="","",IF(AND(ISNUMBER('SC Change Orders'!$C155),'SC Change Orders'!$C155&gt;=Controls!$C$5,'SC Change Orders'!$C155&lt;=Controls!$C$6),"Yes","No"))</f>
        <v/>
      </c>
      <c r="J173" s="31" t="str">
        <f aca="false">IF($A173="","",IF($K173="","OK",$K173))</f>
        <v/>
      </c>
      <c r="K173" s="0" t="str">
        <f aca="false">IF($A173="","",IF(NOT(ISNUMBER('SC Change Orders'!$B155)),"PO not numeric — row is invisible to the tracker; ","")&amp;IF(NOT(ISNUMBER('SC Change Orders'!$C155)),"Date missing or text — row excluded; ",  IF(OR('SC Change Orders'!$C155&lt;Controls!$C$5,'SC Change Orders'!$C155&gt;Controls!$C$6),"Dated outside the FY window — excluded; ",""))&amp;IF(AND('SC Change Orders'!$E155&lt;&gt;"",NOT(ISNUMBER('SC Change Orders'!$E155))),"Original Amount held as text — ignored by MINIFS; ","")&amp;IF(AND('SC Change Orders'!$F155&lt;&gt;"",NOT(ISNUMBER('SC Change Orders'!$F155))),"Amount Added held as text — ignored by SUMIFS; ","")&amp;IF(ISNUMBER('SC Change Orders'!$E155),IF(ISNUMBER('SC Change Orders'!$F155),IF(ISNUMBER('SC Change Orders'!$G155),  IF('SC Change Orders'!$G155&gt;0,IF(ROUND('SC Change Orders'!$E155+'SC Change Orders'!$F155,2)&lt;&gt;ROUND('SC Change Orders'!$G155,2),  "Original + Added &lt;&gt; Total Line Cost Allotted; ",""),""),""),""),"")&amp;IF(AND(ISNUMBER('SC Change Orders'!$B155),COUNTIFS('SC Change Orders'!$B$2:$B$501,'SC Change Orders'!$B155,'SC Change Orders'!$C$2:$C$501,'SC Change Orders'!$C155,'SC Change Orders'!$D$2:$D$501,'SC Change Orders'!$D155,'SC Change Orders'!$F$2:$F$501,'SC Change Orders'!$F155,'SC Change Orders'!$E$2:$E$501,'SC Change Orders'!$E155)&gt;1),"Duplicate of another row — funds counted twice; ","")&amp;IF(ISNUMBER('SC Change Orders'!$F155),IF('SC Change Orders'!$F155&lt;&gt;0,IF(AND(ISNUMBER('SC Change Orders'!$B155),NOT(COUNTIFS('SC Change Orders'!$B$2:$B$501,'SC Change Orders'!$B155,'SC Change Orders'!$C$2:$C$501,'SC Change Orders'!$C155,'SC Change Orders'!$D$2:$D$501,'SC Change Orders'!$D155,'SC Change Orders'!$F$2:$F$501,'SC Change Orders'!$F155,'SC Change Orders'!$E$2:$E$501,'SC Change Orders'!$E155)&gt;1),COUNTIFS('SC Change Orders'!$B$2:$B$501,'SC Change Orders'!$B155,'SC Change Orders'!$F$2:$F$501,'SC Change Orders'!$F155)&gt;1),  "Same PO and Amount Added as another row — check for a restatement counted twice; ",""),""),""))</f>
        <v/>
      </c>
    </row>
    <row r="174" customFormat="false" ht="15" hidden="false" customHeight="false" outlineLevel="0" collapsed="false">
      <c r="A174" s="18" t="str">
        <f aca="false">IF(AND('SC Change Orders'!$A156="",'SC Change Orders'!$B156="",'SC Change Orders'!$C156=""),"",156)</f>
        <v/>
      </c>
      <c r="B174" s="31" t="str">
        <f aca="false">IF($A174="","",'SC Change Orders'!$A156)</f>
        <v/>
      </c>
      <c r="C174" s="18" t="str">
        <f aca="false">IF($A174="","",'SC Change Orders'!$B156)</f>
        <v/>
      </c>
      <c r="D174" s="32" t="str">
        <f aca="false">IF($A174="","",'SC Change Orders'!$C156)</f>
        <v/>
      </c>
      <c r="E174" s="31" t="str">
        <f aca="false">IF($A174="","",'SC Change Orders'!$D156)</f>
        <v/>
      </c>
      <c r="F174" s="33" t="str">
        <f aca="false">IF($A174="","",'SC Change Orders'!$E156)</f>
        <v/>
      </c>
      <c r="G174" s="33" t="str">
        <f aca="false">IF($A174="","",'SC Change Orders'!$F156)</f>
        <v/>
      </c>
      <c r="H174" s="33" t="str">
        <f aca="false">IF($A174="","",'SC Change Orders'!$G156)</f>
        <v/>
      </c>
      <c r="I174" s="34" t="str">
        <f aca="false">IF($A174="","",IF(AND(ISNUMBER('SC Change Orders'!$C156),'SC Change Orders'!$C156&gt;=Controls!$C$5,'SC Change Orders'!$C156&lt;=Controls!$C$6),"Yes","No"))</f>
        <v/>
      </c>
      <c r="J174" s="31" t="str">
        <f aca="false">IF($A174="","",IF($K174="","OK",$K174))</f>
        <v/>
      </c>
      <c r="K174" s="0" t="str">
        <f aca="false">IF($A174="","",IF(NOT(ISNUMBER('SC Change Orders'!$B156)),"PO not numeric — row is invisible to the tracker; ","")&amp;IF(NOT(ISNUMBER('SC Change Orders'!$C156)),"Date missing or text — row excluded; ",  IF(OR('SC Change Orders'!$C156&lt;Controls!$C$5,'SC Change Orders'!$C156&gt;Controls!$C$6),"Dated outside the FY window — excluded; ",""))&amp;IF(AND('SC Change Orders'!$E156&lt;&gt;"",NOT(ISNUMBER('SC Change Orders'!$E156))),"Original Amount held as text — ignored by MINIFS; ","")&amp;IF(AND('SC Change Orders'!$F156&lt;&gt;"",NOT(ISNUMBER('SC Change Orders'!$F156))),"Amount Added held as text — ignored by SUMIFS; ","")&amp;IF(ISNUMBER('SC Change Orders'!$E156),IF(ISNUMBER('SC Change Orders'!$F156),IF(ISNUMBER('SC Change Orders'!$G156),  IF('SC Change Orders'!$G156&gt;0,IF(ROUND('SC Change Orders'!$E156+'SC Change Orders'!$F156,2)&lt;&gt;ROUND('SC Change Orders'!$G156,2),  "Original + Added &lt;&gt; Total Line Cost Allotted; ",""),""),""),""),"")&amp;IF(AND(ISNUMBER('SC Change Orders'!$B156),COUNTIFS('SC Change Orders'!$B$2:$B$501,'SC Change Orders'!$B156,'SC Change Orders'!$C$2:$C$501,'SC Change Orders'!$C156,'SC Change Orders'!$D$2:$D$501,'SC Change Orders'!$D156,'SC Change Orders'!$F$2:$F$501,'SC Change Orders'!$F156,'SC Change Orders'!$E$2:$E$501,'SC Change Orders'!$E156)&gt;1),"Duplicate of another row — funds counted twice; ","")&amp;IF(ISNUMBER('SC Change Orders'!$F156),IF('SC Change Orders'!$F156&lt;&gt;0,IF(AND(ISNUMBER('SC Change Orders'!$B156),NOT(COUNTIFS('SC Change Orders'!$B$2:$B$501,'SC Change Orders'!$B156,'SC Change Orders'!$C$2:$C$501,'SC Change Orders'!$C156,'SC Change Orders'!$D$2:$D$501,'SC Change Orders'!$D156,'SC Change Orders'!$F$2:$F$501,'SC Change Orders'!$F156,'SC Change Orders'!$E$2:$E$501,'SC Change Orders'!$E156)&gt;1),COUNTIFS('SC Change Orders'!$B$2:$B$501,'SC Change Orders'!$B156,'SC Change Orders'!$F$2:$F$501,'SC Change Orders'!$F156)&gt;1),  "Same PO and Amount Added as another row — check for a restatement counted twice; ",""),""),""))</f>
        <v/>
      </c>
    </row>
    <row r="175" customFormat="false" ht="15" hidden="false" customHeight="false" outlineLevel="0" collapsed="false">
      <c r="A175" s="18" t="str">
        <f aca="false">IF(AND('SC Change Orders'!$A157="",'SC Change Orders'!$B157="",'SC Change Orders'!$C157=""),"",157)</f>
        <v/>
      </c>
      <c r="B175" s="31" t="str">
        <f aca="false">IF($A175="","",'SC Change Orders'!$A157)</f>
        <v/>
      </c>
      <c r="C175" s="18" t="str">
        <f aca="false">IF($A175="","",'SC Change Orders'!$B157)</f>
        <v/>
      </c>
      <c r="D175" s="32" t="str">
        <f aca="false">IF($A175="","",'SC Change Orders'!$C157)</f>
        <v/>
      </c>
      <c r="E175" s="31" t="str">
        <f aca="false">IF($A175="","",'SC Change Orders'!$D157)</f>
        <v/>
      </c>
      <c r="F175" s="33" t="str">
        <f aca="false">IF($A175="","",'SC Change Orders'!$E157)</f>
        <v/>
      </c>
      <c r="G175" s="33" t="str">
        <f aca="false">IF($A175="","",'SC Change Orders'!$F157)</f>
        <v/>
      </c>
      <c r="H175" s="33" t="str">
        <f aca="false">IF($A175="","",'SC Change Orders'!$G157)</f>
        <v/>
      </c>
      <c r="I175" s="34" t="str">
        <f aca="false">IF($A175="","",IF(AND(ISNUMBER('SC Change Orders'!$C157),'SC Change Orders'!$C157&gt;=Controls!$C$5,'SC Change Orders'!$C157&lt;=Controls!$C$6),"Yes","No"))</f>
        <v/>
      </c>
      <c r="J175" s="31" t="str">
        <f aca="false">IF($A175="","",IF($K175="","OK",$K175))</f>
        <v/>
      </c>
      <c r="K175" s="0" t="str">
        <f aca="false">IF($A175="","",IF(NOT(ISNUMBER('SC Change Orders'!$B157)),"PO not numeric — row is invisible to the tracker; ","")&amp;IF(NOT(ISNUMBER('SC Change Orders'!$C157)),"Date missing or text — row excluded; ",  IF(OR('SC Change Orders'!$C157&lt;Controls!$C$5,'SC Change Orders'!$C157&gt;Controls!$C$6),"Dated outside the FY window — excluded; ",""))&amp;IF(AND('SC Change Orders'!$E157&lt;&gt;"",NOT(ISNUMBER('SC Change Orders'!$E157))),"Original Amount held as text — ignored by MINIFS; ","")&amp;IF(AND('SC Change Orders'!$F157&lt;&gt;"",NOT(ISNUMBER('SC Change Orders'!$F157))),"Amount Added held as text — ignored by SUMIFS; ","")&amp;IF(ISNUMBER('SC Change Orders'!$E157),IF(ISNUMBER('SC Change Orders'!$F157),IF(ISNUMBER('SC Change Orders'!$G157),  IF('SC Change Orders'!$G157&gt;0,IF(ROUND('SC Change Orders'!$E157+'SC Change Orders'!$F157,2)&lt;&gt;ROUND('SC Change Orders'!$G157,2),  "Original + Added &lt;&gt; Total Line Cost Allotted; ",""),""),""),""),"")&amp;IF(AND(ISNUMBER('SC Change Orders'!$B157),COUNTIFS('SC Change Orders'!$B$2:$B$501,'SC Change Orders'!$B157,'SC Change Orders'!$C$2:$C$501,'SC Change Orders'!$C157,'SC Change Orders'!$D$2:$D$501,'SC Change Orders'!$D157,'SC Change Orders'!$F$2:$F$501,'SC Change Orders'!$F157,'SC Change Orders'!$E$2:$E$501,'SC Change Orders'!$E157)&gt;1),"Duplicate of another row — funds counted twice; ","")&amp;IF(ISNUMBER('SC Change Orders'!$F157),IF('SC Change Orders'!$F157&lt;&gt;0,IF(AND(ISNUMBER('SC Change Orders'!$B157),NOT(COUNTIFS('SC Change Orders'!$B$2:$B$501,'SC Change Orders'!$B157,'SC Change Orders'!$C$2:$C$501,'SC Change Orders'!$C157,'SC Change Orders'!$D$2:$D$501,'SC Change Orders'!$D157,'SC Change Orders'!$F$2:$F$501,'SC Change Orders'!$F157,'SC Change Orders'!$E$2:$E$501,'SC Change Orders'!$E157)&gt;1),COUNTIFS('SC Change Orders'!$B$2:$B$501,'SC Change Orders'!$B157,'SC Change Orders'!$F$2:$F$501,'SC Change Orders'!$F157)&gt;1),  "Same PO and Amount Added as another row — check for a restatement counted twice; ",""),""),""))</f>
        <v/>
      </c>
    </row>
    <row r="176" customFormat="false" ht="15" hidden="false" customHeight="false" outlineLevel="0" collapsed="false">
      <c r="A176" s="18" t="str">
        <f aca="false">IF(AND('SC Change Orders'!$A158="",'SC Change Orders'!$B158="",'SC Change Orders'!$C158=""),"",158)</f>
        <v/>
      </c>
      <c r="B176" s="31" t="str">
        <f aca="false">IF($A176="","",'SC Change Orders'!$A158)</f>
        <v/>
      </c>
      <c r="C176" s="18" t="str">
        <f aca="false">IF($A176="","",'SC Change Orders'!$B158)</f>
        <v/>
      </c>
      <c r="D176" s="32" t="str">
        <f aca="false">IF($A176="","",'SC Change Orders'!$C158)</f>
        <v/>
      </c>
      <c r="E176" s="31" t="str">
        <f aca="false">IF($A176="","",'SC Change Orders'!$D158)</f>
        <v/>
      </c>
      <c r="F176" s="33" t="str">
        <f aca="false">IF($A176="","",'SC Change Orders'!$E158)</f>
        <v/>
      </c>
      <c r="G176" s="33" t="str">
        <f aca="false">IF($A176="","",'SC Change Orders'!$F158)</f>
        <v/>
      </c>
      <c r="H176" s="33" t="str">
        <f aca="false">IF($A176="","",'SC Change Orders'!$G158)</f>
        <v/>
      </c>
      <c r="I176" s="34" t="str">
        <f aca="false">IF($A176="","",IF(AND(ISNUMBER('SC Change Orders'!$C158),'SC Change Orders'!$C158&gt;=Controls!$C$5,'SC Change Orders'!$C158&lt;=Controls!$C$6),"Yes","No"))</f>
        <v/>
      </c>
      <c r="J176" s="31" t="str">
        <f aca="false">IF($A176="","",IF($K176="","OK",$K176))</f>
        <v/>
      </c>
      <c r="K176" s="0" t="str">
        <f aca="false">IF($A176="","",IF(NOT(ISNUMBER('SC Change Orders'!$B158)),"PO not numeric — row is invisible to the tracker; ","")&amp;IF(NOT(ISNUMBER('SC Change Orders'!$C158)),"Date missing or text — row excluded; ",  IF(OR('SC Change Orders'!$C158&lt;Controls!$C$5,'SC Change Orders'!$C158&gt;Controls!$C$6),"Dated outside the FY window — excluded; ",""))&amp;IF(AND('SC Change Orders'!$E158&lt;&gt;"",NOT(ISNUMBER('SC Change Orders'!$E158))),"Original Amount held as text — ignored by MINIFS; ","")&amp;IF(AND('SC Change Orders'!$F158&lt;&gt;"",NOT(ISNUMBER('SC Change Orders'!$F158))),"Amount Added held as text — ignored by SUMIFS; ","")&amp;IF(ISNUMBER('SC Change Orders'!$E158),IF(ISNUMBER('SC Change Orders'!$F158),IF(ISNUMBER('SC Change Orders'!$G158),  IF('SC Change Orders'!$G158&gt;0,IF(ROUND('SC Change Orders'!$E158+'SC Change Orders'!$F158,2)&lt;&gt;ROUND('SC Change Orders'!$G158,2),  "Original + Added &lt;&gt; Total Line Cost Allotted; ",""),""),""),""),"")&amp;IF(AND(ISNUMBER('SC Change Orders'!$B158),COUNTIFS('SC Change Orders'!$B$2:$B$501,'SC Change Orders'!$B158,'SC Change Orders'!$C$2:$C$501,'SC Change Orders'!$C158,'SC Change Orders'!$D$2:$D$501,'SC Change Orders'!$D158,'SC Change Orders'!$F$2:$F$501,'SC Change Orders'!$F158,'SC Change Orders'!$E$2:$E$501,'SC Change Orders'!$E158)&gt;1),"Duplicate of another row — funds counted twice; ","")&amp;IF(ISNUMBER('SC Change Orders'!$F158),IF('SC Change Orders'!$F158&lt;&gt;0,IF(AND(ISNUMBER('SC Change Orders'!$B158),NOT(COUNTIFS('SC Change Orders'!$B$2:$B$501,'SC Change Orders'!$B158,'SC Change Orders'!$C$2:$C$501,'SC Change Orders'!$C158,'SC Change Orders'!$D$2:$D$501,'SC Change Orders'!$D158,'SC Change Orders'!$F$2:$F$501,'SC Change Orders'!$F158,'SC Change Orders'!$E$2:$E$501,'SC Change Orders'!$E158)&gt;1),COUNTIFS('SC Change Orders'!$B$2:$B$501,'SC Change Orders'!$B158,'SC Change Orders'!$F$2:$F$501,'SC Change Orders'!$F158)&gt;1),  "Same PO and Amount Added as another row — check for a restatement counted twice; ",""),""),""))</f>
        <v/>
      </c>
    </row>
    <row r="177" customFormat="false" ht="15" hidden="false" customHeight="false" outlineLevel="0" collapsed="false">
      <c r="A177" s="18" t="str">
        <f aca="false">IF(AND('SC Change Orders'!$A159="",'SC Change Orders'!$B159="",'SC Change Orders'!$C159=""),"",159)</f>
        <v/>
      </c>
      <c r="B177" s="31" t="str">
        <f aca="false">IF($A177="","",'SC Change Orders'!$A159)</f>
        <v/>
      </c>
      <c r="C177" s="18" t="str">
        <f aca="false">IF($A177="","",'SC Change Orders'!$B159)</f>
        <v/>
      </c>
      <c r="D177" s="32" t="str">
        <f aca="false">IF($A177="","",'SC Change Orders'!$C159)</f>
        <v/>
      </c>
      <c r="E177" s="31" t="str">
        <f aca="false">IF($A177="","",'SC Change Orders'!$D159)</f>
        <v/>
      </c>
      <c r="F177" s="33" t="str">
        <f aca="false">IF($A177="","",'SC Change Orders'!$E159)</f>
        <v/>
      </c>
      <c r="G177" s="33" t="str">
        <f aca="false">IF($A177="","",'SC Change Orders'!$F159)</f>
        <v/>
      </c>
      <c r="H177" s="33" t="str">
        <f aca="false">IF($A177="","",'SC Change Orders'!$G159)</f>
        <v/>
      </c>
      <c r="I177" s="34" t="str">
        <f aca="false">IF($A177="","",IF(AND(ISNUMBER('SC Change Orders'!$C159),'SC Change Orders'!$C159&gt;=Controls!$C$5,'SC Change Orders'!$C159&lt;=Controls!$C$6),"Yes","No"))</f>
        <v/>
      </c>
      <c r="J177" s="31" t="str">
        <f aca="false">IF($A177="","",IF($K177="","OK",$K177))</f>
        <v/>
      </c>
      <c r="K177" s="0" t="str">
        <f aca="false">IF($A177="","",IF(NOT(ISNUMBER('SC Change Orders'!$B159)),"PO not numeric — row is invisible to the tracker; ","")&amp;IF(NOT(ISNUMBER('SC Change Orders'!$C159)),"Date missing or text — row excluded; ",  IF(OR('SC Change Orders'!$C159&lt;Controls!$C$5,'SC Change Orders'!$C159&gt;Controls!$C$6),"Dated outside the FY window — excluded; ",""))&amp;IF(AND('SC Change Orders'!$E159&lt;&gt;"",NOT(ISNUMBER('SC Change Orders'!$E159))),"Original Amount held as text — ignored by MINIFS; ","")&amp;IF(AND('SC Change Orders'!$F159&lt;&gt;"",NOT(ISNUMBER('SC Change Orders'!$F159))),"Amount Added held as text — ignored by SUMIFS; ","")&amp;IF(ISNUMBER('SC Change Orders'!$E159),IF(ISNUMBER('SC Change Orders'!$F159),IF(ISNUMBER('SC Change Orders'!$G159),  IF('SC Change Orders'!$G159&gt;0,IF(ROUND('SC Change Orders'!$E159+'SC Change Orders'!$F159,2)&lt;&gt;ROUND('SC Change Orders'!$G159,2),  "Original + Added &lt;&gt; Total Line Cost Allotted; ",""),""),""),""),"")&amp;IF(AND(ISNUMBER('SC Change Orders'!$B159),COUNTIFS('SC Change Orders'!$B$2:$B$501,'SC Change Orders'!$B159,'SC Change Orders'!$C$2:$C$501,'SC Change Orders'!$C159,'SC Change Orders'!$D$2:$D$501,'SC Change Orders'!$D159,'SC Change Orders'!$F$2:$F$501,'SC Change Orders'!$F159,'SC Change Orders'!$E$2:$E$501,'SC Change Orders'!$E159)&gt;1),"Duplicate of another row — funds counted twice; ","")&amp;IF(ISNUMBER('SC Change Orders'!$F159),IF('SC Change Orders'!$F159&lt;&gt;0,IF(AND(ISNUMBER('SC Change Orders'!$B159),NOT(COUNTIFS('SC Change Orders'!$B$2:$B$501,'SC Change Orders'!$B159,'SC Change Orders'!$C$2:$C$501,'SC Change Orders'!$C159,'SC Change Orders'!$D$2:$D$501,'SC Change Orders'!$D159,'SC Change Orders'!$F$2:$F$501,'SC Change Orders'!$F159,'SC Change Orders'!$E$2:$E$501,'SC Change Orders'!$E159)&gt;1),COUNTIFS('SC Change Orders'!$B$2:$B$501,'SC Change Orders'!$B159,'SC Change Orders'!$F$2:$F$501,'SC Change Orders'!$F159)&gt;1),  "Same PO and Amount Added as another row — check for a restatement counted twice; ",""),""),""))</f>
        <v/>
      </c>
    </row>
    <row r="178" customFormat="false" ht="15" hidden="false" customHeight="false" outlineLevel="0" collapsed="false">
      <c r="A178" s="18" t="str">
        <f aca="false">IF(AND('SC Change Orders'!$A160="",'SC Change Orders'!$B160="",'SC Change Orders'!$C160=""),"",160)</f>
        <v/>
      </c>
      <c r="B178" s="31" t="str">
        <f aca="false">IF($A178="","",'SC Change Orders'!$A160)</f>
        <v/>
      </c>
      <c r="C178" s="18" t="str">
        <f aca="false">IF($A178="","",'SC Change Orders'!$B160)</f>
        <v/>
      </c>
      <c r="D178" s="32" t="str">
        <f aca="false">IF($A178="","",'SC Change Orders'!$C160)</f>
        <v/>
      </c>
      <c r="E178" s="31" t="str">
        <f aca="false">IF($A178="","",'SC Change Orders'!$D160)</f>
        <v/>
      </c>
      <c r="F178" s="33" t="str">
        <f aca="false">IF($A178="","",'SC Change Orders'!$E160)</f>
        <v/>
      </c>
      <c r="G178" s="33" t="str">
        <f aca="false">IF($A178="","",'SC Change Orders'!$F160)</f>
        <v/>
      </c>
      <c r="H178" s="33" t="str">
        <f aca="false">IF($A178="","",'SC Change Orders'!$G160)</f>
        <v/>
      </c>
      <c r="I178" s="34" t="str">
        <f aca="false">IF($A178="","",IF(AND(ISNUMBER('SC Change Orders'!$C160),'SC Change Orders'!$C160&gt;=Controls!$C$5,'SC Change Orders'!$C160&lt;=Controls!$C$6),"Yes","No"))</f>
        <v/>
      </c>
      <c r="J178" s="31" t="str">
        <f aca="false">IF($A178="","",IF($K178="","OK",$K178))</f>
        <v/>
      </c>
      <c r="K178" s="0" t="str">
        <f aca="false">IF($A178="","",IF(NOT(ISNUMBER('SC Change Orders'!$B160)),"PO not numeric — row is invisible to the tracker; ","")&amp;IF(NOT(ISNUMBER('SC Change Orders'!$C160)),"Date missing or text — row excluded; ",  IF(OR('SC Change Orders'!$C160&lt;Controls!$C$5,'SC Change Orders'!$C160&gt;Controls!$C$6),"Dated outside the FY window — excluded; ",""))&amp;IF(AND('SC Change Orders'!$E160&lt;&gt;"",NOT(ISNUMBER('SC Change Orders'!$E160))),"Original Amount held as text — ignored by MINIFS; ","")&amp;IF(AND('SC Change Orders'!$F160&lt;&gt;"",NOT(ISNUMBER('SC Change Orders'!$F160))),"Amount Added held as text — ignored by SUMIFS; ","")&amp;IF(ISNUMBER('SC Change Orders'!$E160),IF(ISNUMBER('SC Change Orders'!$F160),IF(ISNUMBER('SC Change Orders'!$G160),  IF('SC Change Orders'!$G160&gt;0,IF(ROUND('SC Change Orders'!$E160+'SC Change Orders'!$F160,2)&lt;&gt;ROUND('SC Change Orders'!$G160,2),  "Original + Added &lt;&gt; Total Line Cost Allotted; ",""),""),""),""),"")&amp;IF(AND(ISNUMBER('SC Change Orders'!$B160),COUNTIFS('SC Change Orders'!$B$2:$B$501,'SC Change Orders'!$B160,'SC Change Orders'!$C$2:$C$501,'SC Change Orders'!$C160,'SC Change Orders'!$D$2:$D$501,'SC Change Orders'!$D160,'SC Change Orders'!$F$2:$F$501,'SC Change Orders'!$F160,'SC Change Orders'!$E$2:$E$501,'SC Change Orders'!$E160)&gt;1),"Duplicate of another row — funds counted twice; ","")&amp;IF(ISNUMBER('SC Change Orders'!$F160),IF('SC Change Orders'!$F160&lt;&gt;0,IF(AND(ISNUMBER('SC Change Orders'!$B160),NOT(COUNTIFS('SC Change Orders'!$B$2:$B$501,'SC Change Orders'!$B160,'SC Change Orders'!$C$2:$C$501,'SC Change Orders'!$C160,'SC Change Orders'!$D$2:$D$501,'SC Change Orders'!$D160,'SC Change Orders'!$F$2:$F$501,'SC Change Orders'!$F160,'SC Change Orders'!$E$2:$E$501,'SC Change Orders'!$E160)&gt;1),COUNTIFS('SC Change Orders'!$B$2:$B$501,'SC Change Orders'!$B160,'SC Change Orders'!$F$2:$F$501,'SC Change Orders'!$F160)&gt;1),  "Same PO and Amount Added as another row — check for a restatement counted twice; ",""),""),""))</f>
        <v/>
      </c>
    </row>
    <row r="179" customFormat="false" ht="15" hidden="false" customHeight="false" outlineLevel="0" collapsed="false">
      <c r="A179" s="18" t="str">
        <f aca="false">IF(AND('SC Change Orders'!$A161="",'SC Change Orders'!$B161="",'SC Change Orders'!$C161=""),"",161)</f>
        <v/>
      </c>
      <c r="B179" s="31" t="str">
        <f aca="false">IF($A179="","",'SC Change Orders'!$A161)</f>
        <v/>
      </c>
      <c r="C179" s="18" t="str">
        <f aca="false">IF($A179="","",'SC Change Orders'!$B161)</f>
        <v/>
      </c>
      <c r="D179" s="32" t="str">
        <f aca="false">IF($A179="","",'SC Change Orders'!$C161)</f>
        <v/>
      </c>
      <c r="E179" s="31" t="str">
        <f aca="false">IF($A179="","",'SC Change Orders'!$D161)</f>
        <v/>
      </c>
      <c r="F179" s="33" t="str">
        <f aca="false">IF($A179="","",'SC Change Orders'!$E161)</f>
        <v/>
      </c>
      <c r="G179" s="33" t="str">
        <f aca="false">IF($A179="","",'SC Change Orders'!$F161)</f>
        <v/>
      </c>
      <c r="H179" s="33" t="str">
        <f aca="false">IF($A179="","",'SC Change Orders'!$G161)</f>
        <v/>
      </c>
      <c r="I179" s="34" t="str">
        <f aca="false">IF($A179="","",IF(AND(ISNUMBER('SC Change Orders'!$C161),'SC Change Orders'!$C161&gt;=Controls!$C$5,'SC Change Orders'!$C161&lt;=Controls!$C$6),"Yes","No"))</f>
        <v/>
      </c>
      <c r="J179" s="31" t="str">
        <f aca="false">IF($A179="","",IF($K179="","OK",$K179))</f>
        <v/>
      </c>
      <c r="K179" s="0" t="str">
        <f aca="false">IF($A179="","",IF(NOT(ISNUMBER('SC Change Orders'!$B161)),"PO not numeric — row is invisible to the tracker; ","")&amp;IF(NOT(ISNUMBER('SC Change Orders'!$C161)),"Date missing or text — row excluded; ",  IF(OR('SC Change Orders'!$C161&lt;Controls!$C$5,'SC Change Orders'!$C161&gt;Controls!$C$6),"Dated outside the FY window — excluded; ",""))&amp;IF(AND('SC Change Orders'!$E161&lt;&gt;"",NOT(ISNUMBER('SC Change Orders'!$E161))),"Original Amount held as text — ignored by MINIFS; ","")&amp;IF(AND('SC Change Orders'!$F161&lt;&gt;"",NOT(ISNUMBER('SC Change Orders'!$F161))),"Amount Added held as text — ignored by SUMIFS; ","")&amp;IF(ISNUMBER('SC Change Orders'!$E161),IF(ISNUMBER('SC Change Orders'!$F161),IF(ISNUMBER('SC Change Orders'!$G161),  IF('SC Change Orders'!$G161&gt;0,IF(ROUND('SC Change Orders'!$E161+'SC Change Orders'!$F161,2)&lt;&gt;ROUND('SC Change Orders'!$G161,2),  "Original + Added &lt;&gt; Total Line Cost Allotted; ",""),""),""),""),"")&amp;IF(AND(ISNUMBER('SC Change Orders'!$B161),COUNTIFS('SC Change Orders'!$B$2:$B$501,'SC Change Orders'!$B161,'SC Change Orders'!$C$2:$C$501,'SC Change Orders'!$C161,'SC Change Orders'!$D$2:$D$501,'SC Change Orders'!$D161,'SC Change Orders'!$F$2:$F$501,'SC Change Orders'!$F161,'SC Change Orders'!$E$2:$E$501,'SC Change Orders'!$E161)&gt;1),"Duplicate of another row — funds counted twice; ","")&amp;IF(ISNUMBER('SC Change Orders'!$F161),IF('SC Change Orders'!$F161&lt;&gt;0,IF(AND(ISNUMBER('SC Change Orders'!$B161),NOT(COUNTIFS('SC Change Orders'!$B$2:$B$501,'SC Change Orders'!$B161,'SC Change Orders'!$C$2:$C$501,'SC Change Orders'!$C161,'SC Change Orders'!$D$2:$D$501,'SC Change Orders'!$D161,'SC Change Orders'!$F$2:$F$501,'SC Change Orders'!$F161,'SC Change Orders'!$E$2:$E$501,'SC Change Orders'!$E161)&gt;1),COUNTIFS('SC Change Orders'!$B$2:$B$501,'SC Change Orders'!$B161,'SC Change Orders'!$F$2:$F$501,'SC Change Orders'!$F161)&gt;1),  "Same PO and Amount Added as another row — check for a restatement counted twice; ",""),""),""))</f>
        <v/>
      </c>
    </row>
    <row r="180" customFormat="false" ht="15" hidden="false" customHeight="false" outlineLevel="0" collapsed="false">
      <c r="A180" s="18" t="str">
        <f aca="false">IF(AND('SC Change Orders'!$A162="",'SC Change Orders'!$B162="",'SC Change Orders'!$C162=""),"",162)</f>
        <v/>
      </c>
      <c r="B180" s="31" t="str">
        <f aca="false">IF($A180="","",'SC Change Orders'!$A162)</f>
        <v/>
      </c>
      <c r="C180" s="18" t="str">
        <f aca="false">IF($A180="","",'SC Change Orders'!$B162)</f>
        <v/>
      </c>
      <c r="D180" s="32" t="str">
        <f aca="false">IF($A180="","",'SC Change Orders'!$C162)</f>
        <v/>
      </c>
      <c r="E180" s="31" t="str">
        <f aca="false">IF($A180="","",'SC Change Orders'!$D162)</f>
        <v/>
      </c>
      <c r="F180" s="33" t="str">
        <f aca="false">IF($A180="","",'SC Change Orders'!$E162)</f>
        <v/>
      </c>
      <c r="G180" s="33" t="str">
        <f aca="false">IF($A180="","",'SC Change Orders'!$F162)</f>
        <v/>
      </c>
      <c r="H180" s="33" t="str">
        <f aca="false">IF($A180="","",'SC Change Orders'!$G162)</f>
        <v/>
      </c>
      <c r="I180" s="34" t="str">
        <f aca="false">IF($A180="","",IF(AND(ISNUMBER('SC Change Orders'!$C162),'SC Change Orders'!$C162&gt;=Controls!$C$5,'SC Change Orders'!$C162&lt;=Controls!$C$6),"Yes","No"))</f>
        <v/>
      </c>
      <c r="J180" s="31" t="str">
        <f aca="false">IF($A180="","",IF($K180="","OK",$K180))</f>
        <v/>
      </c>
      <c r="K180" s="0" t="str">
        <f aca="false">IF($A180="","",IF(NOT(ISNUMBER('SC Change Orders'!$B162)),"PO not numeric — row is invisible to the tracker; ","")&amp;IF(NOT(ISNUMBER('SC Change Orders'!$C162)),"Date missing or text — row excluded; ",  IF(OR('SC Change Orders'!$C162&lt;Controls!$C$5,'SC Change Orders'!$C162&gt;Controls!$C$6),"Dated outside the FY window — excluded; ",""))&amp;IF(AND('SC Change Orders'!$E162&lt;&gt;"",NOT(ISNUMBER('SC Change Orders'!$E162))),"Original Amount held as text — ignored by MINIFS; ","")&amp;IF(AND('SC Change Orders'!$F162&lt;&gt;"",NOT(ISNUMBER('SC Change Orders'!$F162))),"Amount Added held as text — ignored by SUMIFS; ","")&amp;IF(ISNUMBER('SC Change Orders'!$E162),IF(ISNUMBER('SC Change Orders'!$F162),IF(ISNUMBER('SC Change Orders'!$G162),  IF('SC Change Orders'!$G162&gt;0,IF(ROUND('SC Change Orders'!$E162+'SC Change Orders'!$F162,2)&lt;&gt;ROUND('SC Change Orders'!$G162,2),  "Original + Added &lt;&gt; Total Line Cost Allotted; ",""),""),""),""),"")&amp;IF(AND(ISNUMBER('SC Change Orders'!$B162),COUNTIFS('SC Change Orders'!$B$2:$B$501,'SC Change Orders'!$B162,'SC Change Orders'!$C$2:$C$501,'SC Change Orders'!$C162,'SC Change Orders'!$D$2:$D$501,'SC Change Orders'!$D162,'SC Change Orders'!$F$2:$F$501,'SC Change Orders'!$F162,'SC Change Orders'!$E$2:$E$501,'SC Change Orders'!$E162)&gt;1),"Duplicate of another row — funds counted twice; ","")&amp;IF(ISNUMBER('SC Change Orders'!$F162),IF('SC Change Orders'!$F162&lt;&gt;0,IF(AND(ISNUMBER('SC Change Orders'!$B162),NOT(COUNTIFS('SC Change Orders'!$B$2:$B$501,'SC Change Orders'!$B162,'SC Change Orders'!$C$2:$C$501,'SC Change Orders'!$C162,'SC Change Orders'!$D$2:$D$501,'SC Change Orders'!$D162,'SC Change Orders'!$F$2:$F$501,'SC Change Orders'!$F162,'SC Change Orders'!$E$2:$E$501,'SC Change Orders'!$E162)&gt;1),COUNTIFS('SC Change Orders'!$B$2:$B$501,'SC Change Orders'!$B162,'SC Change Orders'!$F$2:$F$501,'SC Change Orders'!$F162)&gt;1),  "Same PO and Amount Added as another row — check for a restatement counted twice; ",""),""),""))</f>
        <v/>
      </c>
    </row>
    <row r="181" customFormat="false" ht="15" hidden="false" customHeight="false" outlineLevel="0" collapsed="false">
      <c r="A181" s="18" t="str">
        <f aca="false">IF(AND('SC Change Orders'!$A163="",'SC Change Orders'!$B163="",'SC Change Orders'!$C163=""),"",163)</f>
        <v/>
      </c>
      <c r="B181" s="31" t="str">
        <f aca="false">IF($A181="","",'SC Change Orders'!$A163)</f>
        <v/>
      </c>
      <c r="C181" s="18" t="str">
        <f aca="false">IF($A181="","",'SC Change Orders'!$B163)</f>
        <v/>
      </c>
      <c r="D181" s="32" t="str">
        <f aca="false">IF($A181="","",'SC Change Orders'!$C163)</f>
        <v/>
      </c>
      <c r="E181" s="31" t="str">
        <f aca="false">IF($A181="","",'SC Change Orders'!$D163)</f>
        <v/>
      </c>
      <c r="F181" s="33" t="str">
        <f aca="false">IF($A181="","",'SC Change Orders'!$E163)</f>
        <v/>
      </c>
      <c r="G181" s="33" t="str">
        <f aca="false">IF($A181="","",'SC Change Orders'!$F163)</f>
        <v/>
      </c>
      <c r="H181" s="33" t="str">
        <f aca="false">IF($A181="","",'SC Change Orders'!$G163)</f>
        <v/>
      </c>
      <c r="I181" s="34" t="str">
        <f aca="false">IF($A181="","",IF(AND(ISNUMBER('SC Change Orders'!$C163),'SC Change Orders'!$C163&gt;=Controls!$C$5,'SC Change Orders'!$C163&lt;=Controls!$C$6),"Yes","No"))</f>
        <v/>
      </c>
      <c r="J181" s="31" t="str">
        <f aca="false">IF($A181="","",IF($K181="","OK",$K181))</f>
        <v/>
      </c>
      <c r="K181" s="0" t="str">
        <f aca="false">IF($A181="","",IF(NOT(ISNUMBER('SC Change Orders'!$B163)),"PO not numeric — row is invisible to the tracker; ","")&amp;IF(NOT(ISNUMBER('SC Change Orders'!$C163)),"Date missing or text — row excluded; ",  IF(OR('SC Change Orders'!$C163&lt;Controls!$C$5,'SC Change Orders'!$C163&gt;Controls!$C$6),"Dated outside the FY window — excluded; ",""))&amp;IF(AND('SC Change Orders'!$E163&lt;&gt;"",NOT(ISNUMBER('SC Change Orders'!$E163))),"Original Amount held as text — ignored by MINIFS; ","")&amp;IF(AND('SC Change Orders'!$F163&lt;&gt;"",NOT(ISNUMBER('SC Change Orders'!$F163))),"Amount Added held as text — ignored by SUMIFS; ","")&amp;IF(ISNUMBER('SC Change Orders'!$E163),IF(ISNUMBER('SC Change Orders'!$F163),IF(ISNUMBER('SC Change Orders'!$G163),  IF('SC Change Orders'!$G163&gt;0,IF(ROUND('SC Change Orders'!$E163+'SC Change Orders'!$F163,2)&lt;&gt;ROUND('SC Change Orders'!$G163,2),  "Original + Added &lt;&gt; Total Line Cost Allotted; ",""),""),""),""),"")&amp;IF(AND(ISNUMBER('SC Change Orders'!$B163),COUNTIFS('SC Change Orders'!$B$2:$B$501,'SC Change Orders'!$B163,'SC Change Orders'!$C$2:$C$501,'SC Change Orders'!$C163,'SC Change Orders'!$D$2:$D$501,'SC Change Orders'!$D163,'SC Change Orders'!$F$2:$F$501,'SC Change Orders'!$F163,'SC Change Orders'!$E$2:$E$501,'SC Change Orders'!$E163)&gt;1),"Duplicate of another row — funds counted twice; ","")&amp;IF(ISNUMBER('SC Change Orders'!$F163),IF('SC Change Orders'!$F163&lt;&gt;0,IF(AND(ISNUMBER('SC Change Orders'!$B163),NOT(COUNTIFS('SC Change Orders'!$B$2:$B$501,'SC Change Orders'!$B163,'SC Change Orders'!$C$2:$C$501,'SC Change Orders'!$C163,'SC Change Orders'!$D$2:$D$501,'SC Change Orders'!$D163,'SC Change Orders'!$F$2:$F$501,'SC Change Orders'!$F163,'SC Change Orders'!$E$2:$E$501,'SC Change Orders'!$E163)&gt;1),COUNTIFS('SC Change Orders'!$B$2:$B$501,'SC Change Orders'!$B163,'SC Change Orders'!$F$2:$F$501,'SC Change Orders'!$F163)&gt;1),  "Same PO and Amount Added as another row — check for a restatement counted twice; ",""),""),""))</f>
        <v/>
      </c>
    </row>
    <row r="182" customFormat="false" ht="15" hidden="false" customHeight="false" outlineLevel="0" collapsed="false">
      <c r="A182" s="18" t="str">
        <f aca="false">IF(AND('SC Change Orders'!$A164="",'SC Change Orders'!$B164="",'SC Change Orders'!$C164=""),"",164)</f>
        <v/>
      </c>
      <c r="B182" s="31" t="str">
        <f aca="false">IF($A182="","",'SC Change Orders'!$A164)</f>
        <v/>
      </c>
      <c r="C182" s="18" t="str">
        <f aca="false">IF($A182="","",'SC Change Orders'!$B164)</f>
        <v/>
      </c>
      <c r="D182" s="32" t="str">
        <f aca="false">IF($A182="","",'SC Change Orders'!$C164)</f>
        <v/>
      </c>
      <c r="E182" s="31" t="str">
        <f aca="false">IF($A182="","",'SC Change Orders'!$D164)</f>
        <v/>
      </c>
      <c r="F182" s="33" t="str">
        <f aca="false">IF($A182="","",'SC Change Orders'!$E164)</f>
        <v/>
      </c>
      <c r="G182" s="33" t="str">
        <f aca="false">IF($A182="","",'SC Change Orders'!$F164)</f>
        <v/>
      </c>
      <c r="H182" s="33" t="str">
        <f aca="false">IF($A182="","",'SC Change Orders'!$G164)</f>
        <v/>
      </c>
      <c r="I182" s="34" t="str">
        <f aca="false">IF($A182="","",IF(AND(ISNUMBER('SC Change Orders'!$C164),'SC Change Orders'!$C164&gt;=Controls!$C$5,'SC Change Orders'!$C164&lt;=Controls!$C$6),"Yes","No"))</f>
        <v/>
      </c>
      <c r="J182" s="31" t="str">
        <f aca="false">IF($A182="","",IF($K182="","OK",$K182))</f>
        <v/>
      </c>
      <c r="K182" s="0" t="str">
        <f aca="false">IF($A182="","",IF(NOT(ISNUMBER('SC Change Orders'!$B164)),"PO not numeric — row is invisible to the tracker; ","")&amp;IF(NOT(ISNUMBER('SC Change Orders'!$C164)),"Date missing or text — row excluded; ",  IF(OR('SC Change Orders'!$C164&lt;Controls!$C$5,'SC Change Orders'!$C164&gt;Controls!$C$6),"Dated outside the FY window — excluded; ",""))&amp;IF(AND('SC Change Orders'!$E164&lt;&gt;"",NOT(ISNUMBER('SC Change Orders'!$E164))),"Original Amount held as text — ignored by MINIFS; ","")&amp;IF(AND('SC Change Orders'!$F164&lt;&gt;"",NOT(ISNUMBER('SC Change Orders'!$F164))),"Amount Added held as text — ignored by SUMIFS; ","")&amp;IF(ISNUMBER('SC Change Orders'!$E164),IF(ISNUMBER('SC Change Orders'!$F164),IF(ISNUMBER('SC Change Orders'!$G164),  IF('SC Change Orders'!$G164&gt;0,IF(ROUND('SC Change Orders'!$E164+'SC Change Orders'!$F164,2)&lt;&gt;ROUND('SC Change Orders'!$G164,2),  "Original + Added &lt;&gt; Total Line Cost Allotted; ",""),""),""),""),"")&amp;IF(AND(ISNUMBER('SC Change Orders'!$B164),COUNTIFS('SC Change Orders'!$B$2:$B$501,'SC Change Orders'!$B164,'SC Change Orders'!$C$2:$C$501,'SC Change Orders'!$C164,'SC Change Orders'!$D$2:$D$501,'SC Change Orders'!$D164,'SC Change Orders'!$F$2:$F$501,'SC Change Orders'!$F164,'SC Change Orders'!$E$2:$E$501,'SC Change Orders'!$E164)&gt;1),"Duplicate of another row — funds counted twice; ","")&amp;IF(ISNUMBER('SC Change Orders'!$F164),IF('SC Change Orders'!$F164&lt;&gt;0,IF(AND(ISNUMBER('SC Change Orders'!$B164),NOT(COUNTIFS('SC Change Orders'!$B$2:$B$501,'SC Change Orders'!$B164,'SC Change Orders'!$C$2:$C$501,'SC Change Orders'!$C164,'SC Change Orders'!$D$2:$D$501,'SC Change Orders'!$D164,'SC Change Orders'!$F$2:$F$501,'SC Change Orders'!$F164,'SC Change Orders'!$E$2:$E$501,'SC Change Orders'!$E164)&gt;1),COUNTIFS('SC Change Orders'!$B$2:$B$501,'SC Change Orders'!$B164,'SC Change Orders'!$F$2:$F$501,'SC Change Orders'!$F164)&gt;1),  "Same PO and Amount Added as another row — check for a restatement counted twice; ",""),""),""))</f>
        <v/>
      </c>
    </row>
    <row r="183" customFormat="false" ht="15" hidden="false" customHeight="false" outlineLevel="0" collapsed="false">
      <c r="A183" s="18" t="str">
        <f aca="false">IF(AND('SC Change Orders'!$A165="",'SC Change Orders'!$B165="",'SC Change Orders'!$C165=""),"",165)</f>
        <v/>
      </c>
      <c r="B183" s="31" t="str">
        <f aca="false">IF($A183="","",'SC Change Orders'!$A165)</f>
        <v/>
      </c>
      <c r="C183" s="18" t="str">
        <f aca="false">IF($A183="","",'SC Change Orders'!$B165)</f>
        <v/>
      </c>
      <c r="D183" s="32" t="str">
        <f aca="false">IF($A183="","",'SC Change Orders'!$C165)</f>
        <v/>
      </c>
      <c r="E183" s="31" t="str">
        <f aca="false">IF($A183="","",'SC Change Orders'!$D165)</f>
        <v/>
      </c>
      <c r="F183" s="33" t="str">
        <f aca="false">IF($A183="","",'SC Change Orders'!$E165)</f>
        <v/>
      </c>
      <c r="G183" s="33" t="str">
        <f aca="false">IF($A183="","",'SC Change Orders'!$F165)</f>
        <v/>
      </c>
      <c r="H183" s="33" t="str">
        <f aca="false">IF($A183="","",'SC Change Orders'!$G165)</f>
        <v/>
      </c>
      <c r="I183" s="34" t="str">
        <f aca="false">IF($A183="","",IF(AND(ISNUMBER('SC Change Orders'!$C165),'SC Change Orders'!$C165&gt;=Controls!$C$5,'SC Change Orders'!$C165&lt;=Controls!$C$6),"Yes","No"))</f>
        <v/>
      </c>
      <c r="J183" s="31" t="str">
        <f aca="false">IF($A183="","",IF($K183="","OK",$K183))</f>
        <v/>
      </c>
      <c r="K183" s="0" t="str">
        <f aca="false">IF($A183="","",IF(NOT(ISNUMBER('SC Change Orders'!$B165)),"PO not numeric — row is invisible to the tracker; ","")&amp;IF(NOT(ISNUMBER('SC Change Orders'!$C165)),"Date missing or text — row excluded; ",  IF(OR('SC Change Orders'!$C165&lt;Controls!$C$5,'SC Change Orders'!$C165&gt;Controls!$C$6),"Dated outside the FY window — excluded; ",""))&amp;IF(AND('SC Change Orders'!$E165&lt;&gt;"",NOT(ISNUMBER('SC Change Orders'!$E165))),"Original Amount held as text — ignored by MINIFS; ","")&amp;IF(AND('SC Change Orders'!$F165&lt;&gt;"",NOT(ISNUMBER('SC Change Orders'!$F165))),"Amount Added held as text — ignored by SUMIFS; ","")&amp;IF(ISNUMBER('SC Change Orders'!$E165),IF(ISNUMBER('SC Change Orders'!$F165),IF(ISNUMBER('SC Change Orders'!$G165),  IF('SC Change Orders'!$G165&gt;0,IF(ROUND('SC Change Orders'!$E165+'SC Change Orders'!$F165,2)&lt;&gt;ROUND('SC Change Orders'!$G165,2),  "Original + Added &lt;&gt; Total Line Cost Allotted; ",""),""),""),""),"")&amp;IF(AND(ISNUMBER('SC Change Orders'!$B165),COUNTIFS('SC Change Orders'!$B$2:$B$501,'SC Change Orders'!$B165,'SC Change Orders'!$C$2:$C$501,'SC Change Orders'!$C165,'SC Change Orders'!$D$2:$D$501,'SC Change Orders'!$D165,'SC Change Orders'!$F$2:$F$501,'SC Change Orders'!$F165,'SC Change Orders'!$E$2:$E$501,'SC Change Orders'!$E165)&gt;1),"Duplicate of another row — funds counted twice; ","")&amp;IF(ISNUMBER('SC Change Orders'!$F165),IF('SC Change Orders'!$F165&lt;&gt;0,IF(AND(ISNUMBER('SC Change Orders'!$B165),NOT(COUNTIFS('SC Change Orders'!$B$2:$B$501,'SC Change Orders'!$B165,'SC Change Orders'!$C$2:$C$501,'SC Change Orders'!$C165,'SC Change Orders'!$D$2:$D$501,'SC Change Orders'!$D165,'SC Change Orders'!$F$2:$F$501,'SC Change Orders'!$F165,'SC Change Orders'!$E$2:$E$501,'SC Change Orders'!$E165)&gt;1),COUNTIFS('SC Change Orders'!$B$2:$B$501,'SC Change Orders'!$B165,'SC Change Orders'!$F$2:$F$501,'SC Change Orders'!$F165)&gt;1),  "Same PO and Amount Added as another row — check for a restatement counted twice; ",""),""),""))</f>
        <v/>
      </c>
    </row>
    <row r="184" customFormat="false" ht="15" hidden="false" customHeight="false" outlineLevel="0" collapsed="false">
      <c r="A184" s="18" t="str">
        <f aca="false">IF(AND('SC Change Orders'!$A166="",'SC Change Orders'!$B166="",'SC Change Orders'!$C166=""),"",166)</f>
        <v/>
      </c>
      <c r="B184" s="31" t="str">
        <f aca="false">IF($A184="","",'SC Change Orders'!$A166)</f>
        <v/>
      </c>
      <c r="C184" s="18" t="str">
        <f aca="false">IF($A184="","",'SC Change Orders'!$B166)</f>
        <v/>
      </c>
      <c r="D184" s="32" t="str">
        <f aca="false">IF($A184="","",'SC Change Orders'!$C166)</f>
        <v/>
      </c>
      <c r="E184" s="31" t="str">
        <f aca="false">IF($A184="","",'SC Change Orders'!$D166)</f>
        <v/>
      </c>
      <c r="F184" s="33" t="str">
        <f aca="false">IF($A184="","",'SC Change Orders'!$E166)</f>
        <v/>
      </c>
      <c r="G184" s="33" t="str">
        <f aca="false">IF($A184="","",'SC Change Orders'!$F166)</f>
        <v/>
      </c>
      <c r="H184" s="33" t="str">
        <f aca="false">IF($A184="","",'SC Change Orders'!$G166)</f>
        <v/>
      </c>
      <c r="I184" s="34" t="str">
        <f aca="false">IF($A184="","",IF(AND(ISNUMBER('SC Change Orders'!$C166),'SC Change Orders'!$C166&gt;=Controls!$C$5,'SC Change Orders'!$C166&lt;=Controls!$C$6),"Yes","No"))</f>
        <v/>
      </c>
      <c r="J184" s="31" t="str">
        <f aca="false">IF($A184="","",IF($K184="","OK",$K184))</f>
        <v/>
      </c>
      <c r="K184" s="0" t="str">
        <f aca="false">IF($A184="","",IF(NOT(ISNUMBER('SC Change Orders'!$B166)),"PO not numeric — row is invisible to the tracker; ","")&amp;IF(NOT(ISNUMBER('SC Change Orders'!$C166)),"Date missing or text — row excluded; ",  IF(OR('SC Change Orders'!$C166&lt;Controls!$C$5,'SC Change Orders'!$C166&gt;Controls!$C$6),"Dated outside the FY window — excluded; ",""))&amp;IF(AND('SC Change Orders'!$E166&lt;&gt;"",NOT(ISNUMBER('SC Change Orders'!$E166))),"Original Amount held as text — ignored by MINIFS; ","")&amp;IF(AND('SC Change Orders'!$F166&lt;&gt;"",NOT(ISNUMBER('SC Change Orders'!$F166))),"Amount Added held as text — ignored by SUMIFS; ","")&amp;IF(ISNUMBER('SC Change Orders'!$E166),IF(ISNUMBER('SC Change Orders'!$F166),IF(ISNUMBER('SC Change Orders'!$G166),  IF('SC Change Orders'!$G166&gt;0,IF(ROUND('SC Change Orders'!$E166+'SC Change Orders'!$F166,2)&lt;&gt;ROUND('SC Change Orders'!$G166,2),  "Original + Added &lt;&gt; Total Line Cost Allotted; ",""),""),""),""),"")&amp;IF(AND(ISNUMBER('SC Change Orders'!$B166),COUNTIFS('SC Change Orders'!$B$2:$B$501,'SC Change Orders'!$B166,'SC Change Orders'!$C$2:$C$501,'SC Change Orders'!$C166,'SC Change Orders'!$D$2:$D$501,'SC Change Orders'!$D166,'SC Change Orders'!$F$2:$F$501,'SC Change Orders'!$F166,'SC Change Orders'!$E$2:$E$501,'SC Change Orders'!$E166)&gt;1),"Duplicate of another row — funds counted twice; ","")&amp;IF(ISNUMBER('SC Change Orders'!$F166),IF('SC Change Orders'!$F166&lt;&gt;0,IF(AND(ISNUMBER('SC Change Orders'!$B166),NOT(COUNTIFS('SC Change Orders'!$B$2:$B$501,'SC Change Orders'!$B166,'SC Change Orders'!$C$2:$C$501,'SC Change Orders'!$C166,'SC Change Orders'!$D$2:$D$501,'SC Change Orders'!$D166,'SC Change Orders'!$F$2:$F$501,'SC Change Orders'!$F166,'SC Change Orders'!$E$2:$E$501,'SC Change Orders'!$E166)&gt;1),COUNTIFS('SC Change Orders'!$B$2:$B$501,'SC Change Orders'!$B166,'SC Change Orders'!$F$2:$F$501,'SC Change Orders'!$F166)&gt;1),  "Same PO and Amount Added as another row — check for a restatement counted twice; ",""),""),""))</f>
        <v/>
      </c>
    </row>
    <row r="185" customFormat="false" ht="15" hidden="false" customHeight="false" outlineLevel="0" collapsed="false">
      <c r="A185" s="18" t="str">
        <f aca="false">IF(AND('SC Change Orders'!$A167="",'SC Change Orders'!$B167="",'SC Change Orders'!$C167=""),"",167)</f>
        <v/>
      </c>
      <c r="B185" s="31" t="str">
        <f aca="false">IF($A185="","",'SC Change Orders'!$A167)</f>
        <v/>
      </c>
      <c r="C185" s="18" t="str">
        <f aca="false">IF($A185="","",'SC Change Orders'!$B167)</f>
        <v/>
      </c>
      <c r="D185" s="32" t="str">
        <f aca="false">IF($A185="","",'SC Change Orders'!$C167)</f>
        <v/>
      </c>
      <c r="E185" s="31" t="str">
        <f aca="false">IF($A185="","",'SC Change Orders'!$D167)</f>
        <v/>
      </c>
      <c r="F185" s="33" t="str">
        <f aca="false">IF($A185="","",'SC Change Orders'!$E167)</f>
        <v/>
      </c>
      <c r="G185" s="33" t="str">
        <f aca="false">IF($A185="","",'SC Change Orders'!$F167)</f>
        <v/>
      </c>
      <c r="H185" s="33" t="str">
        <f aca="false">IF($A185="","",'SC Change Orders'!$G167)</f>
        <v/>
      </c>
      <c r="I185" s="34" t="str">
        <f aca="false">IF($A185="","",IF(AND(ISNUMBER('SC Change Orders'!$C167),'SC Change Orders'!$C167&gt;=Controls!$C$5,'SC Change Orders'!$C167&lt;=Controls!$C$6),"Yes","No"))</f>
        <v/>
      </c>
      <c r="J185" s="31" t="str">
        <f aca="false">IF($A185="","",IF($K185="","OK",$K185))</f>
        <v/>
      </c>
      <c r="K185" s="0" t="str">
        <f aca="false">IF($A185="","",IF(NOT(ISNUMBER('SC Change Orders'!$B167)),"PO not numeric — row is invisible to the tracker; ","")&amp;IF(NOT(ISNUMBER('SC Change Orders'!$C167)),"Date missing or text — row excluded; ",  IF(OR('SC Change Orders'!$C167&lt;Controls!$C$5,'SC Change Orders'!$C167&gt;Controls!$C$6),"Dated outside the FY window — excluded; ",""))&amp;IF(AND('SC Change Orders'!$E167&lt;&gt;"",NOT(ISNUMBER('SC Change Orders'!$E167))),"Original Amount held as text — ignored by MINIFS; ","")&amp;IF(AND('SC Change Orders'!$F167&lt;&gt;"",NOT(ISNUMBER('SC Change Orders'!$F167))),"Amount Added held as text — ignored by SUMIFS; ","")&amp;IF(ISNUMBER('SC Change Orders'!$E167),IF(ISNUMBER('SC Change Orders'!$F167),IF(ISNUMBER('SC Change Orders'!$G167),  IF('SC Change Orders'!$G167&gt;0,IF(ROUND('SC Change Orders'!$E167+'SC Change Orders'!$F167,2)&lt;&gt;ROUND('SC Change Orders'!$G167,2),  "Original + Added &lt;&gt; Total Line Cost Allotted; ",""),""),""),""),"")&amp;IF(AND(ISNUMBER('SC Change Orders'!$B167),COUNTIFS('SC Change Orders'!$B$2:$B$501,'SC Change Orders'!$B167,'SC Change Orders'!$C$2:$C$501,'SC Change Orders'!$C167,'SC Change Orders'!$D$2:$D$501,'SC Change Orders'!$D167,'SC Change Orders'!$F$2:$F$501,'SC Change Orders'!$F167,'SC Change Orders'!$E$2:$E$501,'SC Change Orders'!$E167)&gt;1),"Duplicate of another row — funds counted twice; ","")&amp;IF(ISNUMBER('SC Change Orders'!$F167),IF('SC Change Orders'!$F167&lt;&gt;0,IF(AND(ISNUMBER('SC Change Orders'!$B167),NOT(COUNTIFS('SC Change Orders'!$B$2:$B$501,'SC Change Orders'!$B167,'SC Change Orders'!$C$2:$C$501,'SC Change Orders'!$C167,'SC Change Orders'!$D$2:$D$501,'SC Change Orders'!$D167,'SC Change Orders'!$F$2:$F$501,'SC Change Orders'!$F167,'SC Change Orders'!$E$2:$E$501,'SC Change Orders'!$E167)&gt;1),COUNTIFS('SC Change Orders'!$B$2:$B$501,'SC Change Orders'!$B167,'SC Change Orders'!$F$2:$F$501,'SC Change Orders'!$F167)&gt;1),  "Same PO and Amount Added as another row — check for a restatement counted twice; ",""),""),""))</f>
        <v/>
      </c>
    </row>
    <row r="186" customFormat="false" ht="15" hidden="false" customHeight="false" outlineLevel="0" collapsed="false">
      <c r="A186" s="18" t="str">
        <f aca="false">IF(AND('SC Change Orders'!$A168="",'SC Change Orders'!$B168="",'SC Change Orders'!$C168=""),"",168)</f>
        <v/>
      </c>
      <c r="B186" s="31" t="str">
        <f aca="false">IF($A186="","",'SC Change Orders'!$A168)</f>
        <v/>
      </c>
      <c r="C186" s="18" t="str">
        <f aca="false">IF($A186="","",'SC Change Orders'!$B168)</f>
        <v/>
      </c>
      <c r="D186" s="32" t="str">
        <f aca="false">IF($A186="","",'SC Change Orders'!$C168)</f>
        <v/>
      </c>
      <c r="E186" s="31" t="str">
        <f aca="false">IF($A186="","",'SC Change Orders'!$D168)</f>
        <v/>
      </c>
      <c r="F186" s="33" t="str">
        <f aca="false">IF($A186="","",'SC Change Orders'!$E168)</f>
        <v/>
      </c>
      <c r="G186" s="33" t="str">
        <f aca="false">IF($A186="","",'SC Change Orders'!$F168)</f>
        <v/>
      </c>
      <c r="H186" s="33" t="str">
        <f aca="false">IF($A186="","",'SC Change Orders'!$G168)</f>
        <v/>
      </c>
      <c r="I186" s="34" t="str">
        <f aca="false">IF($A186="","",IF(AND(ISNUMBER('SC Change Orders'!$C168),'SC Change Orders'!$C168&gt;=Controls!$C$5,'SC Change Orders'!$C168&lt;=Controls!$C$6),"Yes","No"))</f>
        <v/>
      </c>
      <c r="J186" s="31" t="str">
        <f aca="false">IF($A186="","",IF($K186="","OK",$K186))</f>
        <v/>
      </c>
      <c r="K186" s="0" t="str">
        <f aca="false">IF($A186="","",IF(NOT(ISNUMBER('SC Change Orders'!$B168)),"PO not numeric — row is invisible to the tracker; ","")&amp;IF(NOT(ISNUMBER('SC Change Orders'!$C168)),"Date missing or text — row excluded; ",  IF(OR('SC Change Orders'!$C168&lt;Controls!$C$5,'SC Change Orders'!$C168&gt;Controls!$C$6),"Dated outside the FY window — excluded; ",""))&amp;IF(AND('SC Change Orders'!$E168&lt;&gt;"",NOT(ISNUMBER('SC Change Orders'!$E168))),"Original Amount held as text — ignored by MINIFS; ","")&amp;IF(AND('SC Change Orders'!$F168&lt;&gt;"",NOT(ISNUMBER('SC Change Orders'!$F168))),"Amount Added held as text — ignored by SUMIFS; ","")&amp;IF(ISNUMBER('SC Change Orders'!$E168),IF(ISNUMBER('SC Change Orders'!$F168),IF(ISNUMBER('SC Change Orders'!$G168),  IF('SC Change Orders'!$G168&gt;0,IF(ROUND('SC Change Orders'!$E168+'SC Change Orders'!$F168,2)&lt;&gt;ROUND('SC Change Orders'!$G168,2),  "Original + Added &lt;&gt; Total Line Cost Allotted; ",""),""),""),""),"")&amp;IF(AND(ISNUMBER('SC Change Orders'!$B168),COUNTIFS('SC Change Orders'!$B$2:$B$501,'SC Change Orders'!$B168,'SC Change Orders'!$C$2:$C$501,'SC Change Orders'!$C168,'SC Change Orders'!$D$2:$D$501,'SC Change Orders'!$D168,'SC Change Orders'!$F$2:$F$501,'SC Change Orders'!$F168,'SC Change Orders'!$E$2:$E$501,'SC Change Orders'!$E168)&gt;1),"Duplicate of another row — funds counted twice; ","")&amp;IF(ISNUMBER('SC Change Orders'!$F168),IF('SC Change Orders'!$F168&lt;&gt;0,IF(AND(ISNUMBER('SC Change Orders'!$B168),NOT(COUNTIFS('SC Change Orders'!$B$2:$B$501,'SC Change Orders'!$B168,'SC Change Orders'!$C$2:$C$501,'SC Change Orders'!$C168,'SC Change Orders'!$D$2:$D$501,'SC Change Orders'!$D168,'SC Change Orders'!$F$2:$F$501,'SC Change Orders'!$F168,'SC Change Orders'!$E$2:$E$501,'SC Change Orders'!$E168)&gt;1),COUNTIFS('SC Change Orders'!$B$2:$B$501,'SC Change Orders'!$B168,'SC Change Orders'!$F$2:$F$501,'SC Change Orders'!$F168)&gt;1),  "Same PO and Amount Added as another row — check for a restatement counted twice; ",""),""),""))</f>
        <v/>
      </c>
    </row>
    <row r="187" customFormat="false" ht="15" hidden="false" customHeight="false" outlineLevel="0" collapsed="false">
      <c r="A187" s="18" t="str">
        <f aca="false">IF(AND('SC Change Orders'!$A169="",'SC Change Orders'!$B169="",'SC Change Orders'!$C169=""),"",169)</f>
        <v/>
      </c>
      <c r="B187" s="31" t="str">
        <f aca="false">IF($A187="","",'SC Change Orders'!$A169)</f>
        <v/>
      </c>
      <c r="C187" s="18" t="str">
        <f aca="false">IF($A187="","",'SC Change Orders'!$B169)</f>
        <v/>
      </c>
      <c r="D187" s="32" t="str">
        <f aca="false">IF($A187="","",'SC Change Orders'!$C169)</f>
        <v/>
      </c>
      <c r="E187" s="31" t="str">
        <f aca="false">IF($A187="","",'SC Change Orders'!$D169)</f>
        <v/>
      </c>
      <c r="F187" s="33" t="str">
        <f aca="false">IF($A187="","",'SC Change Orders'!$E169)</f>
        <v/>
      </c>
      <c r="G187" s="33" t="str">
        <f aca="false">IF($A187="","",'SC Change Orders'!$F169)</f>
        <v/>
      </c>
      <c r="H187" s="33" t="str">
        <f aca="false">IF($A187="","",'SC Change Orders'!$G169)</f>
        <v/>
      </c>
      <c r="I187" s="34" t="str">
        <f aca="false">IF($A187="","",IF(AND(ISNUMBER('SC Change Orders'!$C169),'SC Change Orders'!$C169&gt;=Controls!$C$5,'SC Change Orders'!$C169&lt;=Controls!$C$6),"Yes","No"))</f>
        <v/>
      </c>
      <c r="J187" s="31" t="str">
        <f aca="false">IF($A187="","",IF($K187="","OK",$K187))</f>
        <v/>
      </c>
      <c r="K187" s="0" t="str">
        <f aca="false">IF($A187="","",IF(NOT(ISNUMBER('SC Change Orders'!$B169)),"PO not numeric — row is invisible to the tracker; ","")&amp;IF(NOT(ISNUMBER('SC Change Orders'!$C169)),"Date missing or text — row excluded; ",  IF(OR('SC Change Orders'!$C169&lt;Controls!$C$5,'SC Change Orders'!$C169&gt;Controls!$C$6),"Dated outside the FY window — excluded; ",""))&amp;IF(AND('SC Change Orders'!$E169&lt;&gt;"",NOT(ISNUMBER('SC Change Orders'!$E169))),"Original Amount held as text — ignored by MINIFS; ","")&amp;IF(AND('SC Change Orders'!$F169&lt;&gt;"",NOT(ISNUMBER('SC Change Orders'!$F169))),"Amount Added held as text — ignored by SUMIFS; ","")&amp;IF(ISNUMBER('SC Change Orders'!$E169),IF(ISNUMBER('SC Change Orders'!$F169),IF(ISNUMBER('SC Change Orders'!$G169),  IF('SC Change Orders'!$G169&gt;0,IF(ROUND('SC Change Orders'!$E169+'SC Change Orders'!$F169,2)&lt;&gt;ROUND('SC Change Orders'!$G169,2),  "Original + Added &lt;&gt; Total Line Cost Allotted; ",""),""),""),""),"")&amp;IF(AND(ISNUMBER('SC Change Orders'!$B169),COUNTIFS('SC Change Orders'!$B$2:$B$501,'SC Change Orders'!$B169,'SC Change Orders'!$C$2:$C$501,'SC Change Orders'!$C169,'SC Change Orders'!$D$2:$D$501,'SC Change Orders'!$D169,'SC Change Orders'!$F$2:$F$501,'SC Change Orders'!$F169,'SC Change Orders'!$E$2:$E$501,'SC Change Orders'!$E169)&gt;1),"Duplicate of another row — funds counted twice; ","")&amp;IF(ISNUMBER('SC Change Orders'!$F169),IF('SC Change Orders'!$F169&lt;&gt;0,IF(AND(ISNUMBER('SC Change Orders'!$B169),NOT(COUNTIFS('SC Change Orders'!$B$2:$B$501,'SC Change Orders'!$B169,'SC Change Orders'!$C$2:$C$501,'SC Change Orders'!$C169,'SC Change Orders'!$D$2:$D$501,'SC Change Orders'!$D169,'SC Change Orders'!$F$2:$F$501,'SC Change Orders'!$F169,'SC Change Orders'!$E$2:$E$501,'SC Change Orders'!$E169)&gt;1),COUNTIFS('SC Change Orders'!$B$2:$B$501,'SC Change Orders'!$B169,'SC Change Orders'!$F$2:$F$501,'SC Change Orders'!$F169)&gt;1),  "Same PO and Amount Added as another row — check for a restatement counted twice; ",""),""),""))</f>
        <v/>
      </c>
    </row>
    <row r="188" customFormat="false" ht="15" hidden="false" customHeight="false" outlineLevel="0" collapsed="false">
      <c r="A188" s="18" t="str">
        <f aca="false">IF(AND('SC Change Orders'!$A170="",'SC Change Orders'!$B170="",'SC Change Orders'!$C170=""),"",170)</f>
        <v/>
      </c>
      <c r="B188" s="31" t="str">
        <f aca="false">IF($A188="","",'SC Change Orders'!$A170)</f>
        <v/>
      </c>
      <c r="C188" s="18" t="str">
        <f aca="false">IF($A188="","",'SC Change Orders'!$B170)</f>
        <v/>
      </c>
      <c r="D188" s="32" t="str">
        <f aca="false">IF($A188="","",'SC Change Orders'!$C170)</f>
        <v/>
      </c>
      <c r="E188" s="31" t="str">
        <f aca="false">IF($A188="","",'SC Change Orders'!$D170)</f>
        <v/>
      </c>
      <c r="F188" s="33" t="str">
        <f aca="false">IF($A188="","",'SC Change Orders'!$E170)</f>
        <v/>
      </c>
      <c r="G188" s="33" t="str">
        <f aca="false">IF($A188="","",'SC Change Orders'!$F170)</f>
        <v/>
      </c>
      <c r="H188" s="33" t="str">
        <f aca="false">IF($A188="","",'SC Change Orders'!$G170)</f>
        <v/>
      </c>
      <c r="I188" s="34" t="str">
        <f aca="false">IF($A188="","",IF(AND(ISNUMBER('SC Change Orders'!$C170),'SC Change Orders'!$C170&gt;=Controls!$C$5,'SC Change Orders'!$C170&lt;=Controls!$C$6),"Yes","No"))</f>
        <v/>
      </c>
      <c r="J188" s="31" t="str">
        <f aca="false">IF($A188="","",IF($K188="","OK",$K188))</f>
        <v/>
      </c>
      <c r="K188" s="0" t="str">
        <f aca="false">IF($A188="","",IF(NOT(ISNUMBER('SC Change Orders'!$B170)),"PO not numeric — row is invisible to the tracker; ","")&amp;IF(NOT(ISNUMBER('SC Change Orders'!$C170)),"Date missing or text — row excluded; ",  IF(OR('SC Change Orders'!$C170&lt;Controls!$C$5,'SC Change Orders'!$C170&gt;Controls!$C$6),"Dated outside the FY window — excluded; ",""))&amp;IF(AND('SC Change Orders'!$E170&lt;&gt;"",NOT(ISNUMBER('SC Change Orders'!$E170))),"Original Amount held as text — ignored by MINIFS; ","")&amp;IF(AND('SC Change Orders'!$F170&lt;&gt;"",NOT(ISNUMBER('SC Change Orders'!$F170))),"Amount Added held as text — ignored by SUMIFS; ","")&amp;IF(ISNUMBER('SC Change Orders'!$E170),IF(ISNUMBER('SC Change Orders'!$F170),IF(ISNUMBER('SC Change Orders'!$G170),  IF('SC Change Orders'!$G170&gt;0,IF(ROUND('SC Change Orders'!$E170+'SC Change Orders'!$F170,2)&lt;&gt;ROUND('SC Change Orders'!$G170,2),  "Original + Added &lt;&gt; Total Line Cost Allotted; ",""),""),""),""),"")&amp;IF(AND(ISNUMBER('SC Change Orders'!$B170),COUNTIFS('SC Change Orders'!$B$2:$B$501,'SC Change Orders'!$B170,'SC Change Orders'!$C$2:$C$501,'SC Change Orders'!$C170,'SC Change Orders'!$D$2:$D$501,'SC Change Orders'!$D170,'SC Change Orders'!$F$2:$F$501,'SC Change Orders'!$F170,'SC Change Orders'!$E$2:$E$501,'SC Change Orders'!$E170)&gt;1),"Duplicate of another row — funds counted twice; ","")&amp;IF(ISNUMBER('SC Change Orders'!$F170),IF('SC Change Orders'!$F170&lt;&gt;0,IF(AND(ISNUMBER('SC Change Orders'!$B170),NOT(COUNTIFS('SC Change Orders'!$B$2:$B$501,'SC Change Orders'!$B170,'SC Change Orders'!$C$2:$C$501,'SC Change Orders'!$C170,'SC Change Orders'!$D$2:$D$501,'SC Change Orders'!$D170,'SC Change Orders'!$F$2:$F$501,'SC Change Orders'!$F170,'SC Change Orders'!$E$2:$E$501,'SC Change Orders'!$E170)&gt;1),COUNTIFS('SC Change Orders'!$B$2:$B$501,'SC Change Orders'!$B170,'SC Change Orders'!$F$2:$F$501,'SC Change Orders'!$F170)&gt;1),  "Same PO and Amount Added as another row — check for a restatement counted twice; ",""),""),""))</f>
        <v/>
      </c>
    </row>
    <row r="189" customFormat="false" ht="15" hidden="false" customHeight="false" outlineLevel="0" collapsed="false">
      <c r="A189" s="18" t="str">
        <f aca="false">IF(AND('SC Change Orders'!$A171="",'SC Change Orders'!$B171="",'SC Change Orders'!$C171=""),"",171)</f>
        <v/>
      </c>
      <c r="B189" s="31" t="str">
        <f aca="false">IF($A189="","",'SC Change Orders'!$A171)</f>
        <v/>
      </c>
      <c r="C189" s="18" t="str">
        <f aca="false">IF($A189="","",'SC Change Orders'!$B171)</f>
        <v/>
      </c>
      <c r="D189" s="32" t="str">
        <f aca="false">IF($A189="","",'SC Change Orders'!$C171)</f>
        <v/>
      </c>
      <c r="E189" s="31" t="str">
        <f aca="false">IF($A189="","",'SC Change Orders'!$D171)</f>
        <v/>
      </c>
      <c r="F189" s="33" t="str">
        <f aca="false">IF($A189="","",'SC Change Orders'!$E171)</f>
        <v/>
      </c>
      <c r="G189" s="33" t="str">
        <f aca="false">IF($A189="","",'SC Change Orders'!$F171)</f>
        <v/>
      </c>
      <c r="H189" s="33" t="str">
        <f aca="false">IF($A189="","",'SC Change Orders'!$G171)</f>
        <v/>
      </c>
      <c r="I189" s="34" t="str">
        <f aca="false">IF($A189="","",IF(AND(ISNUMBER('SC Change Orders'!$C171),'SC Change Orders'!$C171&gt;=Controls!$C$5,'SC Change Orders'!$C171&lt;=Controls!$C$6),"Yes","No"))</f>
        <v/>
      </c>
      <c r="J189" s="31" t="str">
        <f aca="false">IF($A189="","",IF($K189="","OK",$K189))</f>
        <v/>
      </c>
      <c r="K189" s="0" t="str">
        <f aca="false">IF($A189="","",IF(NOT(ISNUMBER('SC Change Orders'!$B171)),"PO not numeric — row is invisible to the tracker; ","")&amp;IF(NOT(ISNUMBER('SC Change Orders'!$C171)),"Date missing or text — row excluded; ",  IF(OR('SC Change Orders'!$C171&lt;Controls!$C$5,'SC Change Orders'!$C171&gt;Controls!$C$6),"Dated outside the FY window — excluded; ",""))&amp;IF(AND('SC Change Orders'!$E171&lt;&gt;"",NOT(ISNUMBER('SC Change Orders'!$E171))),"Original Amount held as text — ignored by MINIFS; ","")&amp;IF(AND('SC Change Orders'!$F171&lt;&gt;"",NOT(ISNUMBER('SC Change Orders'!$F171))),"Amount Added held as text — ignored by SUMIFS; ","")&amp;IF(ISNUMBER('SC Change Orders'!$E171),IF(ISNUMBER('SC Change Orders'!$F171),IF(ISNUMBER('SC Change Orders'!$G171),  IF('SC Change Orders'!$G171&gt;0,IF(ROUND('SC Change Orders'!$E171+'SC Change Orders'!$F171,2)&lt;&gt;ROUND('SC Change Orders'!$G171,2),  "Original + Added &lt;&gt; Total Line Cost Allotted; ",""),""),""),""),"")&amp;IF(AND(ISNUMBER('SC Change Orders'!$B171),COUNTIFS('SC Change Orders'!$B$2:$B$501,'SC Change Orders'!$B171,'SC Change Orders'!$C$2:$C$501,'SC Change Orders'!$C171,'SC Change Orders'!$D$2:$D$501,'SC Change Orders'!$D171,'SC Change Orders'!$F$2:$F$501,'SC Change Orders'!$F171,'SC Change Orders'!$E$2:$E$501,'SC Change Orders'!$E171)&gt;1),"Duplicate of another row — funds counted twice; ","")&amp;IF(ISNUMBER('SC Change Orders'!$F171),IF('SC Change Orders'!$F171&lt;&gt;0,IF(AND(ISNUMBER('SC Change Orders'!$B171),NOT(COUNTIFS('SC Change Orders'!$B$2:$B$501,'SC Change Orders'!$B171,'SC Change Orders'!$C$2:$C$501,'SC Change Orders'!$C171,'SC Change Orders'!$D$2:$D$501,'SC Change Orders'!$D171,'SC Change Orders'!$F$2:$F$501,'SC Change Orders'!$F171,'SC Change Orders'!$E$2:$E$501,'SC Change Orders'!$E171)&gt;1),COUNTIFS('SC Change Orders'!$B$2:$B$501,'SC Change Orders'!$B171,'SC Change Orders'!$F$2:$F$501,'SC Change Orders'!$F171)&gt;1),  "Same PO and Amount Added as another row — check for a restatement counted twice; ",""),""),""))</f>
        <v/>
      </c>
    </row>
    <row r="190" customFormat="false" ht="15" hidden="false" customHeight="false" outlineLevel="0" collapsed="false">
      <c r="A190" s="18" t="str">
        <f aca="false">IF(AND('SC Change Orders'!$A172="",'SC Change Orders'!$B172="",'SC Change Orders'!$C172=""),"",172)</f>
        <v/>
      </c>
      <c r="B190" s="31" t="str">
        <f aca="false">IF($A190="","",'SC Change Orders'!$A172)</f>
        <v/>
      </c>
      <c r="C190" s="18" t="str">
        <f aca="false">IF($A190="","",'SC Change Orders'!$B172)</f>
        <v/>
      </c>
      <c r="D190" s="32" t="str">
        <f aca="false">IF($A190="","",'SC Change Orders'!$C172)</f>
        <v/>
      </c>
      <c r="E190" s="31" t="str">
        <f aca="false">IF($A190="","",'SC Change Orders'!$D172)</f>
        <v/>
      </c>
      <c r="F190" s="33" t="str">
        <f aca="false">IF($A190="","",'SC Change Orders'!$E172)</f>
        <v/>
      </c>
      <c r="G190" s="33" t="str">
        <f aca="false">IF($A190="","",'SC Change Orders'!$F172)</f>
        <v/>
      </c>
      <c r="H190" s="33" t="str">
        <f aca="false">IF($A190="","",'SC Change Orders'!$G172)</f>
        <v/>
      </c>
      <c r="I190" s="34" t="str">
        <f aca="false">IF($A190="","",IF(AND(ISNUMBER('SC Change Orders'!$C172),'SC Change Orders'!$C172&gt;=Controls!$C$5,'SC Change Orders'!$C172&lt;=Controls!$C$6),"Yes","No"))</f>
        <v/>
      </c>
      <c r="J190" s="31" t="str">
        <f aca="false">IF($A190="","",IF($K190="","OK",$K190))</f>
        <v/>
      </c>
      <c r="K190" s="0" t="str">
        <f aca="false">IF($A190="","",IF(NOT(ISNUMBER('SC Change Orders'!$B172)),"PO not numeric — row is invisible to the tracker; ","")&amp;IF(NOT(ISNUMBER('SC Change Orders'!$C172)),"Date missing or text — row excluded; ",  IF(OR('SC Change Orders'!$C172&lt;Controls!$C$5,'SC Change Orders'!$C172&gt;Controls!$C$6),"Dated outside the FY window — excluded; ",""))&amp;IF(AND('SC Change Orders'!$E172&lt;&gt;"",NOT(ISNUMBER('SC Change Orders'!$E172))),"Original Amount held as text — ignored by MINIFS; ","")&amp;IF(AND('SC Change Orders'!$F172&lt;&gt;"",NOT(ISNUMBER('SC Change Orders'!$F172))),"Amount Added held as text — ignored by SUMIFS; ","")&amp;IF(ISNUMBER('SC Change Orders'!$E172),IF(ISNUMBER('SC Change Orders'!$F172),IF(ISNUMBER('SC Change Orders'!$G172),  IF('SC Change Orders'!$G172&gt;0,IF(ROUND('SC Change Orders'!$E172+'SC Change Orders'!$F172,2)&lt;&gt;ROUND('SC Change Orders'!$G172,2),  "Original + Added &lt;&gt; Total Line Cost Allotted; ",""),""),""),""),"")&amp;IF(AND(ISNUMBER('SC Change Orders'!$B172),COUNTIFS('SC Change Orders'!$B$2:$B$501,'SC Change Orders'!$B172,'SC Change Orders'!$C$2:$C$501,'SC Change Orders'!$C172,'SC Change Orders'!$D$2:$D$501,'SC Change Orders'!$D172,'SC Change Orders'!$F$2:$F$501,'SC Change Orders'!$F172,'SC Change Orders'!$E$2:$E$501,'SC Change Orders'!$E172)&gt;1),"Duplicate of another row — funds counted twice; ","")&amp;IF(ISNUMBER('SC Change Orders'!$F172),IF('SC Change Orders'!$F172&lt;&gt;0,IF(AND(ISNUMBER('SC Change Orders'!$B172),NOT(COUNTIFS('SC Change Orders'!$B$2:$B$501,'SC Change Orders'!$B172,'SC Change Orders'!$C$2:$C$501,'SC Change Orders'!$C172,'SC Change Orders'!$D$2:$D$501,'SC Change Orders'!$D172,'SC Change Orders'!$F$2:$F$501,'SC Change Orders'!$F172,'SC Change Orders'!$E$2:$E$501,'SC Change Orders'!$E172)&gt;1),COUNTIFS('SC Change Orders'!$B$2:$B$501,'SC Change Orders'!$B172,'SC Change Orders'!$F$2:$F$501,'SC Change Orders'!$F172)&gt;1),  "Same PO and Amount Added as another row — check for a restatement counted twice; ",""),""),""))</f>
        <v/>
      </c>
    </row>
    <row r="191" customFormat="false" ht="15" hidden="false" customHeight="false" outlineLevel="0" collapsed="false">
      <c r="A191" s="18" t="str">
        <f aca="false">IF(AND('SC Change Orders'!$A173="",'SC Change Orders'!$B173="",'SC Change Orders'!$C173=""),"",173)</f>
        <v/>
      </c>
      <c r="B191" s="31" t="str">
        <f aca="false">IF($A191="","",'SC Change Orders'!$A173)</f>
        <v/>
      </c>
      <c r="C191" s="18" t="str">
        <f aca="false">IF($A191="","",'SC Change Orders'!$B173)</f>
        <v/>
      </c>
      <c r="D191" s="32" t="str">
        <f aca="false">IF($A191="","",'SC Change Orders'!$C173)</f>
        <v/>
      </c>
      <c r="E191" s="31" t="str">
        <f aca="false">IF($A191="","",'SC Change Orders'!$D173)</f>
        <v/>
      </c>
      <c r="F191" s="33" t="str">
        <f aca="false">IF($A191="","",'SC Change Orders'!$E173)</f>
        <v/>
      </c>
      <c r="G191" s="33" t="str">
        <f aca="false">IF($A191="","",'SC Change Orders'!$F173)</f>
        <v/>
      </c>
      <c r="H191" s="33" t="str">
        <f aca="false">IF($A191="","",'SC Change Orders'!$G173)</f>
        <v/>
      </c>
      <c r="I191" s="34" t="str">
        <f aca="false">IF($A191="","",IF(AND(ISNUMBER('SC Change Orders'!$C173),'SC Change Orders'!$C173&gt;=Controls!$C$5,'SC Change Orders'!$C173&lt;=Controls!$C$6),"Yes","No"))</f>
        <v/>
      </c>
      <c r="J191" s="31" t="str">
        <f aca="false">IF($A191="","",IF($K191="","OK",$K191))</f>
        <v/>
      </c>
      <c r="K191" s="0" t="str">
        <f aca="false">IF($A191="","",IF(NOT(ISNUMBER('SC Change Orders'!$B173)),"PO not numeric — row is invisible to the tracker; ","")&amp;IF(NOT(ISNUMBER('SC Change Orders'!$C173)),"Date missing or text — row excluded; ",  IF(OR('SC Change Orders'!$C173&lt;Controls!$C$5,'SC Change Orders'!$C173&gt;Controls!$C$6),"Dated outside the FY window — excluded; ",""))&amp;IF(AND('SC Change Orders'!$E173&lt;&gt;"",NOT(ISNUMBER('SC Change Orders'!$E173))),"Original Amount held as text — ignored by MINIFS; ","")&amp;IF(AND('SC Change Orders'!$F173&lt;&gt;"",NOT(ISNUMBER('SC Change Orders'!$F173))),"Amount Added held as text — ignored by SUMIFS; ","")&amp;IF(ISNUMBER('SC Change Orders'!$E173),IF(ISNUMBER('SC Change Orders'!$F173),IF(ISNUMBER('SC Change Orders'!$G173),  IF('SC Change Orders'!$G173&gt;0,IF(ROUND('SC Change Orders'!$E173+'SC Change Orders'!$F173,2)&lt;&gt;ROUND('SC Change Orders'!$G173,2),  "Original + Added &lt;&gt; Total Line Cost Allotted; ",""),""),""),""),"")&amp;IF(AND(ISNUMBER('SC Change Orders'!$B173),COUNTIFS('SC Change Orders'!$B$2:$B$501,'SC Change Orders'!$B173,'SC Change Orders'!$C$2:$C$501,'SC Change Orders'!$C173,'SC Change Orders'!$D$2:$D$501,'SC Change Orders'!$D173,'SC Change Orders'!$F$2:$F$501,'SC Change Orders'!$F173,'SC Change Orders'!$E$2:$E$501,'SC Change Orders'!$E173)&gt;1),"Duplicate of another row — funds counted twice; ","")&amp;IF(ISNUMBER('SC Change Orders'!$F173),IF('SC Change Orders'!$F173&lt;&gt;0,IF(AND(ISNUMBER('SC Change Orders'!$B173),NOT(COUNTIFS('SC Change Orders'!$B$2:$B$501,'SC Change Orders'!$B173,'SC Change Orders'!$C$2:$C$501,'SC Change Orders'!$C173,'SC Change Orders'!$D$2:$D$501,'SC Change Orders'!$D173,'SC Change Orders'!$F$2:$F$501,'SC Change Orders'!$F173,'SC Change Orders'!$E$2:$E$501,'SC Change Orders'!$E173)&gt;1),COUNTIFS('SC Change Orders'!$B$2:$B$501,'SC Change Orders'!$B173,'SC Change Orders'!$F$2:$F$501,'SC Change Orders'!$F173)&gt;1),  "Same PO and Amount Added as another row — check for a restatement counted twice; ",""),""),""))</f>
        <v/>
      </c>
    </row>
    <row r="192" customFormat="false" ht="15" hidden="false" customHeight="false" outlineLevel="0" collapsed="false">
      <c r="A192" s="18" t="str">
        <f aca="false">IF(AND('SC Change Orders'!$A174="",'SC Change Orders'!$B174="",'SC Change Orders'!$C174=""),"",174)</f>
        <v/>
      </c>
      <c r="B192" s="31" t="str">
        <f aca="false">IF($A192="","",'SC Change Orders'!$A174)</f>
        <v/>
      </c>
      <c r="C192" s="18" t="str">
        <f aca="false">IF($A192="","",'SC Change Orders'!$B174)</f>
        <v/>
      </c>
      <c r="D192" s="32" t="str">
        <f aca="false">IF($A192="","",'SC Change Orders'!$C174)</f>
        <v/>
      </c>
      <c r="E192" s="31" t="str">
        <f aca="false">IF($A192="","",'SC Change Orders'!$D174)</f>
        <v/>
      </c>
      <c r="F192" s="33" t="str">
        <f aca="false">IF($A192="","",'SC Change Orders'!$E174)</f>
        <v/>
      </c>
      <c r="G192" s="33" t="str">
        <f aca="false">IF($A192="","",'SC Change Orders'!$F174)</f>
        <v/>
      </c>
      <c r="H192" s="33" t="str">
        <f aca="false">IF($A192="","",'SC Change Orders'!$G174)</f>
        <v/>
      </c>
      <c r="I192" s="34" t="str">
        <f aca="false">IF($A192="","",IF(AND(ISNUMBER('SC Change Orders'!$C174),'SC Change Orders'!$C174&gt;=Controls!$C$5,'SC Change Orders'!$C174&lt;=Controls!$C$6),"Yes","No"))</f>
        <v/>
      </c>
      <c r="J192" s="31" t="str">
        <f aca="false">IF($A192="","",IF($K192="","OK",$K192))</f>
        <v/>
      </c>
      <c r="K192" s="0" t="str">
        <f aca="false">IF($A192="","",IF(NOT(ISNUMBER('SC Change Orders'!$B174)),"PO not numeric — row is invisible to the tracker; ","")&amp;IF(NOT(ISNUMBER('SC Change Orders'!$C174)),"Date missing or text — row excluded; ",  IF(OR('SC Change Orders'!$C174&lt;Controls!$C$5,'SC Change Orders'!$C174&gt;Controls!$C$6),"Dated outside the FY window — excluded; ",""))&amp;IF(AND('SC Change Orders'!$E174&lt;&gt;"",NOT(ISNUMBER('SC Change Orders'!$E174))),"Original Amount held as text — ignored by MINIFS; ","")&amp;IF(AND('SC Change Orders'!$F174&lt;&gt;"",NOT(ISNUMBER('SC Change Orders'!$F174))),"Amount Added held as text — ignored by SUMIFS; ","")&amp;IF(ISNUMBER('SC Change Orders'!$E174),IF(ISNUMBER('SC Change Orders'!$F174),IF(ISNUMBER('SC Change Orders'!$G174),  IF('SC Change Orders'!$G174&gt;0,IF(ROUND('SC Change Orders'!$E174+'SC Change Orders'!$F174,2)&lt;&gt;ROUND('SC Change Orders'!$G174,2),  "Original + Added &lt;&gt; Total Line Cost Allotted; ",""),""),""),""),"")&amp;IF(AND(ISNUMBER('SC Change Orders'!$B174),COUNTIFS('SC Change Orders'!$B$2:$B$501,'SC Change Orders'!$B174,'SC Change Orders'!$C$2:$C$501,'SC Change Orders'!$C174,'SC Change Orders'!$D$2:$D$501,'SC Change Orders'!$D174,'SC Change Orders'!$F$2:$F$501,'SC Change Orders'!$F174,'SC Change Orders'!$E$2:$E$501,'SC Change Orders'!$E174)&gt;1),"Duplicate of another row — funds counted twice; ","")&amp;IF(ISNUMBER('SC Change Orders'!$F174),IF('SC Change Orders'!$F174&lt;&gt;0,IF(AND(ISNUMBER('SC Change Orders'!$B174),NOT(COUNTIFS('SC Change Orders'!$B$2:$B$501,'SC Change Orders'!$B174,'SC Change Orders'!$C$2:$C$501,'SC Change Orders'!$C174,'SC Change Orders'!$D$2:$D$501,'SC Change Orders'!$D174,'SC Change Orders'!$F$2:$F$501,'SC Change Orders'!$F174,'SC Change Orders'!$E$2:$E$501,'SC Change Orders'!$E174)&gt;1),COUNTIFS('SC Change Orders'!$B$2:$B$501,'SC Change Orders'!$B174,'SC Change Orders'!$F$2:$F$501,'SC Change Orders'!$F174)&gt;1),  "Same PO and Amount Added as another row — check for a restatement counted twice; ",""),""),""))</f>
        <v/>
      </c>
    </row>
    <row r="193" customFormat="false" ht="15" hidden="false" customHeight="false" outlineLevel="0" collapsed="false">
      <c r="A193" s="18" t="str">
        <f aca="false">IF(AND('SC Change Orders'!$A175="",'SC Change Orders'!$B175="",'SC Change Orders'!$C175=""),"",175)</f>
        <v/>
      </c>
      <c r="B193" s="31" t="str">
        <f aca="false">IF($A193="","",'SC Change Orders'!$A175)</f>
        <v/>
      </c>
      <c r="C193" s="18" t="str">
        <f aca="false">IF($A193="","",'SC Change Orders'!$B175)</f>
        <v/>
      </c>
      <c r="D193" s="32" t="str">
        <f aca="false">IF($A193="","",'SC Change Orders'!$C175)</f>
        <v/>
      </c>
      <c r="E193" s="31" t="str">
        <f aca="false">IF($A193="","",'SC Change Orders'!$D175)</f>
        <v/>
      </c>
      <c r="F193" s="33" t="str">
        <f aca="false">IF($A193="","",'SC Change Orders'!$E175)</f>
        <v/>
      </c>
      <c r="G193" s="33" t="str">
        <f aca="false">IF($A193="","",'SC Change Orders'!$F175)</f>
        <v/>
      </c>
      <c r="H193" s="33" t="str">
        <f aca="false">IF($A193="","",'SC Change Orders'!$G175)</f>
        <v/>
      </c>
      <c r="I193" s="34" t="str">
        <f aca="false">IF($A193="","",IF(AND(ISNUMBER('SC Change Orders'!$C175),'SC Change Orders'!$C175&gt;=Controls!$C$5,'SC Change Orders'!$C175&lt;=Controls!$C$6),"Yes","No"))</f>
        <v/>
      </c>
      <c r="J193" s="31" t="str">
        <f aca="false">IF($A193="","",IF($K193="","OK",$K193))</f>
        <v/>
      </c>
      <c r="K193" s="0" t="str">
        <f aca="false">IF($A193="","",IF(NOT(ISNUMBER('SC Change Orders'!$B175)),"PO not numeric — row is invisible to the tracker; ","")&amp;IF(NOT(ISNUMBER('SC Change Orders'!$C175)),"Date missing or text — row excluded; ",  IF(OR('SC Change Orders'!$C175&lt;Controls!$C$5,'SC Change Orders'!$C175&gt;Controls!$C$6),"Dated outside the FY window — excluded; ",""))&amp;IF(AND('SC Change Orders'!$E175&lt;&gt;"",NOT(ISNUMBER('SC Change Orders'!$E175))),"Original Amount held as text — ignored by MINIFS; ","")&amp;IF(AND('SC Change Orders'!$F175&lt;&gt;"",NOT(ISNUMBER('SC Change Orders'!$F175))),"Amount Added held as text — ignored by SUMIFS; ","")&amp;IF(ISNUMBER('SC Change Orders'!$E175),IF(ISNUMBER('SC Change Orders'!$F175),IF(ISNUMBER('SC Change Orders'!$G175),  IF('SC Change Orders'!$G175&gt;0,IF(ROUND('SC Change Orders'!$E175+'SC Change Orders'!$F175,2)&lt;&gt;ROUND('SC Change Orders'!$G175,2),  "Original + Added &lt;&gt; Total Line Cost Allotted; ",""),""),""),""),"")&amp;IF(AND(ISNUMBER('SC Change Orders'!$B175),COUNTIFS('SC Change Orders'!$B$2:$B$501,'SC Change Orders'!$B175,'SC Change Orders'!$C$2:$C$501,'SC Change Orders'!$C175,'SC Change Orders'!$D$2:$D$501,'SC Change Orders'!$D175,'SC Change Orders'!$F$2:$F$501,'SC Change Orders'!$F175,'SC Change Orders'!$E$2:$E$501,'SC Change Orders'!$E175)&gt;1),"Duplicate of another row — funds counted twice; ","")&amp;IF(ISNUMBER('SC Change Orders'!$F175),IF('SC Change Orders'!$F175&lt;&gt;0,IF(AND(ISNUMBER('SC Change Orders'!$B175),NOT(COUNTIFS('SC Change Orders'!$B$2:$B$501,'SC Change Orders'!$B175,'SC Change Orders'!$C$2:$C$501,'SC Change Orders'!$C175,'SC Change Orders'!$D$2:$D$501,'SC Change Orders'!$D175,'SC Change Orders'!$F$2:$F$501,'SC Change Orders'!$F175,'SC Change Orders'!$E$2:$E$501,'SC Change Orders'!$E175)&gt;1),COUNTIFS('SC Change Orders'!$B$2:$B$501,'SC Change Orders'!$B175,'SC Change Orders'!$F$2:$F$501,'SC Change Orders'!$F175)&gt;1),  "Same PO and Amount Added as another row — check for a restatement counted twice; ",""),""),""))</f>
        <v/>
      </c>
    </row>
    <row r="194" customFormat="false" ht="15" hidden="false" customHeight="false" outlineLevel="0" collapsed="false">
      <c r="A194" s="18" t="str">
        <f aca="false">IF(AND('SC Change Orders'!$A176="",'SC Change Orders'!$B176="",'SC Change Orders'!$C176=""),"",176)</f>
        <v/>
      </c>
      <c r="B194" s="31" t="str">
        <f aca="false">IF($A194="","",'SC Change Orders'!$A176)</f>
        <v/>
      </c>
      <c r="C194" s="18" t="str">
        <f aca="false">IF($A194="","",'SC Change Orders'!$B176)</f>
        <v/>
      </c>
      <c r="D194" s="32" t="str">
        <f aca="false">IF($A194="","",'SC Change Orders'!$C176)</f>
        <v/>
      </c>
      <c r="E194" s="31" t="str">
        <f aca="false">IF($A194="","",'SC Change Orders'!$D176)</f>
        <v/>
      </c>
      <c r="F194" s="33" t="str">
        <f aca="false">IF($A194="","",'SC Change Orders'!$E176)</f>
        <v/>
      </c>
      <c r="G194" s="33" t="str">
        <f aca="false">IF($A194="","",'SC Change Orders'!$F176)</f>
        <v/>
      </c>
      <c r="H194" s="33" t="str">
        <f aca="false">IF($A194="","",'SC Change Orders'!$G176)</f>
        <v/>
      </c>
      <c r="I194" s="34" t="str">
        <f aca="false">IF($A194="","",IF(AND(ISNUMBER('SC Change Orders'!$C176),'SC Change Orders'!$C176&gt;=Controls!$C$5,'SC Change Orders'!$C176&lt;=Controls!$C$6),"Yes","No"))</f>
        <v/>
      </c>
      <c r="J194" s="31" t="str">
        <f aca="false">IF($A194="","",IF($K194="","OK",$K194))</f>
        <v/>
      </c>
      <c r="K194" s="0" t="str">
        <f aca="false">IF($A194="","",IF(NOT(ISNUMBER('SC Change Orders'!$B176)),"PO not numeric — row is invisible to the tracker; ","")&amp;IF(NOT(ISNUMBER('SC Change Orders'!$C176)),"Date missing or text — row excluded; ",  IF(OR('SC Change Orders'!$C176&lt;Controls!$C$5,'SC Change Orders'!$C176&gt;Controls!$C$6),"Dated outside the FY window — excluded; ",""))&amp;IF(AND('SC Change Orders'!$E176&lt;&gt;"",NOT(ISNUMBER('SC Change Orders'!$E176))),"Original Amount held as text — ignored by MINIFS; ","")&amp;IF(AND('SC Change Orders'!$F176&lt;&gt;"",NOT(ISNUMBER('SC Change Orders'!$F176))),"Amount Added held as text — ignored by SUMIFS; ","")&amp;IF(ISNUMBER('SC Change Orders'!$E176),IF(ISNUMBER('SC Change Orders'!$F176),IF(ISNUMBER('SC Change Orders'!$G176),  IF('SC Change Orders'!$G176&gt;0,IF(ROUND('SC Change Orders'!$E176+'SC Change Orders'!$F176,2)&lt;&gt;ROUND('SC Change Orders'!$G176,2),  "Original + Added &lt;&gt; Total Line Cost Allotted; ",""),""),""),""),"")&amp;IF(AND(ISNUMBER('SC Change Orders'!$B176),COUNTIFS('SC Change Orders'!$B$2:$B$501,'SC Change Orders'!$B176,'SC Change Orders'!$C$2:$C$501,'SC Change Orders'!$C176,'SC Change Orders'!$D$2:$D$501,'SC Change Orders'!$D176,'SC Change Orders'!$F$2:$F$501,'SC Change Orders'!$F176,'SC Change Orders'!$E$2:$E$501,'SC Change Orders'!$E176)&gt;1),"Duplicate of another row — funds counted twice; ","")&amp;IF(ISNUMBER('SC Change Orders'!$F176),IF('SC Change Orders'!$F176&lt;&gt;0,IF(AND(ISNUMBER('SC Change Orders'!$B176),NOT(COUNTIFS('SC Change Orders'!$B$2:$B$501,'SC Change Orders'!$B176,'SC Change Orders'!$C$2:$C$501,'SC Change Orders'!$C176,'SC Change Orders'!$D$2:$D$501,'SC Change Orders'!$D176,'SC Change Orders'!$F$2:$F$501,'SC Change Orders'!$F176,'SC Change Orders'!$E$2:$E$501,'SC Change Orders'!$E176)&gt;1),COUNTIFS('SC Change Orders'!$B$2:$B$501,'SC Change Orders'!$B176,'SC Change Orders'!$F$2:$F$501,'SC Change Orders'!$F176)&gt;1),  "Same PO and Amount Added as another row — check for a restatement counted twice; ",""),""),""))</f>
        <v/>
      </c>
    </row>
    <row r="195" customFormat="false" ht="15" hidden="false" customHeight="false" outlineLevel="0" collapsed="false">
      <c r="A195" s="18" t="str">
        <f aca="false">IF(AND('SC Change Orders'!$A177="",'SC Change Orders'!$B177="",'SC Change Orders'!$C177=""),"",177)</f>
        <v/>
      </c>
      <c r="B195" s="31" t="str">
        <f aca="false">IF($A195="","",'SC Change Orders'!$A177)</f>
        <v/>
      </c>
      <c r="C195" s="18" t="str">
        <f aca="false">IF($A195="","",'SC Change Orders'!$B177)</f>
        <v/>
      </c>
      <c r="D195" s="32" t="str">
        <f aca="false">IF($A195="","",'SC Change Orders'!$C177)</f>
        <v/>
      </c>
      <c r="E195" s="31" t="str">
        <f aca="false">IF($A195="","",'SC Change Orders'!$D177)</f>
        <v/>
      </c>
      <c r="F195" s="33" t="str">
        <f aca="false">IF($A195="","",'SC Change Orders'!$E177)</f>
        <v/>
      </c>
      <c r="G195" s="33" t="str">
        <f aca="false">IF($A195="","",'SC Change Orders'!$F177)</f>
        <v/>
      </c>
      <c r="H195" s="33" t="str">
        <f aca="false">IF($A195="","",'SC Change Orders'!$G177)</f>
        <v/>
      </c>
      <c r="I195" s="34" t="str">
        <f aca="false">IF($A195="","",IF(AND(ISNUMBER('SC Change Orders'!$C177),'SC Change Orders'!$C177&gt;=Controls!$C$5,'SC Change Orders'!$C177&lt;=Controls!$C$6),"Yes","No"))</f>
        <v/>
      </c>
      <c r="J195" s="31" t="str">
        <f aca="false">IF($A195="","",IF($K195="","OK",$K195))</f>
        <v/>
      </c>
      <c r="K195" s="0" t="str">
        <f aca="false">IF($A195="","",IF(NOT(ISNUMBER('SC Change Orders'!$B177)),"PO not numeric — row is invisible to the tracker; ","")&amp;IF(NOT(ISNUMBER('SC Change Orders'!$C177)),"Date missing or text — row excluded; ",  IF(OR('SC Change Orders'!$C177&lt;Controls!$C$5,'SC Change Orders'!$C177&gt;Controls!$C$6),"Dated outside the FY window — excluded; ",""))&amp;IF(AND('SC Change Orders'!$E177&lt;&gt;"",NOT(ISNUMBER('SC Change Orders'!$E177))),"Original Amount held as text — ignored by MINIFS; ","")&amp;IF(AND('SC Change Orders'!$F177&lt;&gt;"",NOT(ISNUMBER('SC Change Orders'!$F177))),"Amount Added held as text — ignored by SUMIFS; ","")&amp;IF(ISNUMBER('SC Change Orders'!$E177),IF(ISNUMBER('SC Change Orders'!$F177),IF(ISNUMBER('SC Change Orders'!$G177),  IF('SC Change Orders'!$G177&gt;0,IF(ROUND('SC Change Orders'!$E177+'SC Change Orders'!$F177,2)&lt;&gt;ROUND('SC Change Orders'!$G177,2),  "Original + Added &lt;&gt; Total Line Cost Allotted; ",""),""),""),""),"")&amp;IF(AND(ISNUMBER('SC Change Orders'!$B177),COUNTIFS('SC Change Orders'!$B$2:$B$501,'SC Change Orders'!$B177,'SC Change Orders'!$C$2:$C$501,'SC Change Orders'!$C177,'SC Change Orders'!$D$2:$D$501,'SC Change Orders'!$D177,'SC Change Orders'!$F$2:$F$501,'SC Change Orders'!$F177,'SC Change Orders'!$E$2:$E$501,'SC Change Orders'!$E177)&gt;1),"Duplicate of another row — funds counted twice; ","")&amp;IF(ISNUMBER('SC Change Orders'!$F177),IF('SC Change Orders'!$F177&lt;&gt;0,IF(AND(ISNUMBER('SC Change Orders'!$B177),NOT(COUNTIFS('SC Change Orders'!$B$2:$B$501,'SC Change Orders'!$B177,'SC Change Orders'!$C$2:$C$501,'SC Change Orders'!$C177,'SC Change Orders'!$D$2:$D$501,'SC Change Orders'!$D177,'SC Change Orders'!$F$2:$F$501,'SC Change Orders'!$F177,'SC Change Orders'!$E$2:$E$501,'SC Change Orders'!$E177)&gt;1),COUNTIFS('SC Change Orders'!$B$2:$B$501,'SC Change Orders'!$B177,'SC Change Orders'!$F$2:$F$501,'SC Change Orders'!$F177)&gt;1),  "Same PO and Amount Added as another row — check for a restatement counted twice; ",""),""),""))</f>
        <v/>
      </c>
    </row>
    <row r="196" customFormat="false" ht="15" hidden="false" customHeight="false" outlineLevel="0" collapsed="false">
      <c r="A196" s="18" t="str">
        <f aca="false">IF(AND('SC Change Orders'!$A178="",'SC Change Orders'!$B178="",'SC Change Orders'!$C178=""),"",178)</f>
        <v/>
      </c>
      <c r="B196" s="31" t="str">
        <f aca="false">IF($A196="","",'SC Change Orders'!$A178)</f>
        <v/>
      </c>
      <c r="C196" s="18" t="str">
        <f aca="false">IF($A196="","",'SC Change Orders'!$B178)</f>
        <v/>
      </c>
      <c r="D196" s="32" t="str">
        <f aca="false">IF($A196="","",'SC Change Orders'!$C178)</f>
        <v/>
      </c>
      <c r="E196" s="31" t="str">
        <f aca="false">IF($A196="","",'SC Change Orders'!$D178)</f>
        <v/>
      </c>
      <c r="F196" s="33" t="str">
        <f aca="false">IF($A196="","",'SC Change Orders'!$E178)</f>
        <v/>
      </c>
      <c r="G196" s="33" t="str">
        <f aca="false">IF($A196="","",'SC Change Orders'!$F178)</f>
        <v/>
      </c>
      <c r="H196" s="33" t="str">
        <f aca="false">IF($A196="","",'SC Change Orders'!$G178)</f>
        <v/>
      </c>
      <c r="I196" s="34" t="str">
        <f aca="false">IF($A196="","",IF(AND(ISNUMBER('SC Change Orders'!$C178),'SC Change Orders'!$C178&gt;=Controls!$C$5,'SC Change Orders'!$C178&lt;=Controls!$C$6),"Yes","No"))</f>
        <v/>
      </c>
      <c r="J196" s="31" t="str">
        <f aca="false">IF($A196="","",IF($K196="","OK",$K196))</f>
        <v/>
      </c>
      <c r="K196" s="0" t="str">
        <f aca="false">IF($A196="","",IF(NOT(ISNUMBER('SC Change Orders'!$B178)),"PO not numeric — row is invisible to the tracker; ","")&amp;IF(NOT(ISNUMBER('SC Change Orders'!$C178)),"Date missing or text — row excluded; ",  IF(OR('SC Change Orders'!$C178&lt;Controls!$C$5,'SC Change Orders'!$C178&gt;Controls!$C$6),"Dated outside the FY window — excluded; ",""))&amp;IF(AND('SC Change Orders'!$E178&lt;&gt;"",NOT(ISNUMBER('SC Change Orders'!$E178))),"Original Amount held as text — ignored by MINIFS; ","")&amp;IF(AND('SC Change Orders'!$F178&lt;&gt;"",NOT(ISNUMBER('SC Change Orders'!$F178))),"Amount Added held as text — ignored by SUMIFS; ","")&amp;IF(ISNUMBER('SC Change Orders'!$E178),IF(ISNUMBER('SC Change Orders'!$F178),IF(ISNUMBER('SC Change Orders'!$G178),  IF('SC Change Orders'!$G178&gt;0,IF(ROUND('SC Change Orders'!$E178+'SC Change Orders'!$F178,2)&lt;&gt;ROUND('SC Change Orders'!$G178,2),  "Original + Added &lt;&gt; Total Line Cost Allotted; ",""),""),""),""),"")&amp;IF(AND(ISNUMBER('SC Change Orders'!$B178),COUNTIFS('SC Change Orders'!$B$2:$B$501,'SC Change Orders'!$B178,'SC Change Orders'!$C$2:$C$501,'SC Change Orders'!$C178,'SC Change Orders'!$D$2:$D$501,'SC Change Orders'!$D178,'SC Change Orders'!$F$2:$F$501,'SC Change Orders'!$F178,'SC Change Orders'!$E$2:$E$501,'SC Change Orders'!$E178)&gt;1),"Duplicate of another row — funds counted twice; ","")&amp;IF(ISNUMBER('SC Change Orders'!$F178),IF('SC Change Orders'!$F178&lt;&gt;0,IF(AND(ISNUMBER('SC Change Orders'!$B178),NOT(COUNTIFS('SC Change Orders'!$B$2:$B$501,'SC Change Orders'!$B178,'SC Change Orders'!$C$2:$C$501,'SC Change Orders'!$C178,'SC Change Orders'!$D$2:$D$501,'SC Change Orders'!$D178,'SC Change Orders'!$F$2:$F$501,'SC Change Orders'!$F178,'SC Change Orders'!$E$2:$E$501,'SC Change Orders'!$E178)&gt;1),COUNTIFS('SC Change Orders'!$B$2:$B$501,'SC Change Orders'!$B178,'SC Change Orders'!$F$2:$F$501,'SC Change Orders'!$F178)&gt;1),  "Same PO and Amount Added as another row — check for a restatement counted twice; ",""),""),""))</f>
        <v/>
      </c>
    </row>
    <row r="197" customFormat="false" ht="15" hidden="false" customHeight="false" outlineLevel="0" collapsed="false">
      <c r="A197" s="18" t="str">
        <f aca="false">IF(AND('SC Change Orders'!$A179="",'SC Change Orders'!$B179="",'SC Change Orders'!$C179=""),"",179)</f>
        <v/>
      </c>
      <c r="B197" s="31" t="str">
        <f aca="false">IF($A197="","",'SC Change Orders'!$A179)</f>
        <v/>
      </c>
      <c r="C197" s="18" t="str">
        <f aca="false">IF($A197="","",'SC Change Orders'!$B179)</f>
        <v/>
      </c>
      <c r="D197" s="32" t="str">
        <f aca="false">IF($A197="","",'SC Change Orders'!$C179)</f>
        <v/>
      </c>
      <c r="E197" s="31" t="str">
        <f aca="false">IF($A197="","",'SC Change Orders'!$D179)</f>
        <v/>
      </c>
      <c r="F197" s="33" t="str">
        <f aca="false">IF($A197="","",'SC Change Orders'!$E179)</f>
        <v/>
      </c>
      <c r="G197" s="33" t="str">
        <f aca="false">IF($A197="","",'SC Change Orders'!$F179)</f>
        <v/>
      </c>
      <c r="H197" s="33" t="str">
        <f aca="false">IF($A197="","",'SC Change Orders'!$G179)</f>
        <v/>
      </c>
      <c r="I197" s="34" t="str">
        <f aca="false">IF($A197="","",IF(AND(ISNUMBER('SC Change Orders'!$C179),'SC Change Orders'!$C179&gt;=Controls!$C$5,'SC Change Orders'!$C179&lt;=Controls!$C$6),"Yes","No"))</f>
        <v/>
      </c>
      <c r="J197" s="31" t="str">
        <f aca="false">IF($A197="","",IF($K197="","OK",$K197))</f>
        <v/>
      </c>
      <c r="K197" s="0" t="str">
        <f aca="false">IF($A197="","",IF(NOT(ISNUMBER('SC Change Orders'!$B179)),"PO not numeric — row is invisible to the tracker; ","")&amp;IF(NOT(ISNUMBER('SC Change Orders'!$C179)),"Date missing or text — row excluded; ",  IF(OR('SC Change Orders'!$C179&lt;Controls!$C$5,'SC Change Orders'!$C179&gt;Controls!$C$6),"Dated outside the FY window — excluded; ",""))&amp;IF(AND('SC Change Orders'!$E179&lt;&gt;"",NOT(ISNUMBER('SC Change Orders'!$E179))),"Original Amount held as text — ignored by MINIFS; ","")&amp;IF(AND('SC Change Orders'!$F179&lt;&gt;"",NOT(ISNUMBER('SC Change Orders'!$F179))),"Amount Added held as text — ignored by SUMIFS; ","")&amp;IF(ISNUMBER('SC Change Orders'!$E179),IF(ISNUMBER('SC Change Orders'!$F179),IF(ISNUMBER('SC Change Orders'!$G179),  IF('SC Change Orders'!$G179&gt;0,IF(ROUND('SC Change Orders'!$E179+'SC Change Orders'!$F179,2)&lt;&gt;ROUND('SC Change Orders'!$G179,2),  "Original + Added &lt;&gt; Total Line Cost Allotted; ",""),""),""),""),"")&amp;IF(AND(ISNUMBER('SC Change Orders'!$B179),COUNTIFS('SC Change Orders'!$B$2:$B$501,'SC Change Orders'!$B179,'SC Change Orders'!$C$2:$C$501,'SC Change Orders'!$C179,'SC Change Orders'!$D$2:$D$501,'SC Change Orders'!$D179,'SC Change Orders'!$F$2:$F$501,'SC Change Orders'!$F179,'SC Change Orders'!$E$2:$E$501,'SC Change Orders'!$E179)&gt;1),"Duplicate of another row — funds counted twice; ","")&amp;IF(ISNUMBER('SC Change Orders'!$F179),IF('SC Change Orders'!$F179&lt;&gt;0,IF(AND(ISNUMBER('SC Change Orders'!$B179),NOT(COUNTIFS('SC Change Orders'!$B$2:$B$501,'SC Change Orders'!$B179,'SC Change Orders'!$C$2:$C$501,'SC Change Orders'!$C179,'SC Change Orders'!$D$2:$D$501,'SC Change Orders'!$D179,'SC Change Orders'!$F$2:$F$501,'SC Change Orders'!$F179,'SC Change Orders'!$E$2:$E$501,'SC Change Orders'!$E179)&gt;1),COUNTIFS('SC Change Orders'!$B$2:$B$501,'SC Change Orders'!$B179,'SC Change Orders'!$F$2:$F$501,'SC Change Orders'!$F179)&gt;1),  "Same PO and Amount Added as another row — check for a restatement counted twice; ",""),""),""))</f>
        <v/>
      </c>
    </row>
    <row r="198" customFormat="false" ht="15" hidden="false" customHeight="false" outlineLevel="0" collapsed="false">
      <c r="A198" s="18" t="str">
        <f aca="false">IF(AND('SC Change Orders'!$A180="",'SC Change Orders'!$B180="",'SC Change Orders'!$C180=""),"",180)</f>
        <v/>
      </c>
      <c r="B198" s="31" t="str">
        <f aca="false">IF($A198="","",'SC Change Orders'!$A180)</f>
        <v/>
      </c>
      <c r="C198" s="18" t="str">
        <f aca="false">IF($A198="","",'SC Change Orders'!$B180)</f>
        <v/>
      </c>
      <c r="D198" s="32" t="str">
        <f aca="false">IF($A198="","",'SC Change Orders'!$C180)</f>
        <v/>
      </c>
      <c r="E198" s="31" t="str">
        <f aca="false">IF($A198="","",'SC Change Orders'!$D180)</f>
        <v/>
      </c>
      <c r="F198" s="33" t="str">
        <f aca="false">IF($A198="","",'SC Change Orders'!$E180)</f>
        <v/>
      </c>
      <c r="G198" s="33" t="str">
        <f aca="false">IF($A198="","",'SC Change Orders'!$F180)</f>
        <v/>
      </c>
      <c r="H198" s="33" t="str">
        <f aca="false">IF($A198="","",'SC Change Orders'!$G180)</f>
        <v/>
      </c>
      <c r="I198" s="34" t="str">
        <f aca="false">IF($A198="","",IF(AND(ISNUMBER('SC Change Orders'!$C180),'SC Change Orders'!$C180&gt;=Controls!$C$5,'SC Change Orders'!$C180&lt;=Controls!$C$6),"Yes","No"))</f>
        <v/>
      </c>
      <c r="J198" s="31" t="str">
        <f aca="false">IF($A198="","",IF($K198="","OK",$K198))</f>
        <v/>
      </c>
      <c r="K198" s="0" t="str">
        <f aca="false">IF($A198="","",IF(NOT(ISNUMBER('SC Change Orders'!$B180)),"PO not numeric — row is invisible to the tracker; ","")&amp;IF(NOT(ISNUMBER('SC Change Orders'!$C180)),"Date missing or text — row excluded; ",  IF(OR('SC Change Orders'!$C180&lt;Controls!$C$5,'SC Change Orders'!$C180&gt;Controls!$C$6),"Dated outside the FY window — excluded; ",""))&amp;IF(AND('SC Change Orders'!$E180&lt;&gt;"",NOT(ISNUMBER('SC Change Orders'!$E180))),"Original Amount held as text — ignored by MINIFS; ","")&amp;IF(AND('SC Change Orders'!$F180&lt;&gt;"",NOT(ISNUMBER('SC Change Orders'!$F180))),"Amount Added held as text — ignored by SUMIFS; ","")&amp;IF(ISNUMBER('SC Change Orders'!$E180),IF(ISNUMBER('SC Change Orders'!$F180),IF(ISNUMBER('SC Change Orders'!$G180),  IF('SC Change Orders'!$G180&gt;0,IF(ROUND('SC Change Orders'!$E180+'SC Change Orders'!$F180,2)&lt;&gt;ROUND('SC Change Orders'!$G180,2),  "Original + Added &lt;&gt; Total Line Cost Allotted; ",""),""),""),""),"")&amp;IF(AND(ISNUMBER('SC Change Orders'!$B180),COUNTIFS('SC Change Orders'!$B$2:$B$501,'SC Change Orders'!$B180,'SC Change Orders'!$C$2:$C$501,'SC Change Orders'!$C180,'SC Change Orders'!$D$2:$D$501,'SC Change Orders'!$D180,'SC Change Orders'!$F$2:$F$501,'SC Change Orders'!$F180,'SC Change Orders'!$E$2:$E$501,'SC Change Orders'!$E180)&gt;1),"Duplicate of another row — funds counted twice; ","")&amp;IF(ISNUMBER('SC Change Orders'!$F180),IF('SC Change Orders'!$F180&lt;&gt;0,IF(AND(ISNUMBER('SC Change Orders'!$B180),NOT(COUNTIFS('SC Change Orders'!$B$2:$B$501,'SC Change Orders'!$B180,'SC Change Orders'!$C$2:$C$501,'SC Change Orders'!$C180,'SC Change Orders'!$D$2:$D$501,'SC Change Orders'!$D180,'SC Change Orders'!$F$2:$F$501,'SC Change Orders'!$F180,'SC Change Orders'!$E$2:$E$501,'SC Change Orders'!$E180)&gt;1),COUNTIFS('SC Change Orders'!$B$2:$B$501,'SC Change Orders'!$B180,'SC Change Orders'!$F$2:$F$501,'SC Change Orders'!$F180)&gt;1),  "Same PO and Amount Added as another row — check for a restatement counted twice; ",""),""),""))</f>
        <v/>
      </c>
    </row>
    <row r="199" customFormat="false" ht="15" hidden="false" customHeight="false" outlineLevel="0" collapsed="false">
      <c r="A199" s="18" t="str">
        <f aca="false">IF(AND('SC Change Orders'!$A181="",'SC Change Orders'!$B181="",'SC Change Orders'!$C181=""),"",181)</f>
        <v/>
      </c>
      <c r="B199" s="31" t="str">
        <f aca="false">IF($A199="","",'SC Change Orders'!$A181)</f>
        <v/>
      </c>
      <c r="C199" s="18" t="str">
        <f aca="false">IF($A199="","",'SC Change Orders'!$B181)</f>
        <v/>
      </c>
      <c r="D199" s="32" t="str">
        <f aca="false">IF($A199="","",'SC Change Orders'!$C181)</f>
        <v/>
      </c>
      <c r="E199" s="31" t="str">
        <f aca="false">IF($A199="","",'SC Change Orders'!$D181)</f>
        <v/>
      </c>
      <c r="F199" s="33" t="str">
        <f aca="false">IF($A199="","",'SC Change Orders'!$E181)</f>
        <v/>
      </c>
      <c r="G199" s="33" t="str">
        <f aca="false">IF($A199="","",'SC Change Orders'!$F181)</f>
        <v/>
      </c>
      <c r="H199" s="33" t="str">
        <f aca="false">IF($A199="","",'SC Change Orders'!$G181)</f>
        <v/>
      </c>
      <c r="I199" s="34" t="str">
        <f aca="false">IF($A199="","",IF(AND(ISNUMBER('SC Change Orders'!$C181),'SC Change Orders'!$C181&gt;=Controls!$C$5,'SC Change Orders'!$C181&lt;=Controls!$C$6),"Yes","No"))</f>
        <v/>
      </c>
      <c r="J199" s="31" t="str">
        <f aca="false">IF($A199="","",IF($K199="","OK",$K199))</f>
        <v/>
      </c>
      <c r="K199" s="0" t="str">
        <f aca="false">IF($A199="","",IF(NOT(ISNUMBER('SC Change Orders'!$B181)),"PO not numeric — row is invisible to the tracker; ","")&amp;IF(NOT(ISNUMBER('SC Change Orders'!$C181)),"Date missing or text — row excluded; ",  IF(OR('SC Change Orders'!$C181&lt;Controls!$C$5,'SC Change Orders'!$C181&gt;Controls!$C$6),"Dated outside the FY window — excluded; ",""))&amp;IF(AND('SC Change Orders'!$E181&lt;&gt;"",NOT(ISNUMBER('SC Change Orders'!$E181))),"Original Amount held as text — ignored by MINIFS; ","")&amp;IF(AND('SC Change Orders'!$F181&lt;&gt;"",NOT(ISNUMBER('SC Change Orders'!$F181))),"Amount Added held as text — ignored by SUMIFS; ","")&amp;IF(ISNUMBER('SC Change Orders'!$E181),IF(ISNUMBER('SC Change Orders'!$F181),IF(ISNUMBER('SC Change Orders'!$G181),  IF('SC Change Orders'!$G181&gt;0,IF(ROUND('SC Change Orders'!$E181+'SC Change Orders'!$F181,2)&lt;&gt;ROUND('SC Change Orders'!$G181,2),  "Original + Added &lt;&gt; Total Line Cost Allotted; ",""),""),""),""),"")&amp;IF(AND(ISNUMBER('SC Change Orders'!$B181),COUNTIFS('SC Change Orders'!$B$2:$B$501,'SC Change Orders'!$B181,'SC Change Orders'!$C$2:$C$501,'SC Change Orders'!$C181,'SC Change Orders'!$D$2:$D$501,'SC Change Orders'!$D181,'SC Change Orders'!$F$2:$F$501,'SC Change Orders'!$F181,'SC Change Orders'!$E$2:$E$501,'SC Change Orders'!$E181)&gt;1),"Duplicate of another row — funds counted twice; ","")&amp;IF(ISNUMBER('SC Change Orders'!$F181),IF('SC Change Orders'!$F181&lt;&gt;0,IF(AND(ISNUMBER('SC Change Orders'!$B181),NOT(COUNTIFS('SC Change Orders'!$B$2:$B$501,'SC Change Orders'!$B181,'SC Change Orders'!$C$2:$C$501,'SC Change Orders'!$C181,'SC Change Orders'!$D$2:$D$501,'SC Change Orders'!$D181,'SC Change Orders'!$F$2:$F$501,'SC Change Orders'!$F181,'SC Change Orders'!$E$2:$E$501,'SC Change Orders'!$E181)&gt;1),COUNTIFS('SC Change Orders'!$B$2:$B$501,'SC Change Orders'!$B181,'SC Change Orders'!$F$2:$F$501,'SC Change Orders'!$F181)&gt;1),  "Same PO and Amount Added as another row — check for a restatement counted twice; ",""),""),""))</f>
        <v/>
      </c>
    </row>
    <row r="200" customFormat="false" ht="15" hidden="false" customHeight="false" outlineLevel="0" collapsed="false">
      <c r="A200" s="18" t="str">
        <f aca="false">IF(AND('SC Change Orders'!$A182="",'SC Change Orders'!$B182="",'SC Change Orders'!$C182=""),"",182)</f>
        <v/>
      </c>
      <c r="B200" s="31" t="str">
        <f aca="false">IF($A200="","",'SC Change Orders'!$A182)</f>
        <v/>
      </c>
      <c r="C200" s="18" t="str">
        <f aca="false">IF($A200="","",'SC Change Orders'!$B182)</f>
        <v/>
      </c>
      <c r="D200" s="32" t="str">
        <f aca="false">IF($A200="","",'SC Change Orders'!$C182)</f>
        <v/>
      </c>
      <c r="E200" s="31" t="str">
        <f aca="false">IF($A200="","",'SC Change Orders'!$D182)</f>
        <v/>
      </c>
      <c r="F200" s="33" t="str">
        <f aca="false">IF($A200="","",'SC Change Orders'!$E182)</f>
        <v/>
      </c>
      <c r="G200" s="33" t="str">
        <f aca="false">IF($A200="","",'SC Change Orders'!$F182)</f>
        <v/>
      </c>
      <c r="H200" s="33" t="str">
        <f aca="false">IF($A200="","",'SC Change Orders'!$G182)</f>
        <v/>
      </c>
      <c r="I200" s="34" t="str">
        <f aca="false">IF($A200="","",IF(AND(ISNUMBER('SC Change Orders'!$C182),'SC Change Orders'!$C182&gt;=Controls!$C$5,'SC Change Orders'!$C182&lt;=Controls!$C$6),"Yes","No"))</f>
        <v/>
      </c>
      <c r="J200" s="31" t="str">
        <f aca="false">IF($A200="","",IF($K200="","OK",$K200))</f>
        <v/>
      </c>
      <c r="K200" s="0" t="str">
        <f aca="false">IF($A200="","",IF(NOT(ISNUMBER('SC Change Orders'!$B182)),"PO not numeric — row is invisible to the tracker; ","")&amp;IF(NOT(ISNUMBER('SC Change Orders'!$C182)),"Date missing or text — row excluded; ",  IF(OR('SC Change Orders'!$C182&lt;Controls!$C$5,'SC Change Orders'!$C182&gt;Controls!$C$6),"Dated outside the FY window — excluded; ",""))&amp;IF(AND('SC Change Orders'!$E182&lt;&gt;"",NOT(ISNUMBER('SC Change Orders'!$E182))),"Original Amount held as text — ignored by MINIFS; ","")&amp;IF(AND('SC Change Orders'!$F182&lt;&gt;"",NOT(ISNUMBER('SC Change Orders'!$F182))),"Amount Added held as text — ignored by SUMIFS; ","")&amp;IF(ISNUMBER('SC Change Orders'!$E182),IF(ISNUMBER('SC Change Orders'!$F182),IF(ISNUMBER('SC Change Orders'!$G182),  IF('SC Change Orders'!$G182&gt;0,IF(ROUND('SC Change Orders'!$E182+'SC Change Orders'!$F182,2)&lt;&gt;ROUND('SC Change Orders'!$G182,2),  "Original + Added &lt;&gt; Total Line Cost Allotted; ",""),""),""),""),"")&amp;IF(AND(ISNUMBER('SC Change Orders'!$B182),COUNTIFS('SC Change Orders'!$B$2:$B$501,'SC Change Orders'!$B182,'SC Change Orders'!$C$2:$C$501,'SC Change Orders'!$C182,'SC Change Orders'!$D$2:$D$501,'SC Change Orders'!$D182,'SC Change Orders'!$F$2:$F$501,'SC Change Orders'!$F182,'SC Change Orders'!$E$2:$E$501,'SC Change Orders'!$E182)&gt;1),"Duplicate of another row — funds counted twice; ","")&amp;IF(ISNUMBER('SC Change Orders'!$F182),IF('SC Change Orders'!$F182&lt;&gt;0,IF(AND(ISNUMBER('SC Change Orders'!$B182),NOT(COUNTIFS('SC Change Orders'!$B$2:$B$501,'SC Change Orders'!$B182,'SC Change Orders'!$C$2:$C$501,'SC Change Orders'!$C182,'SC Change Orders'!$D$2:$D$501,'SC Change Orders'!$D182,'SC Change Orders'!$F$2:$F$501,'SC Change Orders'!$F182,'SC Change Orders'!$E$2:$E$501,'SC Change Orders'!$E182)&gt;1),COUNTIFS('SC Change Orders'!$B$2:$B$501,'SC Change Orders'!$B182,'SC Change Orders'!$F$2:$F$501,'SC Change Orders'!$F182)&gt;1),  "Same PO and Amount Added as another row — check for a restatement counted twice; ",""),""),""))</f>
        <v/>
      </c>
    </row>
    <row r="201" customFormat="false" ht="15" hidden="false" customHeight="false" outlineLevel="0" collapsed="false">
      <c r="A201" s="18" t="str">
        <f aca="false">IF(AND('SC Change Orders'!$A183="",'SC Change Orders'!$B183="",'SC Change Orders'!$C183=""),"",183)</f>
        <v/>
      </c>
      <c r="B201" s="31" t="str">
        <f aca="false">IF($A201="","",'SC Change Orders'!$A183)</f>
        <v/>
      </c>
      <c r="C201" s="18" t="str">
        <f aca="false">IF($A201="","",'SC Change Orders'!$B183)</f>
        <v/>
      </c>
      <c r="D201" s="32" t="str">
        <f aca="false">IF($A201="","",'SC Change Orders'!$C183)</f>
        <v/>
      </c>
      <c r="E201" s="31" t="str">
        <f aca="false">IF($A201="","",'SC Change Orders'!$D183)</f>
        <v/>
      </c>
      <c r="F201" s="33" t="str">
        <f aca="false">IF($A201="","",'SC Change Orders'!$E183)</f>
        <v/>
      </c>
      <c r="G201" s="33" t="str">
        <f aca="false">IF($A201="","",'SC Change Orders'!$F183)</f>
        <v/>
      </c>
      <c r="H201" s="33" t="str">
        <f aca="false">IF($A201="","",'SC Change Orders'!$G183)</f>
        <v/>
      </c>
      <c r="I201" s="34" t="str">
        <f aca="false">IF($A201="","",IF(AND(ISNUMBER('SC Change Orders'!$C183),'SC Change Orders'!$C183&gt;=Controls!$C$5,'SC Change Orders'!$C183&lt;=Controls!$C$6),"Yes","No"))</f>
        <v/>
      </c>
      <c r="J201" s="31" t="str">
        <f aca="false">IF($A201="","",IF($K201="","OK",$K201))</f>
        <v/>
      </c>
      <c r="K201" s="0" t="str">
        <f aca="false">IF($A201="","",IF(NOT(ISNUMBER('SC Change Orders'!$B183)),"PO not numeric — row is invisible to the tracker; ","")&amp;IF(NOT(ISNUMBER('SC Change Orders'!$C183)),"Date missing or text — row excluded; ",  IF(OR('SC Change Orders'!$C183&lt;Controls!$C$5,'SC Change Orders'!$C183&gt;Controls!$C$6),"Dated outside the FY window — excluded; ",""))&amp;IF(AND('SC Change Orders'!$E183&lt;&gt;"",NOT(ISNUMBER('SC Change Orders'!$E183))),"Original Amount held as text — ignored by MINIFS; ","")&amp;IF(AND('SC Change Orders'!$F183&lt;&gt;"",NOT(ISNUMBER('SC Change Orders'!$F183))),"Amount Added held as text — ignored by SUMIFS; ","")&amp;IF(ISNUMBER('SC Change Orders'!$E183),IF(ISNUMBER('SC Change Orders'!$F183),IF(ISNUMBER('SC Change Orders'!$G183),  IF('SC Change Orders'!$G183&gt;0,IF(ROUND('SC Change Orders'!$E183+'SC Change Orders'!$F183,2)&lt;&gt;ROUND('SC Change Orders'!$G183,2),  "Original + Added &lt;&gt; Total Line Cost Allotted; ",""),""),""),""),"")&amp;IF(AND(ISNUMBER('SC Change Orders'!$B183),COUNTIFS('SC Change Orders'!$B$2:$B$501,'SC Change Orders'!$B183,'SC Change Orders'!$C$2:$C$501,'SC Change Orders'!$C183,'SC Change Orders'!$D$2:$D$501,'SC Change Orders'!$D183,'SC Change Orders'!$F$2:$F$501,'SC Change Orders'!$F183,'SC Change Orders'!$E$2:$E$501,'SC Change Orders'!$E183)&gt;1),"Duplicate of another row — funds counted twice; ","")&amp;IF(ISNUMBER('SC Change Orders'!$F183),IF('SC Change Orders'!$F183&lt;&gt;0,IF(AND(ISNUMBER('SC Change Orders'!$B183),NOT(COUNTIFS('SC Change Orders'!$B$2:$B$501,'SC Change Orders'!$B183,'SC Change Orders'!$C$2:$C$501,'SC Change Orders'!$C183,'SC Change Orders'!$D$2:$D$501,'SC Change Orders'!$D183,'SC Change Orders'!$F$2:$F$501,'SC Change Orders'!$F183,'SC Change Orders'!$E$2:$E$501,'SC Change Orders'!$E183)&gt;1),COUNTIFS('SC Change Orders'!$B$2:$B$501,'SC Change Orders'!$B183,'SC Change Orders'!$F$2:$F$501,'SC Change Orders'!$F183)&gt;1),  "Same PO and Amount Added as another row — check for a restatement counted twice; ",""),""),""))</f>
        <v/>
      </c>
    </row>
    <row r="202" customFormat="false" ht="15" hidden="false" customHeight="false" outlineLevel="0" collapsed="false">
      <c r="A202" s="18" t="str">
        <f aca="false">IF(AND('SC Change Orders'!$A184="",'SC Change Orders'!$B184="",'SC Change Orders'!$C184=""),"",184)</f>
        <v/>
      </c>
      <c r="B202" s="31" t="str">
        <f aca="false">IF($A202="","",'SC Change Orders'!$A184)</f>
        <v/>
      </c>
      <c r="C202" s="18" t="str">
        <f aca="false">IF($A202="","",'SC Change Orders'!$B184)</f>
        <v/>
      </c>
      <c r="D202" s="32" t="str">
        <f aca="false">IF($A202="","",'SC Change Orders'!$C184)</f>
        <v/>
      </c>
      <c r="E202" s="31" t="str">
        <f aca="false">IF($A202="","",'SC Change Orders'!$D184)</f>
        <v/>
      </c>
      <c r="F202" s="33" t="str">
        <f aca="false">IF($A202="","",'SC Change Orders'!$E184)</f>
        <v/>
      </c>
      <c r="G202" s="33" t="str">
        <f aca="false">IF($A202="","",'SC Change Orders'!$F184)</f>
        <v/>
      </c>
      <c r="H202" s="33" t="str">
        <f aca="false">IF($A202="","",'SC Change Orders'!$G184)</f>
        <v/>
      </c>
      <c r="I202" s="34" t="str">
        <f aca="false">IF($A202="","",IF(AND(ISNUMBER('SC Change Orders'!$C184),'SC Change Orders'!$C184&gt;=Controls!$C$5,'SC Change Orders'!$C184&lt;=Controls!$C$6),"Yes","No"))</f>
        <v/>
      </c>
      <c r="J202" s="31" t="str">
        <f aca="false">IF($A202="","",IF($K202="","OK",$K202))</f>
        <v/>
      </c>
      <c r="K202" s="0" t="str">
        <f aca="false">IF($A202="","",IF(NOT(ISNUMBER('SC Change Orders'!$B184)),"PO not numeric — row is invisible to the tracker; ","")&amp;IF(NOT(ISNUMBER('SC Change Orders'!$C184)),"Date missing or text — row excluded; ",  IF(OR('SC Change Orders'!$C184&lt;Controls!$C$5,'SC Change Orders'!$C184&gt;Controls!$C$6),"Dated outside the FY window — excluded; ",""))&amp;IF(AND('SC Change Orders'!$E184&lt;&gt;"",NOT(ISNUMBER('SC Change Orders'!$E184))),"Original Amount held as text — ignored by MINIFS; ","")&amp;IF(AND('SC Change Orders'!$F184&lt;&gt;"",NOT(ISNUMBER('SC Change Orders'!$F184))),"Amount Added held as text — ignored by SUMIFS; ","")&amp;IF(ISNUMBER('SC Change Orders'!$E184),IF(ISNUMBER('SC Change Orders'!$F184),IF(ISNUMBER('SC Change Orders'!$G184),  IF('SC Change Orders'!$G184&gt;0,IF(ROUND('SC Change Orders'!$E184+'SC Change Orders'!$F184,2)&lt;&gt;ROUND('SC Change Orders'!$G184,2),  "Original + Added &lt;&gt; Total Line Cost Allotted; ",""),""),""),""),"")&amp;IF(AND(ISNUMBER('SC Change Orders'!$B184),COUNTIFS('SC Change Orders'!$B$2:$B$501,'SC Change Orders'!$B184,'SC Change Orders'!$C$2:$C$501,'SC Change Orders'!$C184,'SC Change Orders'!$D$2:$D$501,'SC Change Orders'!$D184,'SC Change Orders'!$F$2:$F$501,'SC Change Orders'!$F184,'SC Change Orders'!$E$2:$E$501,'SC Change Orders'!$E184)&gt;1),"Duplicate of another row — funds counted twice; ","")&amp;IF(ISNUMBER('SC Change Orders'!$F184),IF('SC Change Orders'!$F184&lt;&gt;0,IF(AND(ISNUMBER('SC Change Orders'!$B184),NOT(COUNTIFS('SC Change Orders'!$B$2:$B$501,'SC Change Orders'!$B184,'SC Change Orders'!$C$2:$C$501,'SC Change Orders'!$C184,'SC Change Orders'!$D$2:$D$501,'SC Change Orders'!$D184,'SC Change Orders'!$F$2:$F$501,'SC Change Orders'!$F184,'SC Change Orders'!$E$2:$E$501,'SC Change Orders'!$E184)&gt;1),COUNTIFS('SC Change Orders'!$B$2:$B$501,'SC Change Orders'!$B184,'SC Change Orders'!$F$2:$F$501,'SC Change Orders'!$F184)&gt;1),  "Same PO and Amount Added as another row — check for a restatement counted twice; ",""),""),""))</f>
        <v/>
      </c>
    </row>
    <row r="203" customFormat="false" ht="15" hidden="false" customHeight="false" outlineLevel="0" collapsed="false">
      <c r="A203" s="18" t="str">
        <f aca="false">IF(AND('SC Change Orders'!$A185="",'SC Change Orders'!$B185="",'SC Change Orders'!$C185=""),"",185)</f>
        <v/>
      </c>
      <c r="B203" s="31" t="str">
        <f aca="false">IF($A203="","",'SC Change Orders'!$A185)</f>
        <v/>
      </c>
      <c r="C203" s="18" t="str">
        <f aca="false">IF($A203="","",'SC Change Orders'!$B185)</f>
        <v/>
      </c>
      <c r="D203" s="32" t="str">
        <f aca="false">IF($A203="","",'SC Change Orders'!$C185)</f>
        <v/>
      </c>
      <c r="E203" s="31" t="str">
        <f aca="false">IF($A203="","",'SC Change Orders'!$D185)</f>
        <v/>
      </c>
      <c r="F203" s="33" t="str">
        <f aca="false">IF($A203="","",'SC Change Orders'!$E185)</f>
        <v/>
      </c>
      <c r="G203" s="33" t="str">
        <f aca="false">IF($A203="","",'SC Change Orders'!$F185)</f>
        <v/>
      </c>
      <c r="H203" s="33" t="str">
        <f aca="false">IF($A203="","",'SC Change Orders'!$G185)</f>
        <v/>
      </c>
      <c r="I203" s="34" t="str">
        <f aca="false">IF($A203="","",IF(AND(ISNUMBER('SC Change Orders'!$C185),'SC Change Orders'!$C185&gt;=Controls!$C$5,'SC Change Orders'!$C185&lt;=Controls!$C$6),"Yes","No"))</f>
        <v/>
      </c>
      <c r="J203" s="31" t="str">
        <f aca="false">IF($A203="","",IF($K203="","OK",$K203))</f>
        <v/>
      </c>
      <c r="K203" s="0" t="str">
        <f aca="false">IF($A203="","",IF(NOT(ISNUMBER('SC Change Orders'!$B185)),"PO not numeric — row is invisible to the tracker; ","")&amp;IF(NOT(ISNUMBER('SC Change Orders'!$C185)),"Date missing or text — row excluded; ",  IF(OR('SC Change Orders'!$C185&lt;Controls!$C$5,'SC Change Orders'!$C185&gt;Controls!$C$6),"Dated outside the FY window — excluded; ",""))&amp;IF(AND('SC Change Orders'!$E185&lt;&gt;"",NOT(ISNUMBER('SC Change Orders'!$E185))),"Original Amount held as text — ignored by MINIFS; ","")&amp;IF(AND('SC Change Orders'!$F185&lt;&gt;"",NOT(ISNUMBER('SC Change Orders'!$F185))),"Amount Added held as text — ignored by SUMIFS; ","")&amp;IF(ISNUMBER('SC Change Orders'!$E185),IF(ISNUMBER('SC Change Orders'!$F185),IF(ISNUMBER('SC Change Orders'!$G185),  IF('SC Change Orders'!$G185&gt;0,IF(ROUND('SC Change Orders'!$E185+'SC Change Orders'!$F185,2)&lt;&gt;ROUND('SC Change Orders'!$G185,2),  "Original + Added &lt;&gt; Total Line Cost Allotted; ",""),""),""),""),"")&amp;IF(AND(ISNUMBER('SC Change Orders'!$B185),COUNTIFS('SC Change Orders'!$B$2:$B$501,'SC Change Orders'!$B185,'SC Change Orders'!$C$2:$C$501,'SC Change Orders'!$C185,'SC Change Orders'!$D$2:$D$501,'SC Change Orders'!$D185,'SC Change Orders'!$F$2:$F$501,'SC Change Orders'!$F185,'SC Change Orders'!$E$2:$E$501,'SC Change Orders'!$E185)&gt;1),"Duplicate of another row — funds counted twice; ","")&amp;IF(ISNUMBER('SC Change Orders'!$F185),IF('SC Change Orders'!$F185&lt;&gt;0,IF(AND(ISNUMBER('SC Change Orders'!$B185),NOT(COUNTIFS('SC Change Orders'!$B$2:$B$501,'SC Change Orders'!$B185,'SC Change Orders'!$C$2:$C$501,'SC Change Orders'!$C185,'SC Change Orders'!$D$2:$D$501,'SC Change Orders'!$D185,'SC Change Orders'!$F$2:$F$501,'SC Change Orders'!$F185,'SC Change Orders'!$E$2:$E$501,'SC Change Orders'!$E185)&gt;1),COUNTIFS('SC Change Orders'!$B$2:$B$501,'SC Change Orders'!$B185,'SC Change Orders'!$F$2:$F$501,'SC Change Orders'!$F185)&gt;1),  "Same PO and Amount Added as another row — check for a restatement counted twice; ",""),""),""))</f>
        <v/>
      </c>
    </row>
    <row r="204" customFormat="false" ht="15" hidden="false" customHeight="false" outlineLevel="0" collapsed="false">
      <c r="A204" s="18" t="str">
        <f aca="false">IF(AND('SC Change Orders'!$A186="",'SC Change Orders'!$B186="",'SC Change Orders'!$C186=""),"",186)</f>
        <v/>
      </c>
      <c r="B204" s="31" t="str">
        <f aca="false">IF($A204="","",'SC Change Orders'!$A186)</f>
        <v/>
      </c>
      <c r="C204" s="18" t="str">
        <f aca="false">IF($A204="","",'SC Change Orders'!$B186)</f>
        <v/>
      </c>
      <c r="D204" s="32" t="str">
        <f aca="false">IF($A204="","",'SC Change Orders'!$C186)</f>
        <v/>
      </c>
      <c r="E204" s="31" t="str">
        <f aca="false">IF($A204="","",'SC Change Orders'!$D186)</f>
        <v/>
      </c>
      <c r="F204" s="33" t="str">
        <f aca="false">IF($A204="","",'SC Change Orders'!$E186)</f>
        <v/>
      </c>
      <c r="G204" s="33" t="str">
        <f aca="false">IF($A204="","",'SC Change Orders'!$F186)</f>
        <v/>
      </c>
      <c r="H204" s="33" t="str">
        <f aca="false">IF($A204="","",'SC Change Orders'!$G186)</f>
        <v/>
      </c>
      <c r="I204" s="34" t="str">
        <f aca="false">IF($A204="","",IF(AND(ISNUMBER('SC Change Orders'!$C186),'SC Change Orders'!$C186&gt;=Controls!$C$5,'SC Change Orders'!$C186&lt;=Controls!$C$6),"Yes","No"))</f>
        <v/>
      </c>
      <c r="J204" s="31" t="str">
        <f aca="false">IF($A204="","",IF($K204="","OK",$K204))</f>
        <v/>
      </c>
      <c r="K204" s="0" t="str">
        <f aca="false">IF($A204="","",IF(NOT(ISNUMBER('SC Change Orders'!$B186)),"PO not numeric — row is invisible to the tracker; ","")&amp;IF(NOT(ISNUMBER('SC Change Orders'!$C186)),"Date missing or text — row excluded; ",  IF(OR('SC Change Orders'!$C186&lt;Controls!$C$5,'SC Change Orders'!$C186&gt;Controls!$C$6),"Dated outside the FY window — excluded; ",""))&amp;IF(AND('SC Change Orders'!$E186&lt;&gt;"",NOT(ISNUMBER('SC Change Orders'!$E186))),"Original Amount held as text — ignored by MINIFS; ","")&amp;IF(AND('SC Change Orders'!$F186&lt;&gt;"",NOT(ISNUMBER('SC Change Orders'!$F186))),"Amount Added held as text — ignored by SUMIFS; ","")&amp;IF(ISNUMBER('SC Change Orders'!$E186),IF(ISNUMBER('SC Change Orders'!$F186),IF(ISNUMBER('SC Change Orders'!$G186),  IF('SC Change Orders'!$G186&gt;0,IF(ROUND('SC Change Orders'!$E186+'SC Change Orders'!$F186,2)&lt;&gt;ROUND('SC Change Orders'!$G186,2),  "Original + Added &lt;&gt; Total Line Cost Allotted; ",""),""),""),""),"")&amp;IF(AND(ISNUMBER('SC Change Orders'!$B186),COUNTIFS('SC Change Orders'!$B$2:$B$501,'SC Change Orders'!$B186,'SC Change Orders'!$C$2:$C$501,'SC Change Orders'!$C186,'SC Change Orders'!$D$2:$D$501,'SC Change Orders'!$D186,'SC Change Orders'!$F$2:$F$501,'SC Change Orders'!$F186,'SC Change Orders'!$E$2:$E$501,'SC Change Orders'!$E186)&gt;1),"Duplicate of another row — funds counted twice; ","")&amp;IF(ISNUMBER('SC Change Orders'!$F186),IF('SC Change Orders'!$F186&lt;&gt;0,IF(AND(ISNUMBER('SC Change Orders'!$B186),NOT(COUNTIFS('SC Change Orders'!$B$2:$B$501,'SC Change Orders'!$B186,'SC Change Orders'!$C$2:$C$501,'SC Change Orders'!$C186,'SC Change Orders'!$D$2:$D$501,'SC Change Orders'!$D186,'SC Change Orders'!$F$2:$F$501,'SC Change Orders'!$F186,'SC Change Orders'!$E$2:$E$501,'SC Change Orders'!$E186)&gt;1),COUNTIFS('SC Change Orders'!$B$2:$B$501,'SC Change Orders'!$B186,'SC Change Orders'!$F$2:$F$501,'SC Change Orders'!$F186)&gt;1),  "Same PO and Amount Added as another row — check for a restatement counted twice; ",""),""),""))</f>
        <v/>
      </c>
    </row>
    <row r="205" customFormat="false" ht="15" hidden="false" customHeight="false" outlineLevel="0" collapsed="false">
      <c r="A205" s="18" t="str">
        <f aca="false">IF(AND('SC Change Orders'!$A187="",'SC Change Orders'!$B187="",'SC Change Orders'!$C187=""),"",187)</f>
        <v/>
      </c>
      <c r="B205" s="31" t="str">
        <f aca="false">IF($A205="","",'SC Change Orders'!$A187)</f>
        <v/>
      </c>
      <c r="C205" s="18" t="str">
        <f aca="false">IF($A205="","",'SC Change Orders'!$B187)</f>
        <v/>
      </c>
      <c r="D205" s="32" t="str">
        <f aca="false">IF($A205="","",'SC Change Orders'!$C187)</f>
        <v/>
      </c>
      <c r="E205" s="31" t="str">
        <f aca="false">IF($A205="","",'SC Change Orders'!$D187)</f>
        <v/>
      </c>
      <c r="F205" s="33" t="str">
        <f aca="false">IF($A205="","",'SC Change Orders'!$E187)</f>
        <v/>
      </c>
      <c r="G205" s="33" t="str">
        <f aca="false">IF($A205="","",'SC Change Orders'!$F187)</f>
        <v/>
      </c>
      <c r="H205" s="33" t="str">
        <f aca="false">IF($A205="","",'SC Change Orders'!$G187)</f>
        <v/>
      </c>
      <c r="I205" s="34" t="str">
        <f aca="false">IF($A205="","",IF(AND(ISNUMBER('SC Change Orders'!$C187),'SC Change Orders'!$C187&gt;=Controls!$C$5,'SC Change Orders'!$C187&lt;=Controls!$C$6),"Yes","No"))</f>
        <v/>
      </c>
      <c r="J205" s="31" t="str">
        <f aca="false">IF($A205="","",IF($K205="","OK",$K205))</f>
        <v/>
      </c>
      <c r="K205" s="0" t="str">
        <f aca="false">IF($A205="","",IF(NOT(ISNUMBER('SC Change Orders'!$B187)),"PO not numeric — row is invisible to the tracker; ","")&amp;IF(NOT(ISNUMBER('SC Change Orders'!$C187)),"Date missing or text — row excluded; ",  IF(OR('SC Change Orders'!$C187&lt;Controls!$C$5,'SC Change Orders'!$C187&gt;Controls!$C$6),"Dated outside the FY window — excluded; ",""))&amp;IF(AND('SC Change Orders'!$E187&lt;&gt;"",NOT(ISNUMBER('SC Change Orders'!$E187))),"Original Amount held as text — ignored by MINIFS; ","")&amp;IF(AND('SC Change Orders'!$F187&lt;&gt;"",NOT(ISNUMBER('SC Change Orders'!$F187))),"Amount Added held as text — ignored by SUMIFS; ","")&amp;IF(ISNUMBER('SC Change Orders'!$E187),IF(ISNUMBER('SC Change Orders'!$F187),IF(ISNUMBER('SC Change Orders'!$G187),  IF('SC Change Orders'!$G187&gt;0,IF(ROUND('SC Change Orders'!$E187+'SC Change Orders'!$F187,2)&lt;&gt;ROUND('SC Change Orders'!$G187,2),  "Original + Added &lt;&gt; Total Line Cost Allotted; ",""),""),""),""),"")&amp;IF(AND(ISNUMBER('SC Change Orders'!$B187),COUNTIFS('SC Change Orders'!$B$2:$B$501,'SC Change Orders'!$B187,'SC Change Orders'!$C$2:$C$501,'SC Change Orders'!$C187,'SC Change Orders'!$D$2:$D$501,'SC Change Orders'!$D187,'SC Change Orders'!$F$2:$F$501,'SC Change Orders'!$F187,'SC Change Orders'!$E$2:$E$501,'SC Change Orders'!$E187)&gt;1),"Duplicate of another row — funds counted twice; ","")&amp;IF(ISNUMBER('SC Change Orders'!$F187),IF('SC Change Orders'!$F187&lt;&gt;0,IF(AND(ISNUMBER('SC Change Orders'!$B187),NOT(COUNTIFS('SC Change Orders'!$B$2:$B$501,'SC Change Orders'!$B187,'SC Change Orders'!$C$2:$C$501,'SC Change Orders'!$C187,'SC Change Orders'!$D$2:$D$501,'SC Change Orders'!$D187,'SC Change Orders'!$F$2:$F$501,'SC Change Orders'!$F187,'SC Change Orders'!$E$2:$E$501,'SC Change Orders'!$E187)&gt;1),COUNTIFS('SC Change Orders'!$B$2:$B$501,'SC Change Orders'!$B187,'SC Change Orders'!$F$2:$F$501,'SC Change Orders'!$F187)&gt;1),  "Same PO and Amount Added as another row — check for a restatement counted twice; ",""),""),""))</f>
        <v/>
      </c>
    </row>
    <row r="206" customFormat="false" ht="15" hidden="false" customHeight="false" outlineLevel="0" collapsed="false">
      <c r="A206" s="18" t="str">
        <f aca="false">IF(AND('SC Change Orders'!$A188="",'SC Change Orders'!$B188="",'SC Change Orders'!$C188=""),"",188)</f>
        <v/>
      </c>
      <c r="B206" s="31" t="str">
        <f aca="false">IF($A206="","",'SC Change Orders'!$A188)</f>
        <v/>
      </c>
      <c r="C206" s="18" t="str">
        <f aca="false">IF($A206="","",'SC Change Orders'!$B188)</f>
        <v/>
      </c>
      <c r="D206" s="32" t="str">
        <f aca="false">IF($A206="","",'SC Change Orders'!$C188)</f>
        <v/>
      </c>
      <c r="E206" s="31" t="str">
        <f aca="false">IF($A206="","",'SC Change Orders'!$D188)</f>
        <v/>
      </c>
      <c r="F206" s="33" t="str">
        <f aca="false">IF($A206="","",'SC Change Orders'!$E188)</f>
        <v/>
      </c>
      <c r="G206" s="33" t="str">
        <f aca="false">IF($A206="","",'SC Change Orders'!$F188)</f>
        <v/>
      </c>
      <c r="H206" s="33" t="str">
        <f aca="false">IF($A206="","",'SC Change Orders'!$G188)</f>
        <v/>
      </c>
      <c r="I206" s="34" t="str">
        <f aca="false">IF($A206="","",IF(AND(ISNUMBER('SC Change Orders'!$C188),'SC Change Orders'!$C188&gt;=Controls!$C$5,'SC Change Orders'!$C188&lt;=Controls!$C$6),"Yes","No"))</f>
        <v/>
      </c>
      <c r="J206" s="31" t="str">
        <f aca="false">IF($A206="","",IF($K206="","OK",$K206))</f>
        <v/>
      </c>
      <c r="K206" s="0" t="str">
        <f aca="false">IF($A206="","",IF(NOT(ISNUMBER('SC Change Orders'!$B188)),"PO not numeric — row is invisible to the tracker; ","")&amp;IF(NOT(ISNUMBER('SC Change Orders'!$C188)),"Date missing or text — row excluded; ",  IF(OR('SC Change Orders'!$C188&lt;Controls!$C$5,'SC Change Orders'!$C188&gt;Controls!$C$6),"Dated outside the FY window — excluded; ",""))&amp;IF(AND('SC Change Orders'!$E188&lt;&gt;"",NOT(ISNUMBER('SC Change Orders'!$E188))),"Original Amount held as text — ignored by MINIFS; ","")&amp;IF(AND('SC Change Orders'!$F188&lt;&gt;"",NOT(ISNUMBER('SC Change Orders'!$F188))),"Amount Added held as text — ignored by SUMIFS; ","")&amp;IF(ISNUMBER('SC Change Orders'!$E188),IF(ISNUMBER('SC Change Orders'!$F188),IF(ISNUMBER('SC Change Orders'!$G188),  IF('SC Change Orders'!$G188&gt;0,IF(ROUND('SC Change Orders'!$E188+'SC Change Orders'!$F188,2)&lt;&gt;ROUND('SC Change Orders'!$G188,2),  "Original + Added &lt;&gt; Total Line Cost Allotted; ",""),""),""),""),"")&amp;IF(AND(ISNUMBER('SC Change Orders'!$B188),COUNTIFS('SC Change Orders'!$B$2:$B$501,'SC Change Orders'!$B188,'SC Change Orders'!$C$2:$C$501,'SC Change Orders'!$C188,'SC Change Orders'!$D$2:$D$501,'SC Change Orders'!$D188,'SC Change Orders'!$F$2:$F$501,'SC Change Orders'!$F188,'SC Change Orders'!$E$2:$E$501,'SC Change Orders'!$E188)&gt;1),"Duplicate of another row — funds counted twice; ","")&amp;IF(ISNUMBER('SC Change Orders'!$F188),IF('SC Change Orders'!$F188&lt;&gt;0,IF(AND(ISNUMBER('SC Change Orders'!$B188),NOT(COUNTIFS('SC Change Orders'!$B$2:$B$501,'SC Change Orders'!$B188,'SC Change Orders'!$C$2:$C$501,'SC Change Orders'!$C188,'SC Change Orders'!$D$2:$D$501,'SC Change Orders'!$D188,'SC Change Orders'!$F$2:$F$501,'SC Change Orders'!$F188,'SC Change Orders'!$E$2:$E$501,'SC Change Orders'!$E188)&gt;1),COUNTIFS('SC Change Orders'!$B$2:$B$501,'SC Change Orders'!$B188,'SC Change Orders'!$F$2:$F$501,'SC Change Orders'!$F188)&gt;1),  "Same PO and Amount Added as another row — check for a restatement counted twice; ",""),""),""))</f>
        <v/>
      </c>
    </row>
    <row r="207" customFormat="false" ht="15" hidden="false" customHeight="false" outlineLevel="0" collapsed="false">
      <c r="A207" s="18" t="str">
        <f aca="false">IF(AND('SC Change Orders'!$A189="",'SC Change Orders'!$B189="",'SC Change Orders'!$C189=""),"",189)</f>
        <v/>
      </c>
      <c r="B207" s="31" t="str">
        <f aca="false">IF($A207="","",'SC Change Orders'!$A189)</f>
        <v/>
      </c>
      <c r="C207" s="18" t="str">
        <f aca="false">IF($A207="","",'SC Change Orders'!$B189)</f>
        <v/>
      </c>
      <c r="D207" s="32" t="str">
        <f aca="false">IF($A207="","",'SC Change Orders'!$C189)</f>
        <v/>
      </c>
      <c r="E207" s="31" t="str">
        <f aca="false">IF($A207="","",'SC Change Orders'!$D189)</f>
        <v/>
      </c>
      <c r="F207" s="33" t="str">
        <f aca="false">IF($A207="","",'SC Change Orders'!$E189)</f>
        <v/>
      </c>
      <c r="G207" s="33" t="str">
        <f aca="false">IF($A207="","",'SC Change Orders'!$F189)</f>
        <v/>
      </c>
      <c r="H207" s="33" t="str">
        <f aca="false">IF($A207="","",'SC Change Orders'!$G189)</f>
        <v/>
      </c>
      <c r="I207" s="34" t="str">
        <f aca="false">IF($A207="","",IF(AND(ISNUMBER('SC Change Orders'!$C189),'SC Change Orders'!$C189&gt;=Controls!$C$5,'SC Change Orders'!$C189&lt;=Controls!$C$6),"Yes","No"))</f>
        <v/>
      </c>
      <c r="J207" s="31" t="str">
        <f aca="false">IF($A207="","",IF($K207="","OK",$K207))</f>
        <v/>
      </c>
      <c r="K207" s="0" t="str">
        <f aca="false">IF($A207="","",IF(NOT(ISNUMBER('SC Change Orders'!$B189)),"PO not numeric — row is invisible to the tracker; ","")&amp;IF(NOT(ISNUMBER('SC Change Orders'!$C189)),"Date missing or text — row excluded; ",  IF(OR('SC Change Orders'!$C189&lt;Controls!$C$5,'SC Change Orders'!$C189&gt;Controls!$C$6),"Dated outside the FY window — excluded; ",""))&amp;IF(AND('SC Change Orders'!$E189&lt;&gt;"",NOT(ISNUMBER('SC Change Orders'!$E189))),"Original Amount held as text — ignored by MINIFS; ","")&amp;IF(AND('SC Change Orders'!$F189&lt;&gt;"",NOT(ISNUMBER('SC Change Orders'!$F189))),"Amount Added held as text — ignored by SUMIFS; ","")&amp;IF(ISNUMBER('SC Change Orders'!$E189),IF(ISNUMBER('SC Change Orders'!$F189),IF(ISNUMBER('SC Change Orders'!$G189),  IF('SC Change Orders'!$G189&gt;0,IF(ROUND('SC Change Orders'!$E189+'SC Change Orders'!$F189,2)&lt;&gt;ROUND('SC Change Orders'!$G189,2),  "Original + Added &lt;&gt; Total Line Cost Allotted; ",""),""),""),""),"")&amp;IF(AND(ISNUMBER('SC Change Orders'!$B189),COUNTIFS('SC Change Orders'!$B$2:$B$501,'SC Change Orders'!$B189,'SC Change Orders'!$C$2:$C$501,'SC Change Orders'!$C189,'SC Change Orders'!$D$2:$D$501,'SC Change Orders'!$D189,'SC Change Orders'!$F$2:$F$501,'SC Change Orders'!$F189,'SC Change Orders'!$E$2:$E$501,'SC Change Orders'!$E189)&gt;1),"Duplicate of another row — funds counted twice; ","")&amp;IF(ISNUMBER('SC Change Orders'!$F189),IF('SC Change Orders'!$F189&lt;&gt;0,IF(AND(ISNUMBER('SC Change Orders'!$B189),NOT(COUNTIFS('SC Change Orders'!$B$2:$B$501,'SC Change Orders'!$B189,'SC Change Orders'!$C$2:$C$501,'SC Change Orders'!$C189,'SC Change Orders'!$D$2:$D$501,'SC Change Orders'!$D189,'SC Change Orders'!$F$2:$F$501,'SC Change Orders'!$F189,'SC Change Orders'!$E$2:$E$501,'SC Change Orders'!$E189)&gt;1),COUNTIFS('SC Change Orders'!$B$2:$B$501,'SC Change Orders'!$B189,'SC Change Orders'!$F$2:$F$501,'SC Change Orders'!$F189)&gt;1),  "Same PO and Amount Added as another row — check for a restatement counted twice; ",""),""),""))</f>
        <v/>
      </c>
    </row>
    <row r="208" customFormat="false" ht="15" hidden="false" customHeight="false" outlineLevel="0" collapsed="false">
      <c r="A208" s="18" t="str">
        <f aca="false">IF(AND('SC Change Orders'!$A190="",'SC Change Orders'!$B190="",'SC Change Orders'!$C190=""),"",190)</f>
        <v/>
      </c>
      <c r="B208" s="31" t="str">
        <f aca="false">IF($A208="","",'SC Change Orders'!$A190)</f>
        <v/>
      </c>
      <c r="C208" s="18" t="str">
        <f aca="false">IF($A208="","",'SC Change Orders'!$B190)</f>
        <v/>
      </c>
      <c r="D208" s="32" t="str">
        <f aca="false">IF($A208="","",'SC Change Orders'!$C190)</f>
        <v/>
      </c>
      <c r="E208" s="31" t="str">
        <f aca="false">IF($A208="","",'SC Change Orders'!$D190)</f>
        <v/>
      </c>
      <c r="F208" s="33" t="str">
        <f aca="false">IF($A208="","",'SC Change Orders'!$E190)</f>
        <v/>
      </c>
      <c r="G208" s="33" t="str">
        <f aca="false">IF($A208="","",'SC Change Orders'!$F190)</f>
        <v/>
      </c>
      <c r="H208" s="33" t="str">
        <f aca="false">IF($A208="","",'SC Change Orders'!$G190)</f>
        <v/>
      </c>
      <c r="I208" s="34" t="str">
        <f aca="false">IF($A208="","",IF(AND(ISNUMBER('SC Change Orders'!$C190),'SC Change Orders'!$C190&gt;=Controls!$C$5,'SC Change Orders'!$C190&lt;=Controls!$C$6),"Yes","No"))</f>
        <v/>
      </c>
      <c r="J208" s="31" t="str">
        <f aca="false">IF($A208="","",IF($K208="","OK",$K208))</f>
        <v/>
      </c>
      <c r="K208" s="0" t="str">
        <f aca="false">IF($A208="","",IF(NOT(ISNUMBER('SC Change Orders'!$B190)),"PO not numeric — row is invisible to the tracker; ","")&amp;IF(NOT(ISNUMBER('SC Change Orders'!$C190)),"Date missing or text — row excluded; ",  IF(OR('SC Change Orders'!$C190&lt;Controls!$C$5,'SC Change Orders'!$C190&gt;Controls!$C$6),"Dated outside the FY window — excluded; ",""))&amp;IF(AND('SC Change Orders'!$E190&lt;&gt;"",NOT(ISNUMBER('SC Change Orders'!$E190))),"Original Amount held as text — ignored by MINIFS; ","")&amp;IF(AND('SC Change Orders'!$F190&lt;&gt;"",NOT(ISNUMBER('SC Change Orders'!$F190))),"Amount Added held as text — ignored by SUMIFS; ","")&amp;IF(ISNUMBER('SC Change Orders'!$E190),IF(ISNUMBER('SC Change Orders'!$F190),IF(ISNUMBER('SC Change Orders'!$G190),  IF('SC Change Orders'!$G190&gt;0,IF(ROUND('SC Change Orders'!$E190+'SC Change Orders'!$F190,2)&lt;&gt;ROUND('SC Change Orders'!$G190,2),  "Original + Added &lt;&gt; Total Line Cost Allotted; ",""),""),""),""),"")&amp;IF(AND(ISNUMBER('SC Change Orders'!$B190),COUNTIFS('SC Change Orders'!$B$2:$B$501,'SC Change Orders'!$B190,'SC Change Orders'!$C$2:$C$501,'SC Change Orders'!$C190,'SC Change Orders'!$D$2:$D$501,'SC Change Orders'!$D190,'SC Change Orders'!$F$2:$F$501,'SC Change Orders'!$F190,'SC Change Orders'!$E$2:$E$501,'SC Change Orders'!$E190)&gt;1),"Duplicate of another row — funds counted twice; ","")&amp;IF(ISNUMBER('SC Change Orders'!$F190),IF('SC Change Orders'!$F190&lt;&gt;0,IF(AND(ISNUMBER('SC Change Orders'!$B190),NOT(COUNTIFS('SC Change Orders'!$B$2:$B$501,'SC Change Orders'!$B190,'SC Change Orders'!$C$2:$C$501,'SC Change Orders'!$C190,'SC Change Orders'!$D$2:$D$501,'SC Change Orders'!$D190,'SC Change Orders'!$F$2:$F$501,'SC Change Orders'!$F190,'SC Change Orders'!$E$2:$E$501,'SC Change Orders'!$E190)&gt;1),COUNTIFS('SC Change Orders'!$B$2:$B$501,'SC Change Orders'!$B190,'SC Change Orders'!$F$2:$F$501,'SC Change Orders'!$F190)&gt;1),  "Same PO and Amount Added as another row — check for a restatement counted twice; ",""),""),""))</f>
        <v/>
      </c>
    </row>
    <row r="209" customFormat="false" ht="15" hidden="false" customHeight="false" outlineLevel="0" collapsed="false">
      <c r="A209" s="18" t="str">
        <f aca="false">IF(AND('SC Change Orders'!$A191="",'SC Change Orders'!$B191="",'SC Change Orders'!$C191=""),"",191)</f>
        <v/>
      </c>
      <c r="B209" s="31" t="str">
        <f aca="false">IF($A209="","",'SC Change Orders'!$A191)</f>
        <v/>
      </c>
      <c r="C209" s="18" t="str">
        <f aca="false">IF($A209="","",'SC Change Orders'!$B191)</f>
        <v/>
      </c>
      <c r="D209" s="32" t="str">
        <f aca="false">IF($A209="","",'SC Change Orders'!$C191)</f>
        <v/>
      </c>
      <c r="E209" s="31" t="str">
        <f aca="false">IF($A209="","",'SC Change Orders'!$D191)</f>
        <v/>
      </c>
      <c r="F209" s="33" t="str">
        <f aca="false">IF($A209="","",'SC Change Orders'!$E191)</f>
        <v/>
      </c>
      <c r="G209" s="33" t="str">
        <f aca="false">IF($A209="","",'SC Change Orders'!$F191)</f>
        <v/>
      </c>
      <c r="H209" s="33" t="str">
        <f aca="false">IF($A209="","",'SC Change Orders'!$G191)</f>
        <v/>
      </c>
      <c r="I209" s="34" t="str">
        <f aca="false">IF($A209="","",IF(AND(ISNUMBER('SC Change Orders'!$C191),'SC Change Orders'!$C191&gt;=Controls!$C$5,'SC Change Orders'!$C191&lt;=Controls!$C$6),"Yes","No"))</f>
        <v/>
      </c>
      <c r="J209" s="31" t="str">
        <f aca="false">IF($A209="","",IF($K209="","OK",$K209))</f>
        <v/>
      </c>
      <c r="K209" s="0" t="str">
        <f aca="false">IF($A209="","",IF(NOT(ISNUMBER('SC Change Orders'!$B191)),"PO not numeric — row is invisible to the tracker; ","")&amp;IF(NOT(ISNUMBER('SC Change Orders'!$C191)),"Date missing or text — row excluded; ",  IF(OR('SC Change Orders'!$C191&lt;Controls!$C$5,'SC Change Orders'!$C191&gt;Controls!$C$6),"Dated outside the FY window — excluded; ",""))&amp;IF(AND('SC Change Orders'!$E191&lt;&gt;"",NOT(ISNUMBER('SC Change Orders'!$E191))),"Original Amount held as text — ignored by MINIFS; ","")&amp;IF(AND('SC Change Orders'!$F191&lt;&gt;"",NOT(ISNUMBER('SC Change Orders'!$F191))),"Amount Added held as text — ignored by SUMIFS; ","")&amp;IF(ISNUMBER('SC Change Orders'!$E191),IF(ISNUMBER('SC Change Orders'!$F191),IF(ISNUMBER('SC Change Orders'!$G191),  IF('SC Change Orders'!$G191&gt;0,IF(ROUND('SC Change Orders'!$E191+'SC Change Orders'!$F191,2)&lt;&gt;ROUND('SC Change Orders'!$G191,2),  "Original + Added &lt;&gt; Total Line Cost Allotted; ",""),""),""),""),"")&amp;IF(AND(ISNUMBER('SC Change Orders'!$B191),COUNTIFS('SC Change Orders'!$B$2:$B$501,'SC Change Orders'!$B191,'SC Change Orders'!$C$2:$C$501,'SC Change Orders'!$C191,'SC Change Orders'!$D$2:$D$501,'SC Change Orders'!$D191,'SC Change Orders'!$F$2:$F$501,'SC Change Orders'!$F191,'SC Change Orders'!$E$2:$E$501,'SC Change Orders'!$E191)&gt;1),"Duplicate of another row — funds counted twice; ","")&amp;IF(ISNUMBER('SC Change Orders'!$F191),IF('SC Change Orders'!$F191&lt;&gt;0,IF(AND(ISNUMBER('SC Change Orders'!$B191),NOT(COUNTIFS('SC Change Orders'!$B$2:$B$501,'SC Change Orders'!$B191,'SC Change Orders'!$C$2:$C$501,'SC Change Orders'!$C191,'SC Change Orders'!$D$2:$D$501,'SC Change Orders'!$D191,'SC Change Orders'!$F$2:$F$501,'SC Change Orders'!$F191,'SC Change Orders'!$E$2:$E$501,'SC Change Orders'!$E191)&gt;1),COUNTIFS('SC Change Orders'!$B$2:$B$501,'SC Change Orders'!$B191,'SC Change Orders'!$F$2:$F$501,'SC Change Orders'!$F191)&gt;1),  "Same PO and Amount Added as another row — check for a restatement counted twice; ",""),""),""))</f>
        <v/>
      </c>
    </row>
    <row r="210" customFormat="false" ht="15" hidden="false" customHeight="false" outlineLevel="0" collapsed="false">
      <c r="A210" s="18" t="str">
        <f aca="false">IF(AND('SC Change Orders'!$A192="",'SC Change Orders'!$B192="",'SC Change Orders'!$C192=""),"",192)</f>
        <v/>
      </c>
      <c r="B210" s="31" t="str">
        <f aca="false">IF($A210="","",'SC Change Orders'!$A192)</f>
        <v/>
      </c>
      <c r="C210" s="18" t="str">
        <f aca="false">IF($A210="","",'SC Change Orders'!$B192)</f>
        <v/>
      </c>
      <c r="D210" s="32" t="str">
        <f aca="false">IF($A210="","",'SC Change Orders'!$C192)</f>
        <v/>
      </c>
      <c r="E210" s="31" t="str">
        <f aca="false">IF($A210="","",'SC Change Orders'!$D192)</f>
        <v/>
      </c>
      <c r="F210" s="33" t="str">
        <f aca="false">IF($A210="","",'SC Change Orders'!$E192)</f>
        <v/>
      </c>
      <c r="G210" s="33" t="str">
        <f aca="false">IF($A210="","",'SC Change Orders'!$F192)</f>
        <v/>
      </c>
      <c r="H210" s="33" t="str">
        <f aca="false">IF($A210="","",'SC Change Orders'!$G192)</f>
        <v/>
      </c>
      <c r="I210" s="34" t="str">
        <f aca="false">IF($A210="","",IF(AND(ISNUMBER('SC Change Orders'!$C192),'SC Change Orders'!$C192&gt;=Controls!$C$5,'SC Change Orders'!$C192&lt;=Controls!$C$6),"Yes","No"))</f>
        <v/>
      </c>
      <c r="J210" s="31" t="str">
        <f aca="false">IF($A210="","",IF($K210="","OK",$K210))</f>
        <v/>
      </c>
      <c r="K210" s="0" t="str">
        <f aca="false">IF($A210="","",IF(NOT(ISNUMBER('SC Change Orders'!$B192)),"PO not numeric — row is invisible to the tracker; ","")&amp;IF(NOT(ISNUMBER('SC Change Orders'!$C192)),"Date missing or text — row excluded; ",  IF(OR('SC Change Orders'!$C192&lt;Controls!$C$5,'SC Change Orders'!$C192&gt;Controls!$C$6),"Dated outside the FY window — excluded; ",""))&amp;IF(AND('SC Change Orders'!$E192&lt;&gt;"",NOT(ISNUMBER('SC Change Orders'!$E192))),"Original Amount held as text — ignored by MINIFS; ","")&amp;IF(AND('SC Change Orders'!$F192&lt;&gt;"",NOT(ISNUMBER('SC Change Orders'!$F192))),"Amount Added held as text — ignored by SUMIFS; ","")&amp;IF(ISNUMBER('SC Change Orders'!$E192),IF(ISNUMBER('SC Change Orders'!$F192),IF(ISNUMBER('SC Change Orders'!$G192),  IF('SC Change Orders'!$G192&gt;0,IF(ROUND('SC Change Orders'!$E192+'SC Change Orders'!$F192,2)&lt;&gt;ROUND('SC Change Orders'!$G192,2),  "Original + Added &lt;&gt; Total Line Cost Allotted; ",""),""),""),""),"")&amp;IF(AND(ISNUMBER('SC Change Orders'!$B192),COUNTIFS('SC Change Orders'!$B$2:$B$501,'SC Change Orders'!$B192,'SC Change Orders'!$C$2:$C$501,'SC Change Orders'!$C192,'SC Change Orders'!$D$2:$D$501,'SC Change Orders'!$D192,'SC Change Orders'!$F$2:$F$501,'SC Change Orders'!$F192,'SC Change Orders'!$E$2:$E$501,'SC Change Orders'!$E192)&gt;1),"Duplicate of another row — funds counted twice; ","")&amp;IF(ISNUMBER('SC Change Orders'!$F192),IF('SC Change Orders'!$F192&lt;&gt;0,IF(AND(ISNUMBER('SC Change Orders'!$B192),NOT(COUNTIFS('SC Change Orders'!$B$2:$B$501,'SC Change Orders'!$B192,'SC Change Orders'!$C$2:$C$501,'SC Change Orders'!$C192,'SC Change Orders'!$D$2:$D$501,'SC Change Orders'!$D192,'SC Change Orders'!$F$2:$F$501,'SC Change Orders'!$F192,'SC Change Orders'!$E$2:$E$501,'SC Change Orders'!$E192)&gt;1),COUNTIFS('SC Change Orders'!$B$2:$B$501,'SC Change Orders'!$B192,'SC Change Orders'!$F$2:$F$501,'SC Change Orders'!$F192)&gt;1),  "Same PO and Amount Added as another row — check for a restatement counted twice; ",""),""),""))</f>
        <v/>
      </c>
    </row>
    <row r="211" customFormat="false" ht="15" hidden="false" customHeight="false" outlineLevel="0" collapsed="false">
      <c r="A211" s="18" t="str">
        <f aca="false">IF(AND('SC Change Orders'!$A193="",'SC Change Orders'!$B193="",'SC Change Orders'!$C193=""),"",193)</f>
        <v/>
      </c>
      <c r="B211" s="31" t="str">
        <f aca="false">IF($A211="","",'SC Change Orders'!$A193)</f>
        <v/>
      </c>
      <c r="C211" s="18" t="str">
        <f aca="false">IF($A211="","",'SC Change Orders'!$B193)</f>
        <v/>
      </c>
      <c r="D211" s="32" t="str">
        <f aca="false">IF($A211="","",'SC Change Orders'!$C193)</f>
        <v/>
      </c>
      <c r="E211" s="31" t="str">
        <f aca="false">IF($A211="","",'SC Change Orders'!$D193)</f>
        <v/>
      </c>
      <c r="F211" s="33" t="str">
        <f aca="false">IF($A211="","",'SC Change Orders'!$E193)</f>
        <v/>
      </c>
      <c r="G211" s="33" t="str">
        <f aca="false">IF($A211="","",'SC Change Orders'!$F193)</f>
        <v/>
      </c>
      <c r="H211" s="33" t="str">
        <f aca="false">IF($A211="","",'SC Change Orders'!$G193)</f>
        <v/>
      </c>
      <c r="I211" s="34" t="str">
        <f aca="false">IF($A211="","",IF(AND(ISNUMBER('SC Change Orders'!$C193),'SC Change Orders'!$C193&gt;=Controls!$C$5,'SC Change Orders'!$C193&lt;=Controls!$C$6),"Yes","No"))</f>
        <v/>
      </c>
      <c r="J211" s="31" t="str">
        <f aca="false">IF($A211="","",IF($K211="","OK",$K211))</f>
        <v/>
      </c>
      <c r="K211" s="0" t="str">
        <f aca="false">IF($A211="","",IF(NOT(ISNUMBER('SC Change Orders'!$B193)),"PO not numeric — row is invisible to the tracker; ","")&amp;IF(NOT(ISNUMBER('SC Change Orders'!$C193)),"Date missing or text — row excluded; ",  IF(OR('SC Change Orders'!$C193&lt;Controls!$C$5,'SC Change Orders'!$C193&gt;Controls!$C$6),"Dated outside the FY window — excluded; ",""))&amp;IF(AND('SC Change Orders'!$E193&lt;&gt;"",NOT(ISNUMBER('SC Change Orders'!$E193))),"Original Amount held as text — ignored by MINIFS; ","")&amp;IF(AND('SC Change Orders'!$F193&lt;&gt;"",NOT(ISNUMBER('SC Change Orders'!$F193))),"Amount Added held as text — ignored by SUMIFS; ","")&amp;IF(ISNUMBER('SC Change Orders'!$E193),IF(ISNUMBER('SC Change Orders'!$F193),IF(ISNUMBER('SC Change Orders'!$G193),  IF('SC Change Orders'!$G193&gt;0,IF(ROUND('SC Change Orders'!$E193+'SC Change Orders'!$F193,2)&lt;&gt;ROUND('SC Change Orders'!$G193,2),  "Original + Added &lt;&gt; Total Line Cost Allotted; ",""),""),""),""),"")&amp;IF(AND(ISNUMBER('SC Change Orders'!$B193),COUNTIFS('SC Change Orders'!$B$2:$B$501,'SC Change Orders'!$B193,'SC Change Orders'!$C$2:$C$501,'SC Change Orders'!$C193,'SC Change Orders'!$D$2:$D$501,'SC Change Orders'!$D193,'SC Change Orders'!$F$2:$F$501,'SC Change Orders'!$F193,'SC Change Orders'!$E$2:$E$501,'SC Change Orders'!$E193)&gt;1),"Duplicate of another row — funds counted twice; ","")&amp;IF(ISNUMBER('SC Change Orders'!$F193),IF('SC Change Orders'!$F193&lt;&gt;0,IF(AND(ISNUMBER('SC Change Orders'!$B193),NOT(COUNTIFS('SC Change Orders'!$B$2:$B$501,'SC Change Orders'!$B193,'SC Change Orders'!$C$2:$C$501,'SC Change Orders'!$C193,'SC Change Orders'!$D$2:$D$501,'SC Change Orders'!$D193,'SC Change Orders'!$F$2:$F$501,'SC Change Orders'!$F193,'SC Change Orders'!$E$2:$E$501,'SC Change Orders'!$E193)&gt;1),COUNTIFS('SC Change Orders'!$B$2:$B$501,'SC Change Orders'!$B193,'SC Change Orders'!$F$2:$F$501,'SC Change Orders'!$F193)&gt;1),  "Same PO and Amount Added as another row — check for a restatement counted twice; ",""),""),""))</f>
        <v/>
      </c>
    </row>
    <row r="212" customFormat="false" ht="15" hidden="false" customHeight="false" outlineLevel="0" collapsed="false">
      <c r="A212" s="18" t="str">
        <f aca="false">IF(AND('SC Change Orders'!$A194="",'SC Change Orders'!$B194="",'SC Change Orders'!$C194=""),"",194)</f>
        <v/>
      </c>
      <c r="B212" s="31" t="str">
        <f aca="false">IF($A212="","",'SC Change Orders'!$A194)</f>
        <v/>
      </c>
      <c r="C212" s="18" t="str">
        <f aca="false">IF($A212="","",'SC Change Orders'!$B194)</f>
        <v/>
      </c>
      <c r="D212" s="32" t="str">
        <f aca="false">IF($A212="","",'SC Change Orders'!$C194)</f>
        <v/>
      </c>
      <c r="E212" s="31" t="str">
        <f aca="false">IF($A212="","",'SC Change Orders'!$D194)</f>
        <v/>
      </c>
      <c r="F212" s="33" t="str">
        <f aca="false">IF($A212="","",'SC Change Orders'!$E194)</f>
        <v/>
      </c>
      <c r="G212" s="33" t="str">
        <f aca="false">IF($A212="","",'SC Change Orders'!$F194)</f>
        <v/>
      </c>
      <c r="H212" s="33" t="str">
        <f aca="false">IF($A212="","",'SC Change Orders'!$G194)</f>
        <v/>
      </c>
      <c r="I212" s="34" t="str">
        <f aca="false">IF($A212="","",IF(AND(ISNUMBER('SC Change Orders'!$C194),'SC Change Orders'!$C194&gt;=Controls!$C$5,'SC Change Orders'!$C194&lt;=Controls!$C$6),"Yes","No"))</f>
        <v/>
      </c>
      <c r="J212" s="31" t="str">
        <f aca="false">IF($A212="","",IF($K212="","OK",$K212))</f>
        <v/>
      </c>
      <c r="K212" s="0" t="str">
        <f aca="false">IF($A212="","",IF(NOT(ISNUMBER('SC Change Orders'!$B194)),"PO not numeric — row is invisible to the tracker; ","")&amp;IF(NOT(ISNUMBER('SC Change Orders'!$C194)),"Date missing or text — row excluded; ",  IF(OR('SC Change Orders'!$C194&lt;Controls!$C$5,'SC Change Orders'!$C194&gt;Controls!$C$6),"Dated outside the FY window — excluded; ",""))&amp;IF(AND('SC Change Orders'!$E194&lt;&gt;"",NOT(ISNUMBER('SC Change Orders'!$E194))),"Original Amount held as text — ignored by MINIFS; ","")&amp;IF(AND('SC Change Orders'!$F194&lt;&gt;"",NOT(ISNUMBER('SC Change Orders'!$F194))),"Amount Added held as text — ignored by SUMIFS; ","")&amp;IF(ISNUMBER('SC Change Orders'!$E194),IF(ISNUMBER('SC Change Orders'!$F194),IF(ISNUMBER('SC Change Orders'!$G194),  IF('SC Change Orders'!$G194&gt;0,IF(ROUND('SC Change Orders'!$E194+'SC Change Orders'!$F194,2)&lt;&gt;ROUND('SC Change Orders'!$G194,2),  "Original + Added &lt;&gt; Total Line Cost Allotted; ",""),""),""),""),"")&amp;IF(AND(ISNUMBER('SC Change Orders'!$B194),COUNTIFS('SC Change Orders'!$B$2:$B$501,'SC Change Orders'!$B194,'SC Change Orders'!$C$2:$C$501,'SC Change Orders'!$C194,'SC Change Orders'!$D$2:$D$501,'SC Change Orders'!$D194,'SC Change Orders'!$F$2:$F$501,'SC Change Orders'!$F194,'SC Change Orders'!$E$2:$E$501,'SC Change Orders'!$E194)&gt;1),"Duplicate of another row — funds counted twice; ","")&amp;IF(ISNUMBER('SC Change Orders'!$F194),IF('SC Change Orders'!$F194&lt;&gt;0,IF(AND(ISNUMBER('SC Change Orders'!$B194),NOT(COUNTIFS('SC Change Orders'!$B$2:$B$501,'SC Change Orders'!$B194,'SC Change Orders'!$C$2:$C$501,'SC Change Orders'!$C194,'SC Change Orders'!$D$2:$D$501,'SC Change Orders'!$D194,'SC Change Orders'!$F$2:$F$501,'SC Change Orders'!$F194,'SC Change Orders'!$E$2:$E$501,'SC Change Orders'!$E194)&gt;1),COUNTIFS('SC Change Orders'!$B$2:$B$501,'SC Change Orders'!$B194,'SC Change Orders'!$F$2:$F$501,'SC Change Orders'!$F194)&gt;1),  "Same PO and Amount Added as another row — check for a restatement counted twice; ",""),""),""))</f>
        <v/>
      </c>
    </row>
    <row r="213" customFormat="false" ht="15" hidden="false" customHeight="false" outlineLevel="0" collapsed="false">
      <c r="A213" s="18" t="str">
        <f aca="false">IF(AND('SC Change Orders'!$A195="",'SC Change Orders'!$B195="",'SC Change Orders'!$C195=""),"",195)</f>
        <v/>
      </c>
      <c r="B213" s="31" t="str">
        <f aca="false">IF($A213="","",'SC Change Orders'!$A195)</f>
        <v/>
      </c>
      <c r="C213" s="18" t="str">
        <f aca="false">IF($A213="","",'SC Change Orders'!$B195)</f>
        <v/>
      </c>
      <c r="D213" s="32" t="str">
        <f aca="false">IF($A213="","",'SC Change Orders'!$C195)</f>
        <v/>
      </c>
      <c r="E213" s="31" t="str">
        <f aca="false">IF($A213="","",'SC Change Orders'!$D195)</f>
        <v/>
      </c>
      <c r="F213" s="33" t="str">
        <f aca="false">IF($A213="","",'SC Change Orders'!$E195)</f>
        <v/>
      </c>
      <c r="G213" s="33" t="str">
        <f aca="false">IF($A213="","",'SC Change Orders'!$F195)</f>
        <v/>
      </c>
      <c r="H213" s="33" t="str">
        <f aca="false">IF($A213="","",'SC Change Orders'!$G195)</f>
        <v/>
      </c>
      <c r="I213" s="34" t="str">
        <f aca="false">IF($A213="","",IF(AND(ISNUMBER('SC Change Orders'!$C195),'SC Change Orders'!$C195&gt;=Controls!$C$5,'SC Change Orders'!$C195&lt;=Controls!$C$6),"Yes","No"))</f>
        <v/>
      </c>
      <c r="J213" s="31" t="str">
        <f aca="false">IF($A213="","",IF($K213="","OK",$K213))</f>
        <v/>
      </c>
      <c r="K213" s="0" t="str">
        <f aca="false">IF($A213="","",IF(NOT(ISNUMBER('SC Change Orders'!$B195)),"PO not numeric — row is invisible to the tracker; ","")&amp;IF(NOT(ISNUMBER('SC Change Orders'!$C195)),"Date missing or text — row excluded; ",  IF(OR('SC Change Orders'!$C195&lt;Controls!$C$5,'SC Change Orders'!$C195&gt;Controls!$C$6),"Dated outside the FY window — excluded; ",""))&amp;IF(AND('SC Change Orders'!$E195&lt;&gt;"",NOT(ISNUMBER('SC Change Orders'!$E195))),"Original Amount held as text — ignored by MINIFS; ","")&amp;IF(AND('SC Change Orders'!$F195&lt;&gt;"",NOT(ISNUMBER('SC Change Orders'!$F195))),"Amount Added held as text — ignored by SUMIFS; ","")&amp;IF(ISNUMBER('SC Change Orders'!$E195),IF(ISNUMBER('SC Change Orders'!$F195),IF(ISNUMBER('SC Change Orders'!$G195),  IF('SC Change Orders'!$G195&gt;0,IF(ROUND('SC Change Orders'!$E195+'SC Change Orders'!$F195,2)&lt;&gt;ROUND('SC Change Orders'!$G195,2),  "Original + Added &lt;&gt; Total Line Cost Allotted; ",""),""),""),""),"")&amp;IF(AND(ISNUMBER('SC Change Orders'!$B195),COUNTIFS('SC Change Orders'!$B$2:$B$501,'SC Change Orders'!$B195,'SC Change Orders'!$C$2:$C$501,'SC Change Orders'!$C195,'SC Change Orders'!$D$2:$D$501,'SC Change Orders'!$D195,'SC Change Orders'!$F$2:$F$501,'SC Change Orders'!$F195,'SC Change Orders'!$E$2:$E$501,'SC Change Orders'!$E195)&gt;1),"Duplicate of another row — funds counted twice; ","")&amp;IF(ISNUMBER('SC Change Orders'!$F195),IF('SC Change Orders'!$F195&lt;&gt;0,IF(AND(ISNUMBER('SC Change Orders'!$B195),NOT(COUNTIFS('SC Change Orders'!$B$2:$B$501,'SC Change Orders'!$B195,'SC Change Orders'!$C$2:$C$501,'SC Change Orders'!$C195,'SC Change Orders'!$D$2:$D$501,'SC Change Orders'!$D195,'SC Change Orders'!$F$2:$F$501,'SC Change Orders'!$F195,'SC Change Orders'!$E$2:$E$501,'SC Change Orders'!$E195)&gt;1),COUNTIFS('SC Change Orders'!$B$2:$B$501,'SC Change Orders'!$B195,'SC Change Orders'!$F$2:$F$501,'SC Change Orders'!$F195)&gt;1),  "Same PO and Amount Added as another row — check for a restatement counted twice; ",""),""),""))</f>
        <v/>
      </c>
    </row>
    <row r="214" customFormat="false" ht="15" hidden="false" customHeight="false" outlineLevel="0" collapsed="false">
      <c r="A214" s="18" t="str">
        <f aca="false">IF(AND('SC Change Orders'!$A196="",'SC Change Orders'!$B196="",'SC Change Orders'!$C196=""),"",196)</f>
        <v/>
      </c>
      <c r="B214" s="31" t="str">
        <f aca="false">IF($A214="","",'SC Change Orders'!$A196)</f>
        <v/>
      </c>
      <c r="C214" s="18" t="str">
        <f aca="false">IF($A214="","",'SC Change Orders'!$B196)</f>
        <v/>
      </c>
      <c r="D214" s="32" t="str">
        <f aca="false">IF($A214="","",'SC Change Orders'!$C196)</f>
        <v/>
      </c>
      <c r="E214" s="31" t="str">
        <f aca="false">IF($A214="","",'SC Change Orders'!$D196)</f>
        <v/>
      </c>
      <c r="F214" s="33" t="str">
        <f aca="false">IF($A214="","",'SC Change Orders'!$E196)</f>
        <v/>
      </c>
      <c r="G214" s="33" t="str">
        <f aca="false">IF($A214="","",'SC Change Orders'!$F196)</f>
        <v/>
      </c>
      <c r="H214" s="33" t="str">
        <f aca="false">IF($A214="","",'SC Change Orders'!$G196)</f>
        <v/>
      </c>
      <c r="I214" s="34" t="str">
        <f aca="false">IF($A214="","",IF(AND(ISNUMBER('SC Change Orders'!$C196),'SC Change Orders'!$C196&gt;=Controls!$C$5,'SC Change Orders'!$C196&lt;=Controls!$C$6),"Yes","No"))</f>
        <v/>
      </c>
      <c r="J214" s="31" t="str">
        <f aca="false">IF($A214="","",IF($K214="","OK",$K214))</f>
        <v/>
      </c>
      <c r="K214" s="0" t="str">
        <f aca="false">IF($A214="","",IF(NOT(ISNUMBER('SC Change Orders'!$B196)),"PO not numeric — row is invisible to the tracker; ","")&amp;IF(NOT(ISNUMBER('SC Change Orders'!$C196)),"Date missing or text — row excluded; ",  IF(OR('SC Change Orders'!$C196&lt;Controls!$C$5,'SC Change Orders'!$C196&gt;Controls!$C$6),"Dated outside the FY window — excluded; ",""))&amp;IF(AND('SC Change Orders'!$E196&lt;&gt;"",NOT(ISNUMBER('SC Change Orders'!$E196))),"Original Amount held as text — ignored by MINIFS; ","")&amp;IF(AND('SC Change Orders'!$F196&lt;&gt;"",NOT(ISNUMBER('SC Change Orders'!$F196))),"Amount Added held as text — ignored by SUMIFS; ","")&amp;IF(ISNUMBER('SC Change Orders'!$E196),IF(ISNUMBER('SC Change Orders'!$F196),IF(ISNUMBER('SC Change Orders'!$G196),  IF('SC Change Orders'!$G196&gt;0,IF(ROUND('SC Change Orders'!$E196+'SC Change Orders'!$F196,2)&lt;&gt;ROUND('SC Change Orders'!$G196,2),  "Original + Added &lt;&gt; Total Line Cost Allotted; ",""),""),""),""),"")&amp;IF(AND(ISNUMBER('SC Change Orders'!$B196),COUNTIFS('SC Change Orders'!$B$2:$B$501,'SC Change Orders'!$B196,'SC Change Orders'!$C$2:$C$501,'SC Change Orders'!$C196,'SC Change Orders'!$D$2:$D$501,'SC Change Orders'!$D196,'SC Change Orders'!$F$2:$F$501,'SC Change Orders'!$F196,'SC Change Orders'!$E$2:$E$501,'SC Change Orders'!$E196)&gt;1),"Duplicate of another row — funds counted twice; ","")&amp;IF(ISNUMBER('SC Change Orders'!$F196),IF('SC Change Orders'!$F196&lt;&gt;0,IF(AND(ISNUMBER('SC Change Orders'!$B196),NOT(COUNTIFS('SC Change Orders'!$B$2:$B$501,'SC Change Orders'!$B196,'SC Change Orders'!$C$2:$C$501,'SC Change Orders'!$C196,'SC Change Orders'!$D$2:$D$501,'SC Change Orders'!$D196,'SC Change Orders'!$F$2:$F$501,'SC Change Orders'!$F196,'SC Change Orders'!$E$2:$E$501,'SC Change Orders'!$E196)&gt;1),COUNTIFS('SC Change Orders'!$B$2:$B$501,'SC Change Orders'!$B196,'SC Change Orders'!$F$2:$F$501,'SC Change Orders'!$F196)&gt;1),  "Same PO and Amount Added as another row — check for a restatement counted twice; ",""),""),""))</f>
        <v/>
      </c>
    </row>
    <row r="215" customFormat="false" ht="15" hidden="false" customHeight="false" outlineLevel="0" collapsed="false">
      <c r="A215" s="18" t="str">
        <f aca="false">IF(AND('SC Change Orders'!$A197="",'SC Change Orders'!$B197="",'SC Change Orders'!$C197=""),"",197)</f>
        <v/>
      </c>
      <c r="B215" s="31" t="str">
        <f aca="false">IF($A215="","",'SC Change Orders'!$A197)</f>
        <v/>
      </c>
      <c r="C215" s="18" t="str">
        <f aca="false">IF($A215="","",'SC Change Orders'!$B197)</f>
        <v/>
      </c>
      <c r="D215" s="32" t="str">
        <f aca="false">IF($A215="","",'SC Change Orders'!$C197)</f>
        <v/>
      </c>
      <c r="E215" s="31" t="str">
        <f aca="false">IF($A215="","",'SC Change Orders'!$D197)</f>
        <v/>
      </c>
      <c r="F215" s="33" t="str">
        <f aca="false">IF($A215="","",'SC Change Orders'!$E197)</f>
        <v/>
      </c>
      <c r="G215" s="33" t="str">
        <f aca="false">IF($A215="","",'SC Change Orders'!$F197)</f>
        <v/>
      </c>
      <c r="H215" s="33" t="str">
        <f aca="false">IF($A215="","",'SC Change Orders'!$G197)</f>
        <v/>
      </c>
      <c r="I215" s="34" t="str">
        <f aca="false">IF($A215="","",IF(AND(ISNUMBER('SC Change Orders'!$C197),'SC Change Orders'!$C197&gt;=Controls!$C$5,'SC Change Orders'!$C197&lt;=Controls!$C$6),"Yes","No"))</f>
        <v/>
      </c>
      <c r="J215" s="31" t="str">
        <f aca="false">IF($A215="","",IF($K215="","OK",$K215))</f>
        <v/>
      </c>
      <c r="K215" s="0" t="str">
        <f aca="false">IF($A215="","",IF(NOT(ISNUMBER('SC Change Orders'!$B197)),"PO not numeric — row is invisible to the tracker; ","")&amp;IF(NOT(ISNUMBER('SC Change Orders'!$C197)),"Date missing or text — row excluded; ",  IF(OR('SC Change Orders'!$C197&lt;Controls!$C$5,'SC Change Orders'!$C197&gt;Controls!$C$6),"Dated outside the FY window — excluded; ",""))&amp;IF(AND('SC Change Orders'!$E197&lt;&gt;"",NOT(ISNUMBER('SC Change Orders'!$E197))),"Original Amount held as text — ignored by MINIFS; ","")&amp;IF(AND('SC Change Orders'!$F197&lt;&gt;"",NOT(ISNUMBER('SC Change Orders'!$F197))),"Amount Added held as text — ignored by SUMIFS; ","")&amp;IF(ISNUMBER('SC Change Orders'!$E197),IF(ISNUMBER('SC Change Orders'!$F197),IF(ISNUMBER('SC Change Orders'!$G197),  IF('SC Change Orders'!$G197&gt;0,IF(ROUND('SC Change Orders'!$E197+'SC Change Orders'!$F197,2)&lt;&gt;ROUND('SC Change Orders'!$G197,2),  "Original + Added &lt;&gt; Total Line Cost Allotted; ",""),""),""),""),"")&amp;IF(AND(ISNUMBER('SC Change Orders'!$B197),COUNTIFS('SC Change Orders'!$B$2:$B$501,'SC Change Orders'!$B197,'SC Change Orders'!$C$2:$C$501,'SC Change Orders'!$C197,'SC Change Orders'!$D$2:$D$501,'SC Change Orders'!$D197,'SC Change Orders'!$F$2:$F$501,'SC Change Orders'!$F197,'SC Change Orders'!$E$2:$E$501,'SC Change Orders'!$E197)&gt;1),"Duplicate of another row — funds counted twice; ","")&amp;IF(ISNUMBER('SC Change Orders'!$F197),IF('SC Change Orders'!$F197&lt;&gt;0,IF(AND(ISNUMBER('SC Change Orders'!$B197),NOT(COUNTIFS('SC Change Orders'!$B$2:$B$501,'SC Change Orders'!$B197,'SC Change Orders'!$C$2:$C$501,'SC Change Orders'!$C197,'SC Change Orders'!$D$2:$D$501,'SC Change Orders'!$D197,'SC Change Orders'!$F$2:$F$501,'SC Change Orders'!$F197,'SC Change Orders'!$E$2:$E$501,'SC Change Orders'!$E197)&gt;1),COUNTIFS('SC Change Orders'!$B$2:$B$501,'SC Change Orders'!$B197,'SC Change Orders'!$F$2:$F$501,'SC Change Orders'!$F197)&gt;1),  "Same PO and Amount Added as another row — check for a restatement counted twice; ",""),""),""))</f>
        <v/>
      </c>
    </row>
    <row r="216" customFormat="false" ht="15" hidden="false" customHeight="false" outlineLevel="0" collapsed="false">
      <c r="A216" s="18" t="str">
        <f aca="false">IF(AND('SC Change Orders'!$A198="",'SC Change Orders'!$B198="",'SC Change Orders'!$C198=""),"",198)</f>
        <v/>
      </c>
      <c r="B216" s="31" t="str">
        <f aca="false">IF($A216="","",'SC Change Orders'!$A198)</f>
        <v/>
      </c>
      <c r="C216" s="18" t="str">
        <f aca="false">IF($A216="","",'SC Change Orders'!$B198)</f>
        <v/>
      </c>
      <c r="D216" s="32" t="str">
        <f aca="false">IF($A216="","",'SC Change Orders'!$C198)</f>
        <v/>
      </c>
      <c r="E216" s="31" t="str">
        <f aca="false">IF($A216="","",'SC Change Orders'!$D198)</f>
        <v/>
      </c>
      <c r="F216" s="33" t="str">
        <f aca="false">IF($A216="","",'SC Change Orders'!$E198)</f>
        <v/>
      </c>
      <c r="G216" s="33" t="str">
        <f aca="false">IF($A216="","",'SC Change Orders'!$F198)</f>
        <v/>
      </c>
      <c r="H216" s="33" t="str">
        <f aca="false">IF($A216="","",'SC Change Orders'!$G198)</f>
        <v/>
      </c>
      <c r="I216" s="34" t="str">
        <f aca="false">IF($A216="","",IF(AND(ISNUMBER('SC Change Orders'!$C198),'SC Change Orders'!$C198&gt;=Controls!$C$5,'SC Change Orders'!$C198&lt;=Controls!$C$6),"Yes","No"))</f>
        <v/>
      </c>
      <c r="J216" s="31" t="str">
        <f aca="false">IF($A216="","",IF($K216="","OK",$K216))</f>
        <v/>
      </c>
      <c r="K216" s="0" t="str">
        <f aca="false">IF($A216="","",IF(NOT(ISNUMBER('SC Change Orders'!$B198)),"PO not numeric — row is invisible to the tracker; ","")&amp;IF(NOT(ISNUMBER('SC Change Orders'!$C198)),"Date missing or text — row excluded; ",  IF(OR('SC Change Orders'!$C198&lt;Controls!$C$5,'SC Change Orders'!$C198&gt;Controls!$C$6),"Dated outside the FY window — excluded; ",""))&amp;IF(AND('SC Change Orders'!$E198&lt;&gt;"",NOT(ISNUMBER('SC Change Orders'!$E198))),"Original Amount held as text — ignored by MINIFS; ","")&amp;IF(AND('SC Change Orders'!$F198&lt;&gt;"",NOT(ISNUMBER('SC Change Orders'!$F198))),"Amount Added held as text — ignored by SUMIFS; ","")&amp;IF(ISNUMBER('SC Change Orders'!$E198),IF(ISNUMBER('SC Change Orders'!$F198),IF(ISNUMBER('SC Change Orders'!$G198),  IF('SC Change Orders'!$G198&gt;0,IF(ROUND('SC Change Orders'!$E198+'SC Change Orders'!$F198,2)&lt;&gt;ROUND('SC Change Orders'!$G198,2),  "Original + Added &lt;&gt; Total Line Cost Allotted; ",""),""),""),""),"")&amp;IF(AND(ISNUMBER('SC Change Orders'!$B198),COUNTIFS('SC Change Orders'!$B$2:$B$501,'SC Change Orders'!$B198,'SC Change Orders'!$C$2:$C$501,'SC Change Orders'!$C198,'SC Change Orders'!$D$2:$D$501,'SC Change Orders'!$D198,'SC Change Orders'!$F$2:$F$501,'SC Change Orders'!$F198,'SC Change Orders'!$E$2:$E$501,'SC Change Orders'!$E198)&gt;1),"Duplicate of another row — funds counted twice; ","")&amp;IF(ISNUMBER('SC Change Orders'!$F198),IF('SC Change Orders'!$F198&lt;&gt;0,IF(AND(ISNUMBER('SC Change Orders'!$B198),NOT(COUNTIFS('SC Change Orders'!$B$2:$B$501,'SC Change Orders'!$B198,'SC Change Orders'!$C$2:$C$501,'SC Change Orders'!$C198,'SC Change Orders'!$D$2:$D$501,'SC Change Orders'!$D198,'SC Change Orders'!$F$2:$F$501,'SC Change Orders'!$F198,'SC Change Orders'!$E$2:$E$501,'SC Change Orders'!$E198)&gt;1),COUNTIFS('SC Change Orders'!$B$2:$B$501,'SC Change Orders'!$B198,'SC Change Orders'!$F$2:$F$501,'SC Change Orders'!$F198)&gt;1),  "Same PO and Amount Added as another row — check for a restatement counted twice; ",""),""),""))</f>
        <v/>
      </c>
    </row>
    <row r="217" customFormat="false" ht="15" hidden="false" customHeight="false" outlineLevel="0" collapsed="false">
      <c r="A217" s="18" t="str">
        <f aca="false">IF(AND('SC Change Orders'!$A199="",'SC Change Orders'!$B199="",'SC Change Orders'!$C199=""),"",199)</f>
        <v/>
      </c>
      <c r="B217" s="31" t="str">
        <f aca="false">IF($A217="","",'SC Change Orders'!$A199)</f>
        <v/>
      </c>
      <c r="C217" s="18" t="str">
        <f aca="false">IF($A217="","",'SC Change Orders'!$B199)</f>
        <v/>
      </c>
      <c r="D217" s="32" t="str">
        <f aca="false">IF($A217="","",'SC Change Orders'!$C199)</f>
        <v/>
      </c>
      <c r="E217" s="31" t="str">
        <f aca="false">IF($A217="","",'SC Change Orders'!$D199)</f>
        <v/>
      </c>
      <c r="F217" s="33" t="str">
        <f aca="false">IF($A217="","",'SC Change Orders'!$E199)</f>
        <v/>
      </c>
      <c r="G217" s="33" t="str">
        <f aca="false">IF($A217="","",'SC Change Orders'!$F199)</f>
        <v/>
      </c>
      <c r="H217" s="33" t="str">
        <f aca="false">IF($A217="","",'SC Change Orders'!$G199)</f>
        <v/>
      </c>
      <c r="I217" s="34" t="str">
        <f aca="false">IF($A217="","",IF(AND(ISNUMBER('SC Change Orders'!$C199),'SC Change Orders'!$C199&gt;=Controls!$C$5,'SC Change Orders'!$C199&lt;=Controls!$C$6),"Yes","No"))</f>
        <v/>
      </c>
      <c r="J217" s="31" t="str">
        <f aca="false">IF($A217="","",IF($K217="","OK",$K217))</f>
        <v/>
      </c>
      <c r="K217" s="0" t="str">
        <f aca="false">IF($A217="","",IF(NOT(ISNUMBER('SC Change Orders'!$B199)),"PO not numeric — row is invisible to the tracker; ","")&amp;IF(NOT(ISNUMBER('SC Change Orders'!$C199)),"Date missing or text — row excluded; ",  IF(OR('SC Change Orders'!$C199&lt;Controls!$C$5,'SC Change Orders'!$C199&gt;Controls!$C$6),"Dated outside the FY window — excluded; ",""))&amp;IF(AND('SC Change Orders'!$E199&lt;&gt;"",NOT(ISNUMBER('SC Change Orders'!$E199))),"Original Amount held as text — ignored by MINIFS; ","")&amp;IF(AND('SC Change Orders'!$F199&lt;&gt;"",NOT(ISNUMBER('SC Change Orders'!$F199))),"Amount Added held as text — ignored by SUMIFS; ","")&amp;IF(ISNUMBER('SC Change Orders'!$E199),IF(ISNUMBER('SC Change Orders'!$F199),IF(ISNUMBER('SC Change Orders'!$G199),  IF('SC Change Orders'!$G199&gt;0,IF(ROUND('SC Change Orders'!$E199+'SC Change Orders'!$F199,2)&lt;&gt;ROUND('SC Change Orders'!$G199,2),  "Original + Added &lt;&gt; Total Line Cost Allotted; ",""),""),""),""),"")&amp;IF(AND(ISNUMBER('SC Change Orders'!$B199),COUNTIFS('SC Change Orders'!$B$2:$B$501,'SC Change Orders'!$B199,'SC Change Orders'!$C$2:$C$501,'SC Change Orders'!$C199,'SC Change Orders'!$D$2:$D$501,'SC Change Orders'!$D199,'SC Change Orders'!$F$2:$F$501,'SC Change Orders'!$F199,'SC Change Orders'!$E$2:$E$501,'SC Change Orders'!$E199)&gt;1),"Duplicate of another row — funds counted twice; ","")&amp;IF(ISNUMBER('SC Change Orders'!$F199),IF('SC Change Orders'!$F199&lt;&gt;0,IF(AND(ISNUMBER('SC Change Orders'!$B199),NOT(COUNTIFS('SC Change Orders'!$B$2:$B$501,'SC Change Orders'!$B199,'SC Change Orders'!$C$2:$C$501,'SC Change Orders'!$C199,'SC Change Orders'!$D$2:$D$501,'SC Change Orders'!$D199,'SC Change Orders'!$F$2:$F$501,'SC Change Orders'!$F199,'SC Change Orders'!$E$2:$E$501,'SC Change Orders'!$E199)&gt;1),COUNTIFS('SC Change Orders'!$B$2:$B$501,'SC Change Orders'!$B199,'SC Change Orders'!$F$2:$F$501,'SC Change Orders'!$F199)&gt;1),  "Same PO and Amount Added as another row — check for a restatement counted twice; ",""),""),""))</f>
        <v/>
      </c>
    </row>
    <row r="218" customFormat="false" ht="15" hidden="false" customHeight="false" outlineLevel="0" collapsed="false">
      <c r="A218" s="18" t="str">
        <f aca="false">IF(AND('SC Change Orders'!$A200="",'SC Change Orders'!$B200="",'SC Change Orders'!$C200=""),"",200)</f>
        <v/>
      </c>
      <c r="B218" s="31" t="str">
        <f aca="false">IF($A218="","",'SC Change Orders'!$A200)</f>
        <v/>
      </c>
      <c r="C218" s="18" t="str">
        <f aca="false">IF($A218="","",'SC Change Orders'!$B200)</f>
        <v/>
      </c>
      <c r="D218" s="32" t="str">
        <f aca="false">IF($A218="","",'SC Change Orders'!$C200)</f>
        <v/>
      </c>
      <c r="E218" s="31" t="str">
        <f aca="false">IF($A218="","",'SC Change Orders'!$D200)</f>
        <v/>
      </c>
      <c r="F218" s="33" t="str">
        <f aca="false">IF($A218="","",'SC Change Orders'!$E200)</f>
        <v/>
      </c>
      <c r="G218" s="33" t="str">
        <f aca="false">IF($A218="","",'SC Change Orders'!$F200)</f>
        <v/>
      </c>
      <c r="H218" s="33" t="str">
        <f aca="false">IF($A218="","",'SC Change Orders'!$G200)</f>
        <v/>
      </c>
      <c r="I218" s="34" t="str">
        <f aca="false">IF($A218="","",IF(AND(ISNUMBER('SC Change Orders'!$C200),'SC Change Orders'!$C200&gt;=Controls!$C$5,'SC Change Orders'!$C200&lt;=Controls!$C$6),"Yes","No"))</f>
        <v/>
      </c>
      <c r="J218" s="31" t="str">
        <f aca="false">IF($A218="","",IF($K218="","OK",$K218))</f>
        <v/>
      </c>
      <c r="K218" s="0" t="str">
        <f aca="false">IF($A218="","",IF(NOT(ISNUMBER('SC Change Orders'!$B200)),"PO not numeric — row is invisible to the tracker; ","")&amp;IF(NOT(ISNUMBER('SC Change Orders'!$C200)),"Date missing or text — row excluded; ",  IF(OR('SC Change Orders'!$C200&lt;Controls!$C$5,'SC Change Orders'!$C200&gt;Controls!$C$6),"Dated outside the FY window — excluded; ",""))&amp;IF(AND('SC Change Orders'!$E200&lt;&gt;"",NOT(ISNUMBER('SC Change Orders'!$E200))),"Original Amount held as text — ignored by MINIFS; ","")&amp;IF(AND('SC Change Orders'!$F200&lt;&gt;"",NOT(ISNUMBER('SC Change Orders'!$F200))),"Amount Added held as text — ignored by SUMIFS; ","")&amp;IF(ISNUMBER('SC Change Orders'!$E200),IF(ISNUMBER('SC Change Orders'!$F200),IF(ISNUMBER('SC Change Orders'!$G200),  IF('SC Change Orders'!$G200&gt;0,IF(ROUND('SC Change Orders'!$E200+'SC Change Orders'!$F200,2)&lt;&gt;ROUND('SC Change Orders'!$G200,2),  "Original + Added &lt;&gt; Total Line Cost Allotted; ",""),""),""),""),"")&amp;IF(AND(ISNUMBER('SC Change Orders'!$B200),COUNTIFS('SC Change Orders'!$B$2:$B$501,'SC Change Orders'!$B200,'SC Change Orders'!$C$2:$C$501,'SC Change Orders'!$C200,'SC Change Orders'!$D$2:$D$501,'SC Change Orders'!$D200,'SC Change Orders'!$F$2:$F$501,'SC Change Orders'!$F200,'SC Change Orders'!$E$2:$E$501,'SC Change Orders'!$E200)&gt;1),"Duplicate of another row — funds counted twice; ","")&amp;IF(ISNUMBER('SC Change Orders'!$F200),IF('SC Change Orders'!$F200&lt;&gt;0,IF(AND(ISNUMBER('SC Change Orders'!$B200),NOT(COUNTIFS('SC Change Orders'!$B$2:$B$501,'SC Change Orders'!$B200,'SC Change Orders'!$C$2:$C$501,'SC Change Orders'!$C200,'SC Change Orders'!$D$2:$D$501,'SC Change Orders'!$D200,'SC Change Orders'!$F$2:$F$501,'SC Change Orders'!$F200,'SC Change Orders'!$E$2:$E$501,'SC Change Orders'!$E200)&gt;1),COUNTIFS('SC Change Orders'!$B$2:$B$501,'SC Change Orders'!$B200,'SC Change Orders'!$F$2:$F$501,'SC Change Orders'!$F200)&gt;1),  "Same PO and Amount Added as another row — check for a restatement counted twice; ",""),""),""))</f>
        <v/>
      </c>
    </row>
    <row r="219" customFormat="false" ht="15" hidden="false" customHeight="false" outlineLevel="0" collapsed="false">
      <c r="A219" s="18" t="str">
        <f aca="false">IF(AND('SC Change Orders'!$A201="",'SC Change Orders'!$B201="",'SC Change Orders'!$C201=""),"",201)</f>
        <v/>
      </c>
      <c r="B219" s="31" t="str">
        <f aca="false">IF($A219="","",'SC Change Orders'!$A201)</f>
        <v/>
      </c>
      <c r="C219" s="18" t="str">
        <f aca="false">IF($A219="","",'SC Change Orders'!$B201)</f>
        <v/>
      </c>
      <c r="D219" s="32" t="str">
        <f aca="false">IF($A219="","",'SC Change Orders'!$C201)</f>
        <v/>
      </c>
      <c r="E219" s="31" t="str">
        <f aca="false">IF($A219="","",'SC Change Orders'!$D201)</f>
        <v/>
      </c>
      <c r="F219" s="33" t="str">
        <f aca="false">IF($A219="","",'SC Change Orders'!$E201)</f>
        <v/>
      </c>
      <c r="G219" s="33" t="str">
        <f aca="false">IF($A219="","",'SC Change Orders'!$F201)</f>
        <v/>
      </c>
      <c r="H219" s="33" t="str">
        <f aca="false">IF($A219="","",'SC Change Orders'!$G201)</f>
        <v/>
      </c>
      <c r="I219" s="34" t="str">
        <f aca="false">IF($A219="","",IF(AND(ISNUMBER('SC Change Orders'!$C201),'SC Change Orders'!$C201&gt;=Controls!$C$5,'SC Change Orders'!$C201&lt;=Controls!$C$6),"Yes","No"))</f>
        <v/>
      </c>
      <c r="J219" s="31" t="str">
        <f aca="false">IF($A219="","",IF($K219="","OK",$K219))</f>
        <v/>
      </c>
      <c r="K219" s="0" t="str">
        <f aca="false">IF($A219="","",IF(NOT(ISNUMBER('SC Change Orders'!$B201)),"PO not numeric — row is invisible to the tracker; ","")&amp;IF(NOT(ISNUMBER('SC Change Orders'!$C201)),"Date missing or text — row excluded; ",  IF(OR('SC Change Orders'!$C201&lt;Controls!$C$5,'SC Change Orders'!$C201&gt;Controls!$C$6),"Dated outside the FY window — excluded; ",""))&amp;IF(AND('SC Change Orders'!$E201&lt;&gt;"",NOT(ISNUMBER('SC Change Orders'!$E201))),"Original Amount held as text — ignored by MINIFS; ","")&amp;IF(AND('SC Change Orders'!$F201&lt;&gt;"",NOT(ISNUMBER('SC Change Orders'!$F201))),"Amount Added held as text — ignored by SUMIFS; ","")&amp;IF(ISNUMBER('SC Change Orders'!$E201),IF(ISNUMBER('SC Change Orders'!$F201),IF(ISNUMBER('SC Change Orders'!$G201),  IF('SC Change Orders'!$G201&gt;0,IF(ROUND('SC Change Orders'!$E201+'SC Change Orders'!$F201,2)&lt;&gt;ROUND('SC Change Orders'!$G201,2),  "Original + Added &lt;&gt; Total Line Cost Allotted; ",""),""),""),""),"")&amp;IF(AND(ISNUMBER('SC Change Orders'!$B201),COUNTIFS('SC Change Orders'!$B$2:$B$501,'SC Change Orders'!$B201,'SC Change Orders'!$C$2:$C$501,'SC Change Orders'!$C201,'SC Change Orders'!$D$2:$D$501,'SC Change Orders'!$D201,'SC Change Orders'!$F$2:$F$501,'SC Change Orders'!$F201,'SC Change Orders'!$E$2:$E$501,'SC Change Orders'!$E201)&gt;1),"Duplicate of another row — funds counted twice; ","")&amp;IF(ISNUMBER('SC Change Orders'!$F201),IF('SC Change Orders'!$F201&lt;&gt;0,IF(AND(ISNUMBER('SC Change Orders'!$B201),NOT(COUNTIFS('SC Change Orders'!$B$2:$B$501,'SC Change Orders'!$B201,'SC Change Orders'!$C$2:$C$501,'SC Change Orders'!$C201,'SC Change Orders'!$D$2:$D$501,'SC Change Orders'!$D201,'SC Change Orders'!$F$2:$F$501,'SC Change Orders'!$F201,'SC Change Orders'!$E$2:$E$501,'SC Change Orders'!$E201)&gt;1),COUNTIFS('SC Change Orders'!$B$2:$B$501,'SC Change Orders'!$B201,'SC Change Orders'!$F$2:$F$501,'SC Change Orders'!$F201)&gt;1),  "Same PO and Amount Added as another row — check for a restatement counted twice; ",""),""),""))</f>
        <v/>
      </c>
    </row>
    <row r="220" customFormat="false" ht="15" hidden="false" customHeight="false" outlineLevel="0" collapsed="false">
      <c r="A220" s="18" t="str">
        <f aca="false">IF(AND('SC Change Orders'!$A202="",'SC Change Orders'!$B202="",'SC Change Orders'!$C202=""),"",202)</f>
        <v/>
      </c>
      <c r="B220" s="31" t="str">
        <f aca="false">IF($A220="","",'SC Change Orders'!$A202)</f>
        <v/>
      </c>
      <c r="C220" s="18" t="str">
        <f aca="false">IF($A220="","",'SC Change Orders'!$B202)</f>
        <v/>
      </c>
      <c r="D220" s="32" t="str">
        <f aca="false">IF($A220="","",'SC Change Orders'!$C202)</f>
        <v/>
      </c>
      <c r="E220" s="31" t="str">
        <f aca="false">IF($A220="","",'SC Change Orders'!$D202)</f>
        <v/>
      </c>
      <c r="F220" s="33" t="str">
        <f aca="false">IF($A220="","",'SC Change Orders'!$E202)</f>
        <v/>
      </c>
      <c r="G220" s="33" t="str">
        <f aca="false">IF($A220="","",'SC Change Orders'!$F202)</f>
        <v/>
      </c>
      <c r="H220" s="33" t="str">
        <f aca="false">IF($A220="","",'SC Change Orders'!$G202)</f>
        <v/>
      </c>
      <c r="I220" s="34" t="str">
        <f aca="false">IF($A220="","",IF(AND(ISNUMBER('SC Change Orders'!$C202),'SC Change Orders'!$C202&gt;=Controls!$C$5,'SC Change Orders'!$C202&lt;=Controls!$C$6),"Yes","No"))</f>
        <v/>
      </c>
      <c r="J220" s="31" t="str">
        <f aca="false">IF($A220="","",IF($K220="","OK",$K220))</f>
        <v/>
      </c>
      <c r="K220" s="0" t="str">
        <f aca="false">IF($A220="","",IF(NOT(ISNUMBER('SC Change Orders'!$B202)),"PO not numeric — row is invisible to the tracker; ","")&amp;IF(NOT(ISNUMBER('SC Change Orders'!$C202)),"Date missing or text — row excluded; ",  IF(OR('SC Change Orders'!$C202&lt;Controls!$C$5,'SC Change Orders'!$C202&gt;Controls!$C$6),"Dated outside the FY window — excluded; ",""))&amp;IF(AND('SC Change Orders'!$E202&lt;&gt;"",NOT(ISNUMBER('SC Change Orders'!$E202))),"Original Amount held as text — ignored by MINIFS; ","")&amp;IF(AND('SC Change Orders'!$F202&lt;&gt;"",NOT(ISNUMBER('SC Change Orders'!$F202))),"Amount Added held as text — ignored by SUMIFS; ","")&amp;IF(ISNUMBER('SC Change Orders'!$E202),IF(ISNUMBER('SC Change Orders'!$F202),IF(ISNUMBER('SC Change Orders'!$G202),  IF('SC Change Orders'!$G202&gt;0,IF(ROUND('SC Change Orders'!$E202+'SC Change Orders'!$F202,2)&lt;&gt;ROUND('SC Change Orders'!$G202,2),  "Original + Added &lt;&gt; Total Line Cost Allotted; ",""),""),""),""),"")&amp;IF(AND(ISNUMBER('SC Change Orders'!$B202),COUNTIFS('SC Change Orders'!$B$2:$B$501,'SC Change Orders'!$B202,'SC Change Orders'!$C$2:$C$501,'SC Change Orders'!$C202,'SC Change Orders'!$D$2:$D$501,'SC Change Orders'!$D202,'SC Change Orders'!$F$2:$F$501,'SC Change Orders'!$F202,'SC Change Orders'!$E$2:$E$501,'SC Change Orders'!$E202)&gt;1),"Duplicate of another row — funds counted twice; ","")&amp;IF(ISNUMBER('SC Change Orders'!$F202),IF('SC Change Orders'!$F202&lt;&gt;0,IF(AND(ISNUMBER('SC Change Orders'!$B202),NOT(COUNTIFS('SC Change Orders'!$B$2:$B$501,'SC Change Orders'!$B202,'SC Change Orders'!$C$2:$C$501,'SC Change Orders'!$C202,'SC Change Orders'!$D$2:$D$501,'SC Change Orders'!$D202,'SC Change Orders'!$F$2:$F$501,'SC Change Orders'!$F202,'SC Change Orders'!$E$2:$E$501,'SC Change Orders'!$E202)&gt;1),COUNTIFS('SC Change Orders'!$B$2:$B$501,'SC Change Orders'!$B202,'SC Change Orders'!$F$2:$F$501,'SC Change Orders'!$F202)&gt;1),  "Same PO and Amount Added as another row — check for a restatement counted twice; ",""),""),""))</f>
        <v/>
      </c>
    </row>
    <row r="221" customFormat="false" ht="15" hidden="false" customHeight="false" outlineLevel="0" collapsed="false">
      <c r="A221" s="18" t="str">
        <f aca="false">IF(AND('SC Change Orders'!$A203="",'SC Change Orders'!$B203="",'SC Change Orders'!$C203=""),"",203)</f>
        <v/>
      </c>
      <c r="B221" s="31" t="str">
        <f aca="false">IF($A221="","",'SC Change Orders'!$A203)</f>
        <v/>
      </c>
      <c r="C221" s="18" t="str">
        <f aca="false">IF($A221="","",'SC Change Orders'!$B203)</f>
        <v/>
      </c>
      <c r="D221" s="32" t="str">
        <f aca="false">IF($A221="","",'SC Change Orders'!$C203)</f>
        <v/>
      </c>
      <c r="E221" s="31" t="str">
        <f aca="false">IF($A221="","",'SC Change Orders'!$D203)</f>
        <v/>
      </c>
      <c r="F221" s="33" t="str">
        <f aca="false">IF($A221="","",'SC Change Orders'!$E203)</f>
        <v/>
      </c>
      <c r="G221" s="33" t="str">
        <f aca="false">IF($A221="","",'SC Change Orders'!$F203)</f>
        <v/>
      </c>
      <c r="H221" s="33" t="str">
        <f aca="false">IF($A221="","",'SC Change Orders'!$G203)</f>
        <v/>
      </c>
      <c r="I221" s="34" t="str">
        <f aca="false">IF($A221="","",IF(AND(ISNUMBER('SC Change Orders'!$C203),'SC Change Orders'!$C203&gt;=Controls!$C$5,'SC Change Orders'!$C203&lt;=Controls!$C$6),"Yes","No"))</f>
        <v/>
      </c>
      <c r="J221" s="31" t="str">
        <f aca="false">IF($A221="","",IF($K221="","OK",$K221))</f>
        <v/>
      </c>
      <c r="K221" s="0" t="str">
        <f aca="false">IF($A221="","",IF(NOT(ISNUMBER('SC Change Orders'!$B203)),"PO not numeric — row is invisible to the tracker; ","")&amp;IF(NOT(ISNUMBER('SC Change Orders'!$C203)),"Date missing or text — row excluded; ",  IF(OR('SC Change Orders'!$C203&lt;Controls!$C$5,'SC Change Orders'!$C203&gt;Controls!$C$6),"Dated outside the FY window — excluded; ",""))&amp;IF(AND('SC Change Orders'!$E203&lt;&gt;"",NOT(ISNUMBER('SC Change Orders'!$E203))),"Original Amount held as text — ignored by MINIFS; ","")&amp;IF(AND('SC Change Orders'!$F203&lt;&gt;"",NOT(ISNUMBER('SC Change Orders'!$F203))),"Amount Added held as text — ignored by SUMIFS; ","")&amp;IF(ISNUMBER('SC Change Orders'!$E203),IF(ISNUMBER('SC Change Orders'!$F203),IF(ISNUMBER('SC Change Orders'!$G203),  IF('SC Change Orders'!$G203&gt;0,IF(ROUND('SC Change Orders'!$E203+'SC Change Orders'!$F203,2)&lt;&gt;ROUND('SC Change Orders'!$G203,2),  "Original + Added &lt;&gt; Total Line Cost Allotted; ",""),""),""),""),"")&amp;IF(AND(ISNUMBER('SC Change Orders'!$B203),COUNTIFS('SC Change Orders'!$B$2:$B$501,'SC Change Orders'!$B203,'SC Change Orders'!$C$2:$C$501,'SC Change Orders'!$C203,'SC Change Orders'!$D$2:$D$501,'SC Change Orders'!$D203,'SC Change Orders'!$F$2:$F$501,'SC Change Orders'!$F203,'SC Change Orders'!$E$2:$E$501,'SC Change Orders'!$E203)&gt;1),"Duplicate of another row — funds counted twice; ","")&amp;IF(ISNUMBER('SC Change Orders'!$F203),IF('SC Change Orders'!$F203&lt;&gt;0,IF(AND(ISNUMBER('SC Change Orders'!$B203),NOT(COUNTIFS('SC Change Orders'!$B$2:$B$501,'SC Change Orders'!$B203,'SC Change Orders'!$C$2:$C$501,'SC Change Orders'!$C203,'SC Change Orders'!$D$2:$D$501,'SC Change Orders'!$D203,'SC Change Orders'!$F$2:$F$501,'SC Change Orders'!$F203,'SC Change Orders'!$E$2:$E$501,'SC Change Orders'!$E203)&gt;1),COUNTIFS('SC Change Orders'!$B$2:$B$501,'SC Change Orders'!$B203,'SC Change Orders'!$F$2:$F$501,'SC Change Orders'!$F203)&gt;1),  "Same PO and Amount Added as another row — check for a restatement counted twice; ",""),""),""))</f>
        <v/>
      </c>
    </row>
    <row r="222" customFormat="false" ht="15" hidden="false" customHeight="false" outlineLevel="0" collapsed="false">
      <c r="A222" s="18" t="str">
        <f aca="false">IF(AND('SC Change Orders'!$A204="",'SC Change Orders'!$B204="",'SC Change Orders'!$C204=""),"",204)</f>
        <v/>
      </c>
      <c r="B222" s="31" t="str">
        <f aca="false">IF($A222="","",'SC Change Orders'!$A204)</f>
        <v/>
      </c>
      <c r="C222" s="18" t="str">
        <f aca="false">IF($A222="","",'SC Change Orders'!$B204)</f>
        <v/>
      </c>
      <c r="D222" s="32" t="str">
        <f aca="false">IF($A222="","",'SC Change Orders'!$C204)</f>
        <v/>
      </c>
      <c r="E222" s="31" t="str">
        <f aca="false">IF($A222="","",'SC Change Orders'!$D204)</f>
        <v/>
      </c>
      <c r="F222" s="33" t="str">
        <f aca="false">IF($A222="","",'SC Change Orders'!$E204)</f>
        <v/>
      </c>
      <c r="G222" s="33" t="str">
        <f aca="false">IF($A222="","",'SC Change Orders'!$F204)</f>
        <v/>
      </c>
      <c r="H222" s="33" t="str">
        <f aca="false">IF($A222="","",'SC Change Orders'!$G204)</f>
        <v/>
      </c>
      <c r="I222" s="34" t="str">
        <f aca="false">IF($A222="","",IF(AND(ISNUMBER('SC Change Orders'!$C204),'SC Change Orders'!$C204&gt;=Controls!$C$5,'SC Change Orders'!$C204&lt;=Controls!$C$6),"Yes","No"))</f>
        <v/>
      </c>
      <c r="J222" s="31" t="str">
        <f aca="false">IF($A222="","",IF($K222="","OK",$K222))</f>
        <v/>
      </c>
      <c r="K222" s="0" t="str">
        <f aca="false">IF($A222="","",IF(NOT(ISNUMBER('SC Change Orders'!$B204)),"PO not numeric — row is invisible to the tracker; ","")&amp;IF(NOT(ISNUMBER('SC Change Orders'!$C204)),"Date missing or text — row excluded; ",  IF(OR('SC Change Orders'!$C204&lt;Controls!$C$5,'SC Change Orders'!$C204&gt;Controls!$C$6),"Dated outside the FY window — excluded; ",""))&amp;IF(AND('SC Change Orders'!$E204&lt;&gt;"",NOT(ISNUMBER('SC Change Orders'!$E204))),"Original Amount held as text — ignored by MINIFS; ","")&amp;IF(AND('SC Change Orders'!$F204&lt;&gt;"",NOT(ISNUMBER('SC Change Orders'!$F204))),"Amount Added held as text — ignored by SUMIFS; ","")&amp;IF(ISNUMBER('SC Change Orders'!$E204),IF(ISNUMBER('SC Change Orders'!$F204),IF(ISNUMBER('SC Change Orders'!$G204),  IF('SC Change Orders'!$G204&gt;0,IF(ROUND('SC Change Orders'!$E204+'SC Change Orders'!$F204,2)&lt;&gt;ROUND('SC Change Orders'!$G204,2),  "Original + Added &lt;&gt; Total Line Cost Allotted; ",""),""),""),""),"")&amp;IF(AND(ISNUMBER('SC Change Orders'!$B204),COUNTIFS('SC Change Orders'!$B$2:$B$501,'SC Change Orders'!$B204,'SC Change Orders'!$C$2:$C$501,'SC Change Orders'!$C204,'SC Change Orders'!$D$2:$D$501,'SC Change Orders'!$D204,'SC Change Orders'!$F$2:$F$501,'SC Change Orders'!$F204,'SC Change Orders'!$E$2:$E$501,'SC Change Orders'!$E204)&gt;1),"Duplicate of another row — funds counted twice; ","")&amp;IF(ISNUMBER('SC Change Orders'!$F204),IF('SC Change Orders'!$F204&lt;&gt;0,IF(AND(ISNUMBER('SC Change Orders'!$B204),NOT(COUNTIFS('SC Change Orders'!$B$2:$B$501,'SC Change Orders'!$B204,'SC Change Orders'!$C$2:$C$501,'SC Change Orders'!$C204,'SC Change Orders'!$D$2:$D$501,'SC Change Orders'!$D204,'SC Change Orders'!$F$2:$F$501,'SC Change Orders'!$F204,'SC Change Orders'!$E$2:$E$501,'SC Change Orders'!$E204)&gt;1),COUNTIFS('SC Change Orders'!$B$2:$B$501,'SC Change Orders'!$B204,'SC Change Orders'!$F$2:$F$501,'SC Change Orders'!$F204)&gt;1),  "Same PO and Amount Added as another row — check for a restatement counted twice; ",""),""),""))</f>
        <v/>
      </c>
    </row>
    <row r="223" customFormat="false" ht="15" hidden="false" customHeight="false" outlineLevel="0" collapsed="false">
      <c r="A223" s="18" t="str">
        <f aca="false">IF(AND('SC Change Orders'!$A205="",'SC Change Orders'!$B205="",'SC Change Orders'!$C205=""),"",205)</f>
        <v/>
      </c>
      <c r="B223" s="31" t="str">
        <f aca="false">IF($A223="","",'SC Change Orders'!$A205)</f>
        <v/>
      </c>
      <c r="C223" s="18" t="str">
        <f aca="false">IF($A223="","",'SC Change Orders'!$B205)</f>
        <v/>
      </c>
      <c r="D223" s="32" t="str">
        <f aca="false">IF($A223="","",'SC Change Orders'!$C205)</f>
        <v/>
      </c>
      <c r="E223" s="31" t="str">
        <f aca="false">IF($A223="","",'SC Change Orders'!$D205)</f>
        <v/>
      </c>
      <c r="F223" s="33" t="str">
        <f aca="false">IF($A223="","",'SC Change Orders'!$E205)</f>
        <v/>
      </c>
      <c r="G223" s="33" t="str">
        <f aca="false">IF($A223="","",'SC Change Orders'!$F205)</f>
        <v/>
      </c>
      <c r="H223" s="33" t="str">
        <f aca="false">IF($A223="","",'SC Change Orders'!$G205)</f>
        <v/>
      </c>
      <c r="I223" s="34" t="str">
        <f aca="false">IF($A223="","",IF(AND(ISNUMBER('SC Change Orders'!$C205),'SC Change Orders'!$C205&gt;=Controls!$C$5,'SC Change Orders'!$C205&lt;=Controls!$C$6),"Yes","No"))</f>
        <v/>
      </c>
      <c r="J223" s="31" t="str">
        <f aca="false">IF($A223="","",IF($K223="","OK",$K223))</f>
        <v/>
      </c>
      <c r="K223" s="0" t="str">
        <f aca="false">IF($A223="","",IF(NOT(ISNUMBER('SC Change Orders'!$B205)),"PO not numeric — row is invisible to the tracker; ","")&amp;IF(NOT(ISNUMBER('SC Change Orders'!$C205)),"Date missing or text — row excluded; ",  IF(OR('SC Change Orders'!$C205&lt;Controls!$C$5,'SC Change Orders'!$C205&gt;Controls!$C$6),"Dated outside the FY window — excluded; ",""))&amp;IF(AND('SC Change Orders'!$E205&lt;&gt;"",NOT(ISNUMBER('SC Change Orders'!$E205))),"Original Amount held as text — ignored by MINIFS; ","")&amp;IF(AND('SC Change Orders'!$F205&lt;&gt;"",NOT(ISNUMBER('SC Change Orders'!$F205))),"Amount Added held as text — ignored by SUMIFS; ","")&amp;IF(ISNUMBER('SC Change Orders'!$E205),IF(ISNUMBER('SC Change Orders'!$F205),IF(ISNUMBER('SC Change Orders'!$G205),  IF('SC Change Orders'!$G205&gt;0,IF(ROUND('SC Change Orders'!$E205+'SC Change Orders'!$F205,2)&lt;&gt;ROUND('SC Change Orders'!$G205,2),  "Original + Added &lt;&gt; Total Line Cost Allotted; ",""),""),""),""),"")&amp;IF(AND(ISNUMBER('SC Change Orders'!$B205),COUNTIFS('SC Change Orders'!$B$2:$B$501,'SC Change Orders'!$B205,'SC Change Orders'!$C$2:$C$501,'SC Change Orders'!$C205,'SC Change Orders'!$D$2:$D$501,'SC Change Orders'!$D205,'SC Change Orders'!$F$2:$F$501,'SC Change Orders'!$F205,'SC Change Orders'!$E$2:$E$501,'SC Change Orders'!$E205)&gt;1),"Duplicate of another row — funds counted twice; ","")&amp;IF(ISNUMBER('SC Change Orders'!$F205),IF('SC Change Orders'!$F205&lt;&gt;0,IF(AND(ISNUMBER('SC Change Orders'!$B205),NOT(COUNTIFS('SC Change Orders'!$B$2:$B$501,'SC Change Orders'!$B205,'SC Change Orders'!$C$2:$C$501,'SC Change Orders'!$C205,'SC Change Orders'!$D$2:$D$501,'SC Change Orders'!$D205,'SC Change Orders'!$F$2:$F$501,'SC Change Orders'!$F205,'SC Change Orders'!$E$2:$E$501,'SC Change Orders'!$E205)&gt;1),COUNTIFS('SC Change Orders'!$B$2:$B$501,'SC Change Orders'!$B205,'SC Change Orders'!$F$2:$F$501,'SC Change Orders'!$F205)&gt;1),  "Same PO and Amount Added as another row — check for a restatement counted twice; ",""),""),""))</f>
        <v/>
      </c>
    </row>
    <row r="224" customFormat="false" ht="15" hidden="false" customHeight="false" outlineLevel="0" collapsed="false">
      <c r="A224" s="18" t="str">
        <f aca="false">IF(AND('SC Change Orders'!$A206="",'SC Change Orders'!$B206="",'SC Change Orders'!$C206=""),"",206)</f>
        <v/>
      </c>
      <c r="B224" s="31" t="str">
        <f aca="false">IF($A224="","",'SC Change Orders'!$A206)</f>
        <v/>
      </c>
      <c r="C224" s="18" t="str">
        <f aca="false">IF($A224="","",'SC Change Orders'!$B206)</f>
        <v/>
      </c>
      <c r="D224" s="32" t="str">
        <f aca="false">IF($A224="","",'SC Change Orders'!$C206)</f>
        <v/>
      </c>
      <c r="E224" s="31" t="str">
        <f aca="false">IF($A224="","",'SC Change Orders'!$D206)</f>
        <v/>
      </c>
      <c r="F224" s="33" t="str">
        <f aca="false">IF($A224="","",'SC Change Orders'!$E206)</f>
        <v/>
      </c>
      <c r="G224" s="33" t="str">
        <f aca="false">IF($A224="","",'SC Change Orders'!$F206)</f>
        <v/>
      </c>
      <c r="H224" s="33" t="str">
        <f aca="false">IF($A224="","",'SC Change Orders'!$G206)</f>
        <v/>
      </c>
      <c r="I224" s="34" t="str">
        <f aca="false">IF($A224="","",IF(AND(ISNUMBER('SC Change Orders'!$C206),'SC Change Orders'!$C206&gt;=Controls!$C$5,'SC Change Orders'!$C206&lt;=Controls!$C$6),"Yes","No"))</f>
        <v/>
      </c>
      <c r="J224" s="31" t="str">
        <f aca="false">IF($A224="","",IF($K224="","OK",$K224))</f>
        <v/>
      </c>
      <c r="K224" s="0" t="str">
        <f aca="false">IF($A224="","",IF(NOT(ISNUMBER('SC Change Orders'!$B206)),"PO not numeric — row is invisible to the tracker; ","")&amp;IF(NOT(ISNUMBER('SC Change Orders'!$C206)),"Date missing or text — row excluded; ",  IF(OR('SC Change Orders'!$C206&lt;Controls!$C$5,'SC Change Orders'!$C206&gt;Controls!$C$6),"Dated outside the FY window — excluded; ",""))&amp;IF(AND('SC Change Orders'!$E206&lt;&gt;"",NOT(ISNUMBER('SC Change Orders'!$E206))),"Original Amount held as text — ignored by MINIFS; ","")&amp;IF(AND('SC Change Orders'!$F206&lt;&gt;"",NOT(ISNUMBER('SC Change Orders'!$F206))),"Amount Added held as text — ignored by SUMIFS; ","")&amp;IF(ISNUMBER('SC Change Orders'!$E206),IF(ISNUMBER('SC Change Orders'!$F206),IF(ISNUMBER('SC Change Orders'!$G206),  IF('SC Change Orders'!$G206&gt;0,IF(ROUND('SC Change Orders'!$E206+'SC Change Orders'!$F206,2)&lt;&gt;ROUND('SC Change Orders'!$G206,2),  "Original + Added &lt;&gt; Total Line Cost Allotted; ",""),""),""),""),"")&amp;IF(AND(ISNUMBER('SC Change Orders'!$B206),COUNTIFS('SC Change Orders'!$B$2:$B$501,'SC Change Orders'!$B206,'SC Change Orders'!$C$2:$C$501,'SC Change Orders'!$C206,'SC Change Orders'!$D$2:$D$501,'SC Change Orders'!$D206,'SC Change Orders'!$F$2:$F$501,'SC Change Orders'!$F206,'SC Change Orders'!$E$2:$E$501,'SC Change Orders'!$E206)&gt;1),"Duplicate of another row — funds counted twice; ","")&amp;IF(ISNUMBER('SC Change Orders'!$F206),IF('SC Change Orders'!$F206&lt;&gt;0,IF(AND(ISNUMBER('SC Change Orders'!$B206),NOT(COUNTIFS('SC Change Orders'!$B$2:$B$501,'SC Change Orders'!$B206,'SC Change Orders'!$C$2:$C$501,'SC Change Orders'!$C206,'SC Change Orders'!$D$2:$D$501,'SC Change Orders'!$D206,'SC Change Orders'!$F$2:$F$501,'SC Change Orders'!$F206,'SC Change Orders'!$E$2:$E$501,'SC Change Orders'!$E206)&gt;1),COUNTIFS('SC Change Orders'!$B$2:$B$501,'SC Change Orders'!$B206,'SC Change Orders'!$F$2:$F$501,'SC Change Orders'!$F206)&gt;1),  "Same PO and Amount Added as another row — check for a restatement counted twice; ",""),""),""))</f>
        <v/>
      </c>
    </row>
    <row r="225" customFormat="false" ht="15" hidden="false" customHeight="false" outlineLevel="0" collapsed="false">
      <c r="A225" s="18" t="str">
        <f aca="false">IF(AND('SC Change Orders'!$A207="",'SC Change Orders'!$B207="",'SC Change Orders'!$C207=""),"",207)</f>
        <v/>
      </c>
      <c r="B225" s="31" t="str">
        <f aca="false">IF($A225="","",'SC Change Orders'!$A207)</f>
        <v/>
      </c>
      <c r="C225" s="18" t="str">
        <f aca="false">IF($A225="","",'SC Change Orders'!$B207)</f>
        <v/>
      </c>
      <c r="D225" s="32" t="str">
        <f aca="false">IF($A225="","",'SC Change Orders'!$C207)</f>
        <v/>
      </c>
      <c r="E225" s="31" t="str">
        <f aca="false">IF($A225="","",'SC Change Orders'!$D207)</f>
        <v/>
      </c>
      <c r="F225" s="33" t="str">
        <f aca="false">IF($A225="","",'SC Change Orders'!$E207)</f>
        <v/>
      </c>
      <c r="G225" s="33" t="str">
        <f aca="false">IF($A225="","",'SC Change Orders'!$F207)</f>
        <v/>
      </c>
      <c r="H225" s="33" t="str">
        <f aca="false">IF($A225="","",'SC Change Orders'!$G207)</f>
        <v/>
      </c>
      <c r="I225" s="34" t="str">
        <f aca="false">IF($A225="","",IF(AND(ISNUMBER('SC Change Orders'!$C207),'SC Change Orders'!$C207&gt;=Controls!$C$5,'SC Change Orders'!$C207&lt;=Controls!$C$6),"Yes","No"))</f>
        <v/>
      </c>
      <c r="J225" s="31" t="str">
        <f aca="false">IF($A225="","",IF($K225="","OK",$K225))</f>
        <v/>
      </c>
      <c r="K225" s="0" t="str">
        <f aca="false">IF($A225="","",IF(NOT(ISNUMBER('SC Change Orders'!$B207)),"PO not numeric — row is invisible to the tracker; ","")&amp;IF(NOT(ISNUMBER('SC Change Orders'!$C207)),"Date missing or text — row excluded; ",  IF(OR('SC Change Orders'!$C207&lt;Controls!$C$5,'SC Change Orders'!$C207&gt;Controls!$C$6),"Dated outside the FY window — excluded; ",""))&amp;IF(AND('SC Change Orders'!$E207&lt;&gt;"",NOT(ISNUMBER('SC Change Orders'!$E207))),"Original Amount held as text — ignored by MINIFS; ","")&amp;IF(AND('SC Change Orders'!$F207&lt;&gt;"",NOT(ISNUMBER('SC Change Orders'!$F207))),"Amount Added held as text — ignored by SUMIFS; ","")&amp;IF(ISNUMBER('SC Change Orders'!$E207),IF(ISNUMBER('SC Change Orders'!$F207),IF(ISNUMBER('SC Change Orders'!$G207),  IF('SC Change Orders'!$G207&gt;0,IF(ROUND('SC Change Orders'!$E207+'SC Change Orders'!$F207,2)&lt;&gt;ROUND('SC Change Orders'!$G207,2),  "Original + Added &lt;&gt; Total Line Cost Allotted; ",""),""),""),""),"")&amp;IF(AND(ISNUMBER('SC Change Orders'!$B207),COUNTIFS('SC Change Orders'!$B$2:$B$501,'SC Change Orders'!$B207,'SC Change Orders'!$C$2:$C$501,'SC Change Orders'!$C207,'SC Change Orders'!$D$2:$D$501,'SC Change Orders'!$D207,'SC Change Orders'!$F$2:$F$501,'SC Change Orders'!$F207,'SC Change Orders'!$E$2:$E$501,'SC Change Orders'!$E207)&gt;1),"Duplicate of another row — funds counted twice; ","")&amp;IF(ISNUMBER('SC Change Orders'!$F207),IF('SC Change Orders'!$F207&lt;&gt;0,IF(AND(ISNUMBER('SC Change Orders'!$B207),NOT(COUNTIFS('SC Change Orders'!$B$2:$B$501,'SC Change Orders'!$B207,'SC Change Orders'!$C$2:$C$501,'SC Change Orders'!$C207,'SC Change Orders'!$D$2:$D$501,'SC Change Orders'!$D207,'SC Change Orders'!$F$2:$F$501,'SC Change Orders'!$F207,'SC Change Orders'!$E$2:$E$501,'SC Change Orders'!$E207)&gt;1),COUNTIFS('SC Change Orders'!$B$2:$B$501,'SC Change Orders'!$B207,'SC Change Orders'!$F$2:$F$501,'SC Change Orders'!$F207)&gt;1),  "Same PO and Amount Added as another row — check for a restatement counted twice; ",""),""),""))</f>
        <v/>
      </c>
    </row>
    <row r="226" customFormat="false" ht="15" hidden="false" customHeight="false" outlineLevel="0" collapsed="false">
      <c r="A226" s="18" t="str">
        <f aca="false">IF(AND('SC Change Orders'!$A208="",'SC Change Orders'!$B208="",'SC Change Orders'!$C208=""),"",208)</f>
        <v/>
      </c>
      <c r="B226" s="31" t="str">
        <f aca="false">IF($A226="","",'SC Change Orders'!$A208)</f>
        <v/>
      </c>
      <c r="C226" s="18" t="str">
        <f aca="false">IF($A226="","",'SC Change Orders'!$B208)</f>
        <v/>
      </c>
      <c r="D226" s="32" t="str">
        <f aca="false">IF($A226="","",'SC Change Orders'!$C208)</f>
        <v/>
      </c>
      <c r="E226" s="31" t="str">
        <f aca="false">IF($A226="","",'SC Change Orders'!$D208)</f>
        <v/>
      </c>
      <c r="F226" s="33" t="str">
        <f aca="false">IF($A226="","",'SC Change Orders'!$E208)</f>
        <v/>
      </c>
      <c r="G226" s="33" t="str">
        <f aca="false">IF($A226="","",'SC Change Orders'!$F208)</f>
        <v/>
      </c>
      <c r="H226" s="33" t="str">
        <f aca="false">IF($A226="","",'SC Change Orders'!$G208)</f>
        <v/>
      </c>
      <c r="I226" s="34" t="str">
        <f aca="false">IF($A226="","",IF(AND(ISNUMBER('SC Change Orders'!$C208),'SC Change Orders'!$C208&gt;=Controls!$C$5,'SC Change Orders'!$C208&lt;=Controls!$C$6),"Yes","No"))</f>
        <v/>
      </c>
      <c r="J226" s="31" t="str">
        <f aca="false">IF($A226="","",IF($K226="","OK",$K226))</f>
        <v/>
      </c>
      <c r="K226" s="0" t="str">
        <f aca="false">IF($A226="","",IF(NOT(ISNUMBER('SC Change Orders'!$B208)),"PO not numeric — row is invisible to the tracker; ","")&amp;IF(NOT(ISNUMBER('SC Change Orders'!$C208)),"Date missing or text — row excluded; ",  IF(OR('SC Change Orders'!$C208&lt;Controls!$C$5,'SC Change Orders'!$C208&gt;Controls!$C$6),"Dated outside the FY window — excluded; ",""))&amp;IF(AND('SC Change Orders'!$E208&lt;&gt;"",NOT(ISNUMBER('SC Change Orders'!$E208))),"Original Amount held as text — ignored by MINIFS; ","")&amp;IF(AND('SC Change Orders'!$F208&lt;&gt;"",NOT(ISNUMBER('SC Change Orders'!$F208))),"Amount Added held as text — ignored by SUMIFS; ","")&amp;IF(ISNUMBER('SC Change Orders'!$E208),IF(ISNUMBER('SC Change Orders'!$F208),IF(ISNUMBER('SC Change Orders'!$G208),  IF('SC Change Orders'!$G208&gt;0,IF(ROUND('SC Change Orders'!$E208+'SC Change Orders'!$F208,2)&lt;&gt;ROUND('SC Change Orders'!$G208,2),  "Original + Added &lt;&gt; Total Line Cost Allotted; ",""),""),""),""),"")&amp;IF(AND(ISNUMBER('SC Change Orders'!$B208),COUNTIFS('SC Change Orders'!$B$2:$B$501,'SC Change Orders'!$B208,'SC Change Orders'!$C$2:$C$501,'SC Change Orders'!$C208,'SC Change Orders'!$D$2:$D$501,'SC Change Orders'!$D208,'SC Change Orders'!$F$2:$F$501,'SC Change Orders'!$F208,'SC Change Orders'!$E$2:$E$501,'SC Change Orders'!$E208)&gt;1),"Duplicate of another row — funds counted twice; ","")&amp;IF(ISNUMBER('SC Change Orders'!$F208),IF('SC Change Orders'!$F208&lt;&gt;0,IF(AND(ISNUMBER('SC Change Orders'!$B208),NOT(COUNTIFS('SC Change Orders'!$B$2:$B$501,'SC Change Orders'!$B208,'SC Change Orders'!$C$2:$C$501,'SC Change Orders'!$C208,'SC Change Orders'!$D$2:$D$501,'SC Change Orders'!$D208,'SC Change Orders'!$F$2:$F$501,'SC Change Orders'!$F208,'SC Change Orders'!$E$2:$E$501,'SC Change Orders'!$E208)&gt;1),COUNTIFS('SC Change Orders'!$B$2:$B$501,'SC Change Orders'!$B208,'SC Change Orders'!$F$2:$F$501,'SC Change Orders'!$F208)&gt;1),  "Same PO and Amount Added as another row — check for a restatement counted twice; ",""),""),""))</f>
        <v/>
      </c>
    </row>
    <row r="227" customFormat="false" ht="15" hidden="false" customHeight="false" outlineLevel="0" collapsed="false">
      <c r="A227" s="18" t="str">
        <f aca="false">IF(AND('SC Change Orders'!$A209="",'SC Change Orders'!$B209="",'SC Change Orders'!$C209=""),"",209)</f>
        <v/>
      </c>
      <c r="B227" s="31" t="str">
        <f aca="false">IF($A227="","",'SC Change Orders'!$A209)</f>
        <v/>
      </c>
      <c r="C227" s="18" t="str">
        <f aca="false">IF($A227="","",'SC Change Orders'!$B209)</f>
        <v/>
      </c>
      <c r="D227" s="32" t="str">
        <f aca="false">IF($A227="","",'SC Change Orders'!$C209)</f>
        <v/>
      </c>
      <c r="E227" s="31" t="str">
        <f aca="false">IF($A227="","",'SC Change Orders'!$D209)</f>
        <v/>
      </c>
      <c r="F227" s="33" t="str">
        <f aca="false">IF($A227="","",'SC Change Orders'!$E209)</f>
        <v/>
      </c>
      <c r="G227" s="33" t="str">
        <f aca="false">IF($A227="","",'SC Change Orders'!$F209)</f>
        <v/>
      </c>
      <c r="H227" s="33" t="str">
        <f aca="false">IF($A227="","",'SC Change Orders'!$G209)</f>
        <v/>
      </c>
      <c r="I227" s="34" t="str">
        <f aca="false">IF($A227="","",IF(AND(ISNUMBER('SC Change Orders'!$C209),'SC Change Orders'!$C209&gt;=Controls!$C$5,'SC Change Orders'!$C209&lt;=Controls!$C$6),"Yes","No"))</f>
        <v/>
      </c>
      <c r="J227" s="31" t="str">
        <f aca="false">IF($A227="","",IF($K227="","OK",$K227))</f>
        <v/>
      </c>
      <c r="K227" s="0" t="str">
        <f aca="false">IF($A227="","",IF(NOT(ISNUMBER('SC Change Orders'!$B209)),"PO not numeric — row is invisible to the tracker; ","")&amp;IF(NOT(ISNUMBER('SC Change Orders'!$C209)),"Date missing or text — row excluded; ",  IF(OR('SC Change Orders'!$C209&lt;Controls!$C$5,'SC Change Orders'!$C209&gt;Controls!$C$6),"Dated outside the FY window — excluded; ",""))&amp;IF(AND('SC Change Orders'!$E209&lt;&gt;"",NOT(ISNUMBER('SC Change Orders'!$E209))),"Original Amount held as text — ignored by MINIFS; ","")&amp;IF(AND('SC Change Orders'!$F209&lt;&gt;"",NOT(ISNUMBER('SC Change Orders'!$F209))),"Amount Added held as text — ignored by SUMIFS; ","")&amp;IF(ISNUMBER('SC Change Orders'!$E209),IF(ISNUMBER('SC Change Orders'!$F209),IF(ISNUMBER('SC Change Orders'!$G209),  IF('SC Change Orders'!$G209&gt;0,IF(ROUND('SC Change Orders'!$E209+'SC Change Orders'!$F209,2)&lt;&gt;ROUND('SC Change Orders'!$G209,2),  "Original + Added &lt;&gt; Total Line Cost Allotted; ",""),""),""),""),"")&amp;IF(AND(ISNUMBER('SC Change Orders'!$B209),COUNTIFS('SC Change Orders'!$B$2:$B$501,'SC Change Orders'!$B209,'SC Change Orders'!$C$2:$C$501,'SC Change Orders'!$C209,'SC Change Orders'!$D$2:$D$501,'SC Change Orders'!$D209,'SC Change Orders'!$F$2:$F$501,'SC Change Orders'!$F209,'SC Change Orders'!$E$2:$E$501,'SC Change Orders'!$E209)&gt;1),"Duplicate of another row — funds counted twice; ","")&amp;IF(ISNUMBER('SC Change Orders'!$F209),IF('SC Change Orders'!$F209&lt;&gt;0,IF(AND(ISNUMBER('SC Change Orders'!$B209),NOT(COUNTIFS('SC Change Orders'!$B$2:$B$501,'SC Change Orders'!$B209,'SC Change Orders'!$C$2:$C$501,'SC Change Orders'!$C209,'SC Change Orders'!$D$2:$D$501,'SC Change Orders'!$D209,'SC Change Orders'!$F$2:$F$501,'SC Change Orders'!$F209,'SC Change Orders'!$E$2:$E$501,'SC Change Orders'!$E209)&gt;1),COUNTIFS('SC Change Orders'!$B$2:$B$501,'SC Change Orders'!$B209,'SC Change Orders'!$F$2:$F$501,'SC Change Orders'!$F209)&gt;1),  "Same PO and Amount Added as another row — check for a restatement counted twice; ",""),""),""))</f>
        <v/>
      </c>
    </row>
    <row r="228" customFormat="false" ht="15" hidden="false" customHeight="false" outlineLevel="0" collapsed="false">
      <c r="A228" s="18" t="str">
        <f aca="false">IF(AND('SC Change Orders'!$A210="",'SC Change Orders'!$B210="",'SC Change Orders'!$C210=""),"",210)</f>
        <v/>
      </c>
      <c r="B228" s="31" t="str">
        <f aca="false">IF($A228="","",'SC Change Orders'!$A210)</f>
        <v/>
      </c>
      <c r="C228" s="18" t="str">
        <f aca="false">IF($A228="","",'SC Change Orders'!$B210)</f>
        <v/>
      </c>
      <c r="D228" s="32" t="str">
        <f aca="false">IF($A228="","",'SC Change Orders'!$C210)</f>
        <v/>
      </c>
      <c r="E228" s="31" t="str">
        <f aca="false">IF($A228="","",'SC Change Orders'!$D210)</f>
        <v/>
      </c>
      <c r="F228" s="33" t="str">
        <f aca="false">IF($A228="","",'SC Change Orders'!$E210)</f>
        <v/>
      </c>
      <c r="G228" s="33" t="str">
        <f aca="false">IF($A228="","",'SC Change Orders'!$F210)</f>
        <v/>
      </c>
      <c r="H228" s="33" t="str">
        <f aca="false">IF($A228="","",'SC Change Orders'!$G210)</f>
        <v/>
      </c>
      <c r="I228" s="34" t="str">
        <f aca="false">IF($A228="","",IF(AND(ISNUMBER('SC Change Orders'!$C210),'SC Change Orders'!$C210&gt;=Controls!$C$5,'SC Change Orders'!$C210&lt;=Controls!$C$6),"Yes","No"))</f>
        <v/>
      </c>
      <c r="J228" s="31" t="str">
        <f aca="false">IF($A228="","",IF($K228="","OK",$K228))</f>
        <v/>
      </c>
      <c r="K228" s="0" t="str">
        <f aca="false">IF($A228="","",IF(NOT(ISNUMBER('SC Change Orders'!$B210)),"PO not numeric — row is invisible to the tracker; ","")&amp;IF(NOT(ISNUMBER('SC Change Orders'!$C210)),"Date missing or text — row excluded; ",  IF(OR('SC Change Orders'!$C210&lt;Controls!$C$5,'SC Change Orders'!$C210&gt;Controls!$C$6),"Dated outside the FY window — excluded; ",""))&amp;IF(AND('SC Change Orders'!$E210&lt;&gt;"",NOT(ISNUMBER('SC Change Orders'!$E210))),"Original Amount held as text — ignored by MINIFS; ","")&amp;IF(AND('SC Change Orders'!$F210&lt;&gt;"",NOT(ISNUMBER('SC Change Orders'!$F210))),"Amount Added held as text — ignored by SUMIFS; ","")&amp;IF(ISNUMBER('SC Change Orders'!$E210),IF(ISNUMBER('SC Change Orders'!$F210),IF(ISNUMBER('SC Change Orders'!$G210),  IF('SC Change Orders'!$G210&gt;0,IF(ROUND('SC Change Orders'!$E210+'SC Change Orders'!$F210,2)&lt;&gt;ROUND('SC Change Orders'!$G210,2),  "Original + Added &lt;&gt; Total Line Cost Allotted; ",""),""),""),""),"")&amp;IF(AND(ISNUMBER('SC Change Orders'!$B210),COUNTIFS('SC Change Orders'!$B$2:$B$501,'SC Change Orders'!$B210,'SC Change Orders'!$C$2:$C$501,'SC Change Orders'!$C210,'SC Change Orders'!$D$2:$D$501,'SC Change Orders'!$D210,'SC Change Orders'!$F$2:$F$501,'SC Change Orders'!$F210,'SC Change Orders'!$E$2:$E$501,'SC Change Orders'!$E210)&gt;1),"Duplicate of another row — funds counted twice; ","")&amp;IF(ISNUMBER('SC Change Orders'!$F210),IF('SC Change Orders'!$F210&lt;&gt;0,IF(AND(ISNUMBER('SC Change Orders'!$B210),NOT(COUNTIFS('SC Change Orders'!$B$2:$B$501,'SC Change Orders'!$B210,'SC Change Orders'!$C$2:$C$501,'SC Change Orders'!$C210,'SC Change Orders'!$D$2:$D$501,'SC Change Orders'!$D210,'SC Change Orders'!$F$2:$F$501,'SC Change Orders'!$F210,'SC Change Orders'!$E$2:$E$501,'SC Change Orders'!$E210)&gt;1),COUNTIFS('SC Change Orders'!$B$2:$B$501,'SC Change Orders'!$B210,'SC Change Orders'!$F$2:$F$501,'SC Change Orders'!$F210)&gt;1),  "Same PO and Amount Added as another row — check for a restatement counted twice; ",""),""),""))</f>
        <v/>
      </c>
    </row>
    <row r="229" customFormat="false" ht="15" hidden="false" customHeight="false" outlineLevel="0" collapsed="false">
      <c r="A229" s="18" t="str">
        <f aca="false">IF(AND('SC Change Orders'!$A211="",'SC Change Orders'!$B211="",'SC Change Orders'!$C211=""),"",211)</f>
        <v/>
      </c>
      <c r="B229" s="31" t="str">
        <f aca="false">IF($A229="","",'SC Change Orders'!$A211)</f>
        <v/>
      </c>
      <c r="C229" s="18" t="str">
        <f aca="false">IF($A229="","",'SC Change Orders'!$B211)</f>
        <v/>
      </c>
      <c r="D229" s="32" t="str">
        <f aca="false">IF($A229="","",'SC Change Orders'!$C211)</f>
        <v/>
      </c>
      <c r="E229" s="31" t="str">
        <f aca="false">IF($A229="","",'SC Change Orders'!$D211)</f>
        <v/>
      </c>
      <c r="F229" s="33" t="str">
        <f aca="false">IF($A229="","",'SC Change Orders'!$E211)</f>
        <v/>
      </c>
      <c r="G229" s="33" t="str">
        <f aca="false">IF($A229="","",'SC Change Orders'!$F211)</f>
        <v/>
      </c>
      <c r="H229" s="33" t="str">
        <f aca="false">IF($A229="","",'SC Change Orders'!$G211)</f>
        <v/>
      </c>
      <c r="I229" s="34" t="str">
        <f aca="false">IF($A229="","",IF(AND(ISNUMBER('SC Change Orders'!$C211),'SC Change Orders'!$C211&gt;=Controls!$C$5,'SC Change Orders'!$C211&lt;=Controls!$C$6),"Yes","No"))</f>
        <v/>
      </c>
      <c r="J229" s="31" t="str">
        <f aca="false">IF($A229="","",IF($K229="","OK",$K229))</f>
        <v/>
      </c>
      <c r="K229" s="0" t="str">
        <f aca="false">IF($A229="","",IF(NOT(ISNUMBER('SC Change Orders'!$B211)),"PO not numeric — row is invisible to the tracker; ","")&amp;IF(NOT(ISNUMBER('SC Change Orders'!$C211)),"Date missing or text — row excluded; ",  IF(OR('SC Change Orders'!$C211&lt;Controls!$C$5,'SC Change Orders'!$C211&gt;Controls!$C$6),"Dated outside the FY window — excluded; ",""))&amp;IF(AND('SC Change Orders'!$E211&lt;&gt;"",NOT(ISNUMBER('SC Change Orders'!$E211))),"Original Amount held as text — ignored by MINIFS; ","")&amp;IF(AND('SC Change Orders'!$F211&lt;&gt;"",NOT(ISNUMBER('SC Change Orders'!$F211))),"Amount Added held as text — ignored by SUMIFS; ","")&amp;IF(ISNUMBER('SC Change Orders'!$E211),IF(ISNUMBER('SC Change Orders'!$F211),IF(ISNUMBER('SC Change Orders'!$G211),  IF('SC Change Orders'!$G211&gt;0,IF(ROUND('SC Change Orders'!$E211+'SC Change Orders'!$F211,2)&lt;&gt;ROUND('SC Change Orders'!$G211,2),  "Original + Added &lt;&gt; Total Line Cost Allotted; ",""),""),""),""),"")&amp;IF(AND(ISNUMBER('SC Change Orders'!$B211),COUNTIFS('SC Change Orders'!$B$2:$B$501,'SC Change Orders'!$B211,'SC Change Orders'!$C$2:$C$501,'SC Change Orders'!$C211,'SC Change Orders'!$D$2:$D$501,'SC Change Orders'!$D211,'SC Change Orders'!$F$2:$F$501,'SC Change Orders'!$F211,'SC Change Orders'!$E$2:$E$501,'SC Change Orders'!$E211)&gt;1),"Duplicate of another row — funds counted twice; ","")&amp;IF(ISNUMBER('SC Change Orders'!$F211),IF('SC Change Orders'!$F211&lt;&gt;0,IF(AND(ISNUMBER('SC Change Orders'!$B211),NOT(COUNTIFS('SC Change Orders'!$B$2:$B$501,'SC Change Orders'!$B211,'SC Change Orders'!$C$2:$C$501,'SC Change Orders'!$C211,'SC Change Orders'!$D$2:$D$501,'SC Change Orders'!$D211,'SC Change Orders'!$F$2:$F$501,'SC Change Orders'!$F211,'SC Change Orders'!$E$2:$E$501,'SC Change Orders'!$E211)&gt;1),COUNTIFS('SC Change Orders'!$B$2:$B$501,'SC Change Orders'!$B211,'SC Change Orders'!$F$2:$F$501,'SC Change Orders'!$F211)&gt;1),  "Same PO and Amount Added as another row — check for a restatement counted twice; ",""),""),""))</f>
        <v/>
      </c>
    </row>
    <row r="230" customFormat="false" ht="15" hidden="false" customHeight="false" outlineLevel="0" collapsed="false">
      <c r="A230" s="18" t="str">
        <f aca="false">IF(AND('SC Change Orders'!$A212="",'SC Change Orders'!$B212="",'SC Change Orders'!$C212=""),"",212)</f>
        <v/>
      </c>
      <c r="B230" s="31" t="str">
        <f aca="false">IF($A230="","",'SC Change Orders'!$A212)</f>
        <v/>
      </c>
      <c r="C230" s="18" t="str">
        <f aca="false">IF($A230="","",'SC Change Orders'!$B212)</f>
        <v/>
      </c>
      <c r="D230" s="32" t="str">
        <f aca="false">IF($A230="","",'SC Change Orders'!$C212)</f>
        <v/>
      </c>
      <c r="E230" s="31" t="str">
        <f aca="false">IF($A230="","",'SC Change Orders'!$D212)</f>
        <v/>
      </c>
      <c r="F230" s="33" t="str">
        <f aca="false">IF($A230="","",'SC Change Orders'!$E212)</f>
        <v/>
      </c>
      <c r="G230" s="33" t="str">
        <f aca="false">IF($A230="","",'SC Change Orders'!$F212)</f>
        <v/>
      </c>
      <c r="H230" s="33" t="str">
        <f aca="false">IF($A230="","",'SC Change Orders'!$G212)</f>
        <v/>
      </c>
      <c r="I230" s="34" t="str">
        <f aca="false">IF($A230="","",IF(AND(ISNUMBER('SC Change Orders'!$C212),'SC Change Orders'!$C212&gt;=Controls!$C$5,'SC Change Orders'!$C212&lt;=Controls!$C$6),"Yes","No"))</f>
        <v/>
      </c>
      <c r="J230" s="31" t="str">
        <f aca="false">IF($A230="","",IF($K230="","OK",$K230))</f>
        <v/>
      </c>
      <c r="K230" s="0" t="str">
        <f aca="false">IF($A230="","",IF(NOT(ISNUMBER('SC Change Orders'!$B212)),"PO not numeric — row is invisible to the tracker; ","")&amp;IF(NOT(ISNUMBER('SC Change Orders'!$C212)),"Date missing or text — row excluded; ",  IF(OR('SC Change Orders'!$C212&lt;Controls!$C$5,'SC Change Orders'!$C212&gt;Controls!$C$6),"Dated outside the FY window — excluded; ",""))&amp;IF(AND('SC Change Orders'!$E212&lt;&gt;"",NOT(ISNUMBER('SC Change Orders'!$E212))),"Original Amount held as text — ignored by MINIFS; ","")&amp;IF(AND('SC Change Orders'!$F212&lt;&gt;"",NOT(ISNUMBER('SC Change Orders'!$F212))),"Amount Added held as text — ignored by SUMIFS; ","")&amp;IF(ISNUMBER('SC Change Orders'!$E212),IF(ISNUMBER('SC Change Orders'!$F212),IF(ISNUMBER('SC Change Orders'!$G212),  IF('SC Change Orders'!$G212&gt;0,IF(ROUND('SC Change Orders'!$E212+'SC Change Orders'!$F212,2)&lt;&gt;ROUND('SC Change Orders'!$G212,2),  "Original + Added &lt;&gt; Total Line Cost Allotted; ",""),""),""),""),"")&amp;IF(AND(ISNUMBER('SC Change Orders'!$B212),COUNTIFS('SC Change Orders'!$B$2:$B$501,'SC Change Orders'!$B212,'SC Change Orders'!$C$2:$C$501,'SC Change Orders'!$C212,'SC Change Orders'!$D$2:$D$501,'SC Change Orders'!$D212,'SC Change Orders'!$F$2:$F$501,'SC Change Orders'!$F212,'SC Change Orders'!$E$2:$E$501,'SC Change Orders'!$E212)&gt;1),"Duplicate of another row — funds counted twice; ","")&amp;IF(ISNUMBER('SC Change Orders'!$F212),IF('SC Change Orders'!$F212&lt;&gt;0,IF(AND(ISNUMBER('SC Change Orders'!$B212),NOT(COUNTIFS('SC Change Orders'!$B$2:$B$501,'SC Change Orders'!$B212,'SC Change Orders'!$C$2:$C$501,'SC Change Orders'!$C212,'SC Change Orders'!$D$2:$D$501,'SC Change Orders'!$D212,'SC Change Orders'!$F$2:$F$501,'SC Change Orders'!$F212,'SC Change Orders'!$E$2:$E$501,'SC Change Orders'!$E212)&gt;1),COUNTIFS('SC Change Orders'!$B$2:$B$501,'SC Change Orders'!$B212,'SC Change Orders'!$F$2:$F$501,'SC Change Orders'!$F212)&gt;1),  "Same PO and Amount Added as another row — check for a restatement counted twice; ",""),""),""))</f>
        <v/>
      </c>
    </row>
    <row r="231" customFormat="false" ht="15" hidden="false" customHeight="false" outlineLevel="0" collapsed="false">
      <c r="A231" s="18" t="str">
        <f aca="false">IF(AND('SC Change Orders'!$A213="",'SC Change Orders'!$B213="",'SC Change Orders'!$C213=""),"",213)</f>
        <v/>
      </c>
      <c r="B231" s="31" t="str">
        <f aca="false">IF($A231="","",'SC Change Orders'!$A213)</f>
        <v/>
      </c>
      <c r="C231" s="18" t="str">
        <f aca="false">IF($A231="","",'SC Change Orders'!$B213)</f>
        <v/>
      </c>
      <c r="D231" s="32" t="str">
        <f aca="false">IF($A231="","",'SC Change Orders'!$C213)</f>
        <v/>
      </c>
      <c r="E231" s="31" t="str">
        <f aca="false">IF($A231="","",'SC Change Orders'!$D213)</f>
        <v/>
      </c>
      <c r="F231" s="33" t="str">
        <f aca="false">IF($A231="","",'SC Change Orders'!$E213)</f>
        <v/>
      </c>
      <c r="G231" s="33" t="str">
        <f aca="false">IF($A231="","",'SC Change Orders'!$F213)</f>
        <v/>
      </c>
      <c r="H231" s="33" t="str">
        <f aca="false">IF($A231="","",'SC Change Orders'!$G213)</f>
        <v/>
      </c>
      <c r="I231" s="34" t="str">
        <f aca="false">IF($A231="","",IF(AND(ISNUMBER('SC Change Orders'!$C213),'SC Change Orders'!$C213&gt;=Controls!$C$5,'SC Change Orders'!$C213&lt;=Controls!$C$6),"Yes","No"))</f>
        <v/>
      </c>
      <c r="J231" s="31" t="str">
        <f aca="false">IF($A231="","",IF($K231="","OK",$K231))</f>
        <v/>
      </c>
      <c r="K231" s="0" t="str">
        <f aca="false">IF($A231="","",IF(NOT(ISNUMBER('SC Change Orders'!$B213)),"PO not numeric — row is invisible to the tracker; ","")&amp;IF(NOT(ISNUMBER('SC Change Orders'!$C213)),"Date missing or text — row excluded; ",  IF(OR('SC Change Orders'!$C213&lt;Controls!$C$5,'SC Change Orders'!$C213&gt;Controls!$C$6),"Dated outside the FY window — excluded; ",""))&amp;IF(AND('SC Change Orders'!$E213&lt;&gt;"",NOT(ISNUMBER('SC Change Orders'!$E213))),"Original Amount held as text — ignored by MINIFS; ","")&amp;IF(AND('SC Change Orders'!$F213&lt;&gt;"",NOT(ISNUMBER('SC Change Orders'!$F213))),"Amount Added held as text — ignored by SUMIFS; ","")&amp;IF(ISNUMBER('SC Change Orders'!$E213),IF(ISNUMBER('SC Change Orders'!$F213),IF(ISNUMBER('SC Change Orders'!$G213),  IF('SC Change Orders'!$G213&gt;0,IF(ROUND('SC Change Orders'!$E213+'SC Change Orders'!$F213,2)&lt;&gt;ROUND('SC Change Orders'!$G213,2),  "Original + Added &lt;&gt; Total Line Cost Allotted; ",""),""),""),""),"")&amp;IF(AND(ISNUMBER('SC Change Orders'!$B213),COUNTIFS('SC Change Orders'!$B$2:$B$501,'SC Change Orders'!$B213,'SC Change Orders'!$C$2:$C$501,'SC Change Orders'!$C213,'SC Change Orders'!$D$2:$D$501,'SC Change Orders'!$D213,'SC Change Orders'!$F$2:$F$501,'SC Change Orders'!$F213,'SC Change Orders'!$E$2:$E$501,'SC Change Orders'!$E213)&gt;1),"Duplicate of another row — funds counted twice; ","")&amp;IF(ISNUMBER('SC Change Orders'!$F213),IF('SC Change Orders'!$F213&lt;&gt;0,IF(AND(ISNUMBER('SC Change Orders'!$B213),NOT(COUNTIFS('SC Change Orders'!$B$2:$B$501,'SC Change Orders'!$B213,'SC Change Orders'!$C$2:$C$501,'SC Change Orders'!$C213,'SC Change Orders'!$D$2:$D$501,'SC Change Orders'!$D213,'SC Change Orders'!$F$2:$F$501,'SC Change Orders'!$F213,'SC Change Orders'!$E$2:$E$501,'SC Change Orders'!$E213)&gt;1),COUNTIFS('SC Change Orders'!$B$2:$B$501,'SC Change Orders'!$B213,'SC Change Orders'!$F$2:$F$501,'SC Change Orders'!$F213)&gt;1),  "Same PO and Amount Added as another row — check for a restatement counted twice; ",""),""),""))</f>
        <v/>
      </c>
    </row>
    <row r="232" customFormat="false" ht="15" hidden="false" customHeight="false" outlineLevel="0" collapsed="false">
      <c r="A232" s="18" t="str">
        <f aca="false">IF(AND('SC Change Orders'!$A214="",'SC Change Orders'!$B214="",'SC Change Orders'!$C214=""),"",214)</f>
        <v/>
      </c>
      <c r="B232" s="31" t="str">
        <f aca="false">IF($A232="","",'SC Change Orders'!$A214)</f>
        <v/>
      </c>
      <c r="C232" s="18" t="str">
        <f aca="false">IF($A232="","",'SC Change Orders'!$B214)</f>
        <v/>
      </c>
      <c r="D232" s="32" t="str">
        <f aca="false">IF($A232="","",'SC Change Orders'!$C214)</f>
        <v/>
      </c>
      <c r="E232" s="31" t="str">
        <f aca="false">IF($A232="","",'SC Change Orders'!$D214)</f>
        <v/>
      </c>
      <c r="F232" s="33" t="str">
        <f aca="false">IF($A232="","",'SC Change Orders'!$E214)</f>
        <v/>
      </c>
      <c r="G232" s="33" t="str">
        <f aca="false">IF($A232="","",'SC Change Orders'!$F214)</f>
        <v/>
      </c>
      <c r="H232" s="33" t="str">
        <f aca="false">IF($A232="","",'SC Change Orders'!$G214)</f>
        <v/>
      </c>
      <c r="I232" s="34" t="str">
        <f aca="false">IF($A232="","",IF(AND(ISNUMBER('SC Change Orders'!$C214),'SC Change Orders'!$C214&gt;=Controls!$C$5,'SC Change Orders'!$C214&lt;=Controls!$C$6),"Yes","No"))</f>
        <v/>
      </c>
      <c r="J232" s="31" t="str">
        <f aca="false">IF($A232="","",IF($K232="","OK",$K232))</f>
        <v/>
      </c>
      <c r="K232" s="0" t="str">
        <f aca="false">IF($A232="","",IF(NOT(ISNUMBER('SC Change Orders'!$B214)),"PO not numeric — row is invisible to the tracker; ","")&amp;IF(NOT(ISNUMBER('SC Change Orders'!$C214)),"Date missing or text — row excluded; ",  IF(OR('SC Change Orders'!$C214&lt;Controls!$C$5,'SC Change Orders'!$C214&gt;Controls!$C$6),"Dated outside the FY window — excluded; ",""))&amp;IF(AND('SC Change Orders'!$E214&lt;&gt;"",NOT(ISNUMBER('SC Change Orders'!$E214))),"Original Amount held as text — ignored by MINIFS; ","")&amp;IF(AND('SC Change Orders'!$F214&lt;&gt;"",NOT(ISNUMBER('SC Change Orders'!$F214))),"Amount Added held as text — ignored by SUMIFS; ","")&amp;IF(ISNUMBER('SC Change Orders'!$E214),IF(ISNUMBER('SC Change Orders'!$F214),IF(ISNUMBER('SC Change Orders'!$G214),  IF('SC Change Orders'!$G214&gt;0,IF(ROUND('SC Change Orders'!$E214+'SC Change Orders'!$F214,2)&lt;&gt;ROUND('SC Change Orders'!$G214,2),  "Original + Added &lt;&gt; Total Line Cost Allotted; ",""),""),""),""),"")&amp;IF(AND(ISNUMBER('SC Change Orders'!$B214),COUNTIFS('SC Change Orders'!$B$2:$B$501,'SC Change Orders'!$B214,'SC Change Orders'!$C$2:$C$501,'SC Change Orders'!$C214,'SC Change Orders'!$D$2:$D$501,'SC Change Orders'!$D214,'SC Change Orders'!$F$2:$F$501,'SC Change Orders'!$F214,'SC Change Orders'!$E$2:$E$501,'SC Change Orders'!$E214)&gt;1),"Duplicate of another row — funds counted twice; ","")&amp;IF(ISNUMBER('SC Change Orders'!$F214),IF('SC Change Orders'!$F214&lt;&gt;0,IF(AND(ISNUMBER('SC Change Orders'!$B214),NOT(COUNTIFS('SC Change Orders'!$B$2:$B$501,'SC Change Orders'!$B214,'SC Change Orders'!$C$2:$C$501,'SC Change Orders'!$C214,'SC Change Orders'!$D$2:$D$501,'SC Change Orders'!$D214,'SC Change Orders'!$F$2:$F$501,'SC Change Orders'!$F214,'SC Change Orders'!$E$2:$E$501,'SC Change Orders'!$E214)&gt;1),COUNTIFS('SC Change Orders'!$B$2:$B$501,'SC Change Orders'!$B214,'SC Change Orders'!$F$2:$F$501,'SC Change Orders'!$F214)&gt;1),  "Same PO and Amount Added as another row — check for a restatement counted twice; ",""),""),""))</f>
        <v/>
      </c>
    </row>
    <row r="233" customFormat="false" ht="15" hidden="false" customHeight="false" outlineLevel="0" collapsed="false">
      <c r="A233" s="18" t="str">
        <f aca="false">IF(AND('SC Change Orders'!$A215="",'SC Change Orders'!$B215="",'SC Change Orders'!$C215=""),"",215)</f>
        <v/>
      </c>
      <c r="B233" s="31" t="str">
        <f aca="false">IF($A233="","",'SC Change Orders'!$A215)</f>
        <v/>
      </c>
      <c r="C233" s="18" t="str">
        <f aca="false">IF($A233="","",'SC Change Orders'!$B215)</f>
        <v/>
      </c>
      <c r="D233" s="32" t="str">
        <f aca="false">IF($A233="","",'SC Change Orders'!$C215)</f>
        <v/>
      </c>
      <c r="E233" s="31" t="str">
        <f aca="false">IF($A233="","",'SC Change Orders'!$D215)</f>
        <v/>
      </c>
      <c r="F233" s="33" t="str">
        <f aca="false">IF($A233="","",'SC Change Orders'!$E215)</f>
        <v/>
      </c>
      <c r="G233" s="33" t="str">
        <f aca="false">IF($A233="","",'SC Change Orders'!$F215)</f>
        <v/>
      </c>
      <c r="H233" s="33" t="str">
        <f aca="false">IF($A233="","",'SC Change Orders'!$G215)</f>
        <v/>
      </c>
      <c r="I233" s="34" t="str">
        <f aca="false">IF($A233="","",IF(AND(ISNUMBER('SC Change Orders'!$C215),'SC Change Orders'!$C215&gt;=Controls!$C$5,'SC Change Orders'!$C215&lt;=Controls!$C$6),"Yes","No"))</f>
        <v/>
      </c>
      <c r="J233" s="31" t="str">
        <f aca="false">IF($A233="","",IF($K233="","OK",$K233))</f>
        <v/>
      </c>
      <c r="K233" s="0" t="str">
        <f aca="false">IF($A233="","",IF(NOT(ISNUMBER('SC Change Orders'!$B215)),"PO not numeric — row is invisible to the tracker; ","")&amp;IF(NOT(ISNUMBER('SC Change Orders'!$C215)),"Date missing or text — row excluded; ",  IF(OR('SC Change Orders'!$C215&lt;Controls!$C$5,'SC Change Orders'!$C215&gt;Controls!$C$6),"Dated outside the FY window — excluded; ",""))&amp;IF(AND('SC Change Orders'!$E215&lt;&gt;"",NOT(ISNUMBER('SC Change Orders'!$E215))),"Original Amount held as text — ignored by MINIFS; ","")&amp;IF(AND('SC Change Orders'!$F215&lt;&gt;"",NOT(ISNUMBER('SC Change Orders'!$F215))),"Amount Added held as text — ignored by SUMIFS; ","")&amp;IF(ISNUMBER('SC Change Orders'!$E215),IF(ISNUMBER('SC Change Orders'!$F215),IF(ISNUMBER('SC Change Orders'!$G215),  IF('SC Change Orders'!$G215&gt;0,IF(ROUND('SC Change Orders'!$E215+'SC Change Orders'!$F215,2)&lt;&gt;ROUND('SC Change Orders'!$G215,2),  "Original + Added &lt;&gt; Total Line Cost Allotted; ",""),""),""),""),"")&amp;IF(AND(ISNUMBER('SC Change Orders'!$B215),COUNTIFS('SC Change Orders'!$B$2:$B$501,'SC Change Orders'!$B215,'SC Change Orders'!$C$2:$C$501,'SC Change Orders'!$C215,'SC Change Orders'!$D$2:$D$501,'SC Change Orders'!$D215,'SC Change Orders'!$F$2:$F$501,'SC Change Orders'!$F215,'SC Change Orders'!$E$2:$E$501,'SC Change Orders'!$E215)&gt;1),"Duplicate of another row — funds counted twice; ","")&amp;IF(ISNUMBER('SC Change Orders'!$F215),IF('SC Change Orders'!$F215&lt;&gt;0,IF(AND(ISNUMBER('SC Change Orders'!$B215),NOT(COUNTIFS('SC Change Orders'!$B$2:$B$501,'SC Change Orders'!$B215,'SC Change Orders'!$C$2:$C$501,'SC Change Orders'!$C215,'SC Change Orders'!$D$2:$D$501,'SC Change Orders'!$D215,'SC Change Orders'!$F$2:$F$501,'SC Change Orders'!$F215,'SC Change Orders'!$E$2:$E$501,'SC Change Orders'!$E215)&gt;1),COUNTIFS('SC Change Orders'!$B$2:$B$501,'SC Change Orders'!$B215,'SC Change Orders'!$F$2:$F$501,'SC Change Orders'!$F215)&gt;1),  "Same PO and Amount Added as another row — check for a restatement counted twice; ",""),""),""))</f>
        <v/>
      </c>
    </row>
    <row r="234" customFormat="false" ht="15" hidden="false" customHeight="false" outlineLevel="0" collapsed="false">
      <c r="A234" s="18" t="str">
        <f aca="false">IF(AND('SC Change Orders'!$A216="",'SC Change Orders'!$B216="",'SC Change Orders'!$C216=""),"",216)</f>
        <v/>
      </c>
      <c r="B234" s="31" t="str">
        <f aca="false">IF($A234="","",'SC Change Orders'!$A216)</f>
        <v/>
      </c>
      <c r="C234" s="18" t="str">
        <f aca="false">IF($A234="","",'SC Change Orders'!$B216)</f>
        <v/>
      </c>
      <c r="D234" s="32" t="str">
        <f aca="false">IF($A234="","",'SC Change Orders'!$C216)</f>
        <v/>
      </c>
      <c r="E234" s="31" t="str">
        <f aca="false">IF($A234="","",'SC Change Orders'!$D216)</f>
        <v/>
      </c>
      <c r="F234" s="33" t="str">
        <f aca="false">IF($A234="","",'SC Change Orders'!$E216)</f>
        <v/>
      </c>
      <c r="G234" s="33" t="str">
        <f aca="false">IF($A234="","",'SC Change Orders'!$F216)</f>
        <v/>
      </c>
      <c r="H234" s="33" t="str">
        <f aca="false">IF($A234="","",'SC Change Orders'!$G216)</f>
        <v/>
      </c>
      <c r="I234" s="34" t="str">
        <f aca="false">IF($A234="","",IF(AND(ISNUMBER('SC Change Orders'!$C216),'SC Change Orders'!$C216&gt;=Controls!$C$5,'SC Change Orders'!$C216&lt;=Controls!$C$6),"Yes","No"))</f>
        <v/>
      </c>
      <c r="J234" s="31" t="str">
        <f aca="false">IF($A234="","",IF($K234="","OK",$K234))</f>
        <v/>
      </c>
      <c r="K234" s="0" t="str">
        <f aca="false">IF($A234="","",IF(NOT(ISNUMBER('SC Change Orders'!$B216)),"PO not numeric — row is invisible to the tracker; ","")&amp;IF(NOT(ISNUMBER('SC Change Orders'!$C216)),"Date missing or text — row excluded; ",  IF(OR('SC Change Orders'!$C216&lt;Controls!$C$5,'SC Change Orders'!$C216&gt;Controls!$C$6),"Dated outside the FY window — excluded; ",""))&amp;IF(AND('SC Change Orders'!$E216&lt;&gt;"",NOT(ISNUMBER('SC Change Orders'!$E216))),"Original Amount held as text — ignored by MINIFS; ","")&amp;IF(AND('SC Change Orders'!$F216&lt;&gt;"",NOT(ISNUMBER('SC Change Orders'!$F216))),"Amount Added held as text — ignored by SUMIFS; ","")&amp;IF(ISNUMBER('SC Change Orders'!$E216),IF(ISNUMBER('SC Change Orders'!$F216),IF(ISNUMBER('SC Change Orders'!$G216),  IF('SC Change Orders'!$G216&gt;0,IF(ROUND('SC Change Orders'!$E216+'SC Change Orders'!$F216,2)&lt;&gt;ROUND('SC Change Orders'!$G216,2),  "Original + Added &lt;&gt; Total Line Cost Allotted; ",""),""),""),""),"")&amp;IF(AND(ISNUMBER('SC Change Orders'!$B216),COUNTIFS('SC Change Orders'!$B$2:$B$501,'SC Change Orders'!$B216,'SC Change Orders'!$C$2:$C$501,'SC Change Orders'!$C216,'SC Change Orders'!$D$2:$D$501,'SC Change Orders'!$D216,'SC Change Orders'!$F$2:$F$501,'SC Change Orders'!$F216,'SC Change Orders'!$E$2:$E$501,'SC Change Orders'!$E216)&gt;1),"Duplicate of another row — funds counted twice; ","")&amp;IF(ISNUMBER('SC Change Orders'!$F216),IF('SC Change Orders'!$F216&lt;&gt;0,IF(AND(ISNUMBER('SC Change Orders'!$B216),NOT(COUNTIFS('SC Change Orders'!$B$2:$B$501,'SC Change Orders'!$B216,'SC Change Orders'!$C$2:$C$501,'SC Change Orders'!$C216,'SC Change Orders'!$D$2:$D$501,'SC Change Orders'!$D216,'SC Change Orders'!$F$2:$F$501,'SC Change Orders'!$F216,'SC Change Orders'!$E$2:$E$501,'SC Change Orders'!$E216)&gt;1),COUNTIFS('SC Change Orders'!$B$2:$B$501,'SC Change Orders'!$B216,'SC Change Orders'!$F$2:$F$501,'SC Change Orders'!$F216)&gt;1),  "Same PO and Amount Added as another row — check for a restatement counted twice; ",""),""),""))</f>
        <v/>
      </c>
    </row>
    <row r="235" customFormat="false" ht="15" hidden="false" customHeight="false" outlineLevel="0" collapsed="false">
      <c r="A235" s="18" t="str">
        <f aca="false">IF(AND('SC Change Orders'!$A217="",'SC Change Orders'!$B217="",'SC Change Orders'!$C217=""),"",217)</f>
        <v/>
      </c>
      <c r="B235" s="31" t="str">
        <f aca="false">IF($A235="","",'SC Change Orders'!$A217)</f>
        <v/>
      </c>
      <c r="C235" s="18" t="str">
        <f aca="false">IF($A235="","",'SC Change Orders'!$B217)</f>
        <v/>
      </c>
      <c r="D235" s="32" t="str">
        <f aca="false">IF($A235="","",'SC Change Orders'!$C217)</f>
        <v/>
      </c>
      <c r="E235" s="31" t="str">
        <f aca="false">IF($A235="","",'SC Change Orders'!$D217)</f>
        <v/>
      </c>
      <c r="F235" s="33" t="str">
        <f aca="false">IF($A235="","",'SC Change Orders'!$E217)</f>
        <v/>
      </c>
      <c r="G235" s="33" t="str">
        <f aca="false">IF($A235="","",'SC Change Orders'!$F217)</f>
        <v/>
      </c>
      <c r="H235" s="33" t="str">
        <f aca="false">IF($A235="","",'SC Change Orders'!$G217)</f>
        <v/>
      </c>
      <c r="I235" s="34" t="str">
        <f aca="false">IF($A235="","",IF(AND(ISNUMBER('SC Change Orders'!$C217),'SC Change Orders'!$C217&gt;=Controls!$C$5,'SC Change Orders'!$C217&lt;=Controls!$C$6),"Yes","No"))</f>
        <v/>
      </c>
      <c r="J235" s="31" t="str">
        <f aca="false">IF($A235="","",IF($K235="","OK",$K235))</f>
        <v/>
      </c>
      <c r="K235" s="0" t="str">
        <f aca="false">IF($A235="","",IF(NOT(ISNUMBER('SC Change Orders'!$B217)),"PO not numeric — row is invisible to the tracker; ","")&amp;IF(NOT(ISNUMBER('SC Change Orders'!$C217)),"Date missing or text — row excluded; ",  IF(OR('SC Change Orders'!$C217&lt;Controls!$C$5,'SC Change Orders'!$C217&gt;Controls!$C$6),"Dated outside the FY window — excluded; ",""))&amp;IF(AND('SC Change Orders'!$E217&lt;&gt;"",NOT(ISNUMBER('SC Change Orders'!$E217))),"Original Amount held as text — ignored by MINIFS; ","")&amp;IF(AND('SC Change Orders'!$F217&lt;&gt;"",NOT(ISNUMBER('SC Change Orders'!$F217))),"Amount Added held as text — ignored by SUMIFS; ","")&amp;IF(ISNUMBER('SC Change Orders'!$E217),IF(ISNUMBER('SC Change Orders'!$F217),IF(ISNUMBER('SC Change Orders'!$G217),  IF('SC Change Orders'!$G217&gt;0,IF(ROUND('SC Change Orders'!$E217+'SC Change Orders'!$F217,2)&lt;&gt;ROUND('SC Change Orders'!$G217,2),  "Original + Added &lt;&gt; Total Line Cost Allotted; ",""),""),""),""),"")&amp;IF(AND(ISNUMBER('SC Change Orders'!$B217),COUNTIFS('SC Change Orders'!$B$2:$B$501,'SC Change Orders'!$B217,'SC Change Orders'!$C$2:$C$501,'SC Change Orders'!$C217,'SC Change Orders'!$D$2:$D$501,'SC Change Orders'!$D217,'SC Change Orders'!$F$2:$F$501,'SC Change Orders'!$F217,'SC Change Orders'!$E$2:$E$501,'SC Change Orders'!$E217)&gt;1),"Duplicate of another row — funds counted twice; ","")&amp;IF(ISNUMBER('SC Change Orders'!$F217),IF('SC Change Orders'!$F217&lt;&gt;0,IF(AND(ISNUMBER('SC Change Orders'!$B217),NOT(COUNTIFS('SC Change Orders'!$B$2:$B$501,'SC Change Orders'!$B217,'SC Change Orders'!$C$2:$C$501,'SC Change Orders'!$C217,'SC Change Orders'!$D$2:$D$501,'SC Change Orders'!$D217,'SC Change Orders'!$F$2:$F$501,'SC Change Orders'!$F217,'SC Change Orders'!$E$2:$E$501,'SC Change Orders'!$E217)&gt;1),COUNTIFS('SC Change Orders'!$B$2:$B$501,'SC Change Orders'!$B217,'SC Change Orders'!$F$2:$F$501,'SC Change Orders'!$F217)&gt;1),  "Same PO and Amount Added as another row — check for a restatement counted twice; ",""),""),""))</f>
        <v/>
      </c>
    </row>
    <row r="236" customFormat="false" ht="15" hidden="false" customHeight="false" outlineLevel="0" collapsed="false">
      <c r="A236" s="18" t="str">
        <f aca="false">IF(AND('SC Change Orders'!$A218="",'SC Change Orders'!$B218="",'SC Change Orders'!$C218=""),"",218)</f>
        <v/>
      </c>
      <c r="B236" s="31" t="str">
        <f aca="false">IF($A236="","",'SC Change Orders'!$A218)</f>
        <v/>
      </c>
      <c r="C236" s="18" t="str">
        <f aca="false">IF($A236="","",'SC Change Orders'!$B218)</f>
        <v/>
      </c>
      <c r="D236" s="32" t="str">
        <f aca="false">IF($A236="","",'SC Change Orders'!$C218)</f>
        <v/>
      </c>
      <c r="E236" s="31" t="str">
        <f aca="false">IF($A236="","",'SC Change Orders'!$D218)</f>
        <v/>
      </c>
      <c r="F236" s="33" t="str">
        <f aca="false">IF($A236="","",'SC Change Orders'!$E218)</f>
        <v/>
      </c>
      <c r="G236" s="33" t="str">
        <f aca="false">IF($A236="","",'SC Change Orders'!$F218)</f>
        <v/>
      </c>
      <c r="H236" s="33" t="str">
        <f aca="false">IF($A236="","",'SC Change Orders'!$G218)</f>
        <v/>
      </c>
      <c r="I236" s="34" t="str">
        <f aca="false">IF($A236="","",IF(AND(ISNUMBER('SC Change Orders'!$C218),'SC Change Orders'!$C218&gt;=Controls!$C$5,'SC Change Orders'!$C218&lt;=Controls!$C$6),"Yes","No"))</f>
        <v/>
      </c>
      <c r="J236" s="31" t="str">
        <f aca="false">IF($A236="","",IF($K236="","OK",$K236))</f>
        <v/>
      </c>
      <c r="K236" s="0" t="str">
        <f aca="false">IF($A236="","",IF(NOT(ISNUMBER('SC Change Orders'!$B218)),"PO not numeric — row is invisible to the tracker; ","")&amp;IF(NOT(ISNUMBER('SC Change Orders'!$C218)),"Date missing or text — row excluded; ",  IF(OR('SC Change Orders'!$C218&lt;Controls!$C$5,'SC Change Orders'!$C218&gt;Controls!$C$6),"Dated outside the FY window — excluded; ",""))&amp;IF(AND('SC Change Orders'!$E218&lt;&gt;"",NOT(ISNUMBER('SC Change Orders'!$E218))),"Original Amount held as text — ignored by MINIFS; ","")&amp;IF(AND('SC Change Orders'!$F218&lt;&gt;"",NOT(ISNUMBER('SC Change Orders'!$F218))),"Amount Added held as text — ignored by SUMIFS; ","")&amp;IF(ISNUMBER('SC Change Orders'!$E218),IF(ISNUMBER('SC Change Orders'!$F218),IF(ISNUMBER('SC Change Orders'!$G218),  IF('SC Change Orders'!$G218&gt;0,IF(ROUND('SC Change Orders'!$E218+'SC Change Orders'!$F218,2)&lt;&gt;ROUND('SC Change Orders'!$G218,2),  "Original + Added &lt;&gt; Total Line Cost Allotted; ",""),""),""),""),"")&amp;IF(AND(ISNUMBER('SC Change Orders'!$B218),COUNTIFS('SC Change Orders'!$B$2:$B$501,'SC Change Orders'!$B218,'SC Change Orders'!$C$2:$C$501,'SC Change Orders'!$C218,'SC Change Orders'!$D$2:$D$501,'SC Change Orders'!$D218,'SC Change Orders'!$F$2:$F$501,'SC Change Orders'!$F218,'SC Change Orders'!$E$2:$E$501,'SC Change Orders'!$E218)&gt;1),"Duplicate of another row — funds counted twice; ","")&amp;IF(ISNUMBER('SC Change Orders'!$F218),IF('SC Change Orders'!$F218&lt;&gt;0,IF(AND(ISNUMBER('SC Change Orders'!$B218),NOT(COUNTIFS('SC Change Orders'!$B$2:$B$501,'SC Change Orders'!$B218,'SC Change Orders'!$C$2:$C$501,'SC Change Orders'!$C218,'SC Change Orders'!$D$2:$D$501,'SC Change Orders'!$D218,'SC Change Orders'!$F$2:$F$501,'SC Change Orders'!$F218,'SC Change Orders'!$E$2:$E$501,'SC Change Orders'!$E218)&gt;1),COUNTIFS('SC Change Orders'!$B$2:$B$501,'SC Change Orders'!$B218,'SC Change Orders'!$F$2:$F$501,'SC Change Orders'!$F218)&gt;1),  "Same PO and Amount Added as another row — check for a restatement counted twice; ",""),""),""))</f>
        <v/>
      </c>
    </row>
    <row r="237" customFormat="false" ht="15" hidden="false" customHeight="false" outlineLevel="0" collapsed="false">
      <c r="A237" s="18" t="str">
        <f aca="false">IF(AND('SC Change Orders'!$A219="",'SC Change Orders'!$B219="",'SC Change Orders'!$C219=""),"",219)</f>
        <v/>
      </c>
      <c r="B237" s="31" t="str">
        <f aca="false">IF($A237="","",'SC Change Orders'!$A219)</f>
        <v/>
      </c>
      <c r="C237" s="18" t="str">
        <f aca="false">IF($A237="","",'SC Change Orders'!$B219)</f>
        <v/>
      </c>
      <c r="D237" s="32" t="str">
        <f aca="false">IF($A237="","",'SC Change Orders'!$C219)</f>
        <v/>
      </c>
      <c r="E237" s="31" t="str">
        <f aca="false">IF($A237="","",'SC Change Orders'!$D219)</f>
        <v/>
      </c>
      <c r="F237" s="33" t="str">
        <f aca="false">IF($A237="","",'SC Change Orders'!$E219)</f>
        <v/>
      </c>
      <c r="G237" s="33" t="str">
        <f aca="false">IF($A237="","",'SC Change Orders'!$F219)</f>
        <v/>
      </c>
      <c r="H237" s="33" t="str">
        <f aca="false">IF($A237="","",'SC Change Orders'!$G219)</f>
        <v/>
      </c>
      <c r="I237" s="34" t="str">
        <f aca="false">IF($A237="","",IF(AND(ISNUMBER('SC Change Orders'!$C219),'SC Change Orders'!$C219&gt;=Controls!$C$5,'SC Change Orders'!$C219&lt;=Controls!$C$6),"Yes","No"))</f>
        <v/>
      </c>
      <c r="J237" s="31" t="str">
        <f aca="false">IF($A237="","",IF($K237="","OK",$K237))</f>
        <v/>
      </c>
      <c r="K237" s="0" t="str">
        <f aca="false">IF($A237="","",IF(NOT(ISNUMBER('SC Change Orders'!$B219)),"PO not numeric — row is invisible to the tracker; ","")&amp;IF(NOT(ISNUMBER('SC Change Orders'!$C219)),"Date missing or text — row excluded; ",  IF(OR('SC Change Orders'!$C219&lt;Controls!$C$5,'SC Change Orders'!$C219&gt;Controls!$C$6),"Dated outside the FY window — excluded; ",""))&amp;IF(AND('SC Change Orders'!$E219&lt;&gt;"",NOT(ISNUMBER('SC Change Orders'!$E219))),"Original Amount held as text — ignored by MINIFS; ","")&amp;IF(AND('SC Change Orders'!$F219&lt;&gt;"",NOT(ISNUMBER('SC Change Orders'!$F219))),"Amount Added held as text — ignored by SUMIFS; ","")&amp;IF(ISNUMBER('SC Change Orders'!$E219),IF(ISNUMBER('SC Change Orders'!$F219),IF(ISNUMBER('SC Change Orders'!$G219),  IF('SC Change Orders'!$G219&gt;0,IF(ROUND('SC Change Orders'!$E219+'SC Change Orders'!$F219,2)&lt;&gt;ROUND('SC Change Orders'!$G219,2),  "Original + Added &lt;&gt; Total Line Cost Allotted; ",""),""),""),""),"")&amp;IF(AND(ISNUMBER('SC Change Orders'!$B219),COUNTIFS('SC Change Orders'!$B$2:$B$501,'SC Change Orders'!$B219,'SC Change Orders'!$C$2:$C$501,'SC Change Orders'!$C219,'SC Change Orders'!$D$2:$D$501,'SC Change Orders'!$D219,'SC Change Orders'!$F$2:$F$501,'SC Change Orders'!$F219,'SC Change Orders'!$E$2:$E$501,'SC Change Orders'!$E219)&gt;1),"Duplicate of another row — funds counted twice; ","")&amp;IF(ISNUMBER('SC Change Orders'!$F219),IF('SC Change Orders'!$F219&lt;&gt;0,IF(AND(ISNUMBER('SC Change Orders'!$B219),NOT(COUNTIFS('SC Change Orders'!$B$2:$B$501,'SC Change Orders'!$B219,'SC Change Orders'!$C$2:$C$501,'SC Change Orders'!$C219,'SC Change Orders'!$D$2:$D$501,'SC Change Orders'!$D219,'SC Change Orders'!$F$2:$F$501,'SC Change Orders'!$F219,'SC Change Orders'!$E$2:$E$501,'SC Change Orders'!$E219)&gt;1),COUNTIFS('SC Change Orders'!$B$2:$B$501,'SC Change Orders'!$B219,'SC Change Orders'!$F$2:$F$501,'SC Change Orders'!$F219)&gt;1),  "Same PO and Amount Added as another row — check for a restatement counted twice; ",""),""),""))</f>
        <v/>
      </c>
    </row>
    <row r="238" customFormat="false" ht="15" hidden="false" customHeight="false" outlineLevel="0" collapsed="false">
      <c r="A238" s="18" t="str">
        <f aca="false">IF(AND('SC Change Orders'!$A220="",'SC Change Orders'!$B220="",'SC Change Orders'!$C220=""),"",220)</f>
        <v/>
      </c>
      <c r="B238" s="31" t="str">
        <f aca="false">IF($A238="","",'SC Change Orders'!$A220)</f>
        <v/>
      </c>
      <c r="C238" s="18" t="str">
        <f aca="false">IF($A238="","",'SC Change Orders'!$B220)</f>
        <v/>
      </c>
      <c r="D238" s="32" t="str">
        <f aca="false">IF($A238="","",'SC Change Orders'!$C220)</f>
        <v/>
      </c>
      <c r="E238" s="31" t="str">
        <f aca="false">IF($A238="","",'SC Change Orders'!$D220)</f>
        <v/>
      </c>
      <c r="F238" s="33" t="str">
        <f aca="false">IF($A238="","",'SC Change Orders'!$E220)</f>
        <v/>
      </c>
      <c r="G238" s="33" t="str">
        <f aca="false">IF($A238="","",'SC Change Orders'!$F220)</f>
        <v/>
      </c>
      <c r="H238" s="33" t="str">
        <f aca="false">IF($A238="","",'SC Change Orders'!$G220)</f>
        <v/>
      </c>
      <c r="I238" s="34" t="str">
        <f aca="false">IF($A238="","",IF(AND(ISNUMBER('SC Change Orders'!$C220),'SC Change Orders'!$C220&gt;=Controls!$C$5,'SC Change Orders'!$C220&lt;=Controls!$C$6),"Yes","No"))</f>
        <v/>
      </c>
      <c r="J238" s="31" t="str">
        <f aca="false">IF($A238="","",IF($K238="","OK",$K238))</f>
        <v/>
      </c>
      <c r="K238" s="0" t="str">
        <f aca="false">IF($A238="","",IF(NOT(ISNUMBER('SC Change Orders'!$B220)),"PO not numeric — row is invisible to the tracker; ","")&amp;IF(NOT(ISNUMBER('SC Change Orders'!$C220)),"Date missing or text — row excluded; ",  IF(OR('SC Change Orders'!$C220&lt;Controls!$C$5,'SC Change Orders'!$C220&gt;Controls!$C$6),"Dated outside the FY window — excluded; ",""))&amp;IF(AND('SC Change Orders'!$E220&lt;&gt;"",NOT(ISNUMBER('SC Change Orders'!$E220))),"Original Amount held as text — ignored by MINIFS; ","")&amp;IF(AND('SC Change Orders'!$F220&lt;&gt;"",NOT(ISNUMBER('SC Change Orders'!$F220))),"Amount Added held as text — ignored by SUMIFS; ","")&amp;IF(ISNUMBER('SC Change Orders'!$E220),IF(ISNUMBER('SC Change Orders'!$F220),IF(ISNUMBER('SC Change Orders'!$G220),  IF('SC Change Orders'!$G220&gt;0,IF(ROUND('SC Change Orders'!$E220+'SC Change Orders'!$F220,2)&lt;&gt;ROUND('SC Change Orders'!$G220,2),  "Original + Added &lt;&gt; Total Line Cost Allotted; ",""),""),""),""),"")&amp;IF(AND(ISNUMBER('SC Change Orders'!$B220),COUNTIFS('SC Change Orders'!$B$2:$B$501,'SC Change Orders'!$B220,'SC Change Orders'!$C$2:$C$501,'SC Change Orders'!$C220,'SC Change Orders'!$D$2:$D$501,'SC Change Orders'!$D220,'SC Change Orders'!$F$2:$F$501,'SC Change Orders'!$F220,'SC Change Orders'!$E$2:$E$501,'SC Change Orders'!$E220)&gt;1),"Duplicate of another row — funds counted twice; ","")&amp;IF(ISNUMBER('SC Change Orders'!$F220),IF('SC Change Orders'!$F220&lt;&gt;0,IF(AND(ISNUMBER('SC Change Orders'!$B220),NOT(COUNTIFS('SC Change Orders'!$B$2:$B$501,'SC Change Orders'!$B220,'SC Change Orders'!$C$2:$C$501,'SC Change Orders'!$C220,'SC Change Orders'!$D$2:$D$501,'SC Change Orders'!$D220,'SC Change Orders'!$F$2:$F$501,'SC Change Orders'!$F220,'SC Change Orders'!$E$2:$E$501,'SC Change Orders'!$E220)&gt;1),COUNTIFS('SC Change Orders'!$B$2:$B$501,'SC Change Orders'!$B220,'SC Change Orders'!$F$2:$F$501,'SC Change Orders'!$F220)&gt;1),  "Same PO and Amount Added as another row — check for a restatement counted twice; ",""),""),""))</f>
        <v/>
      </c>
    </row>
    <row r="239" customFormat="false" ht="15" hidden="false" customHeight="false" outlineLevel="0" collapsed="false">
      <c r="A239" s="18" t="str">
        <f aca="false">IF(AND('SC Change Orders'!$A221="",'SC Change Orders'!$B221="",'SC Change Orders'!$C221=""),"",221)</f>
        <v/>
      </c>
      <c r="B239" s="31" t="str">
        <f aca="false">IF($A239="","",'SC Change Orders'!$A221)</f>
        <v/>
      </c>
      <c r="C239" s="18" t="str">
        <f aca="false">IF($A239="","",'SC Change Orders'!$B221)</f>
        <v/>
      </c>
      <c r="D239" s="32" t="str">
        <f aca="false">IF($A239="","",'SC Change Orders'!$C221)</f>
        <v/>
      </c>
      <c r="E239" s="31" t="str">
        <f aca="false">IF($A239="","",'SC Change Orders'!$D221)</f>
        <v/>
      </c>
      <c r="F239" s="33" t="str">
        <f aca="false">IF($A239="","",'SC Change Orders'!$E221)</f>
        <v/>
      </c>
      <c r="G239" s="33" t="str">
        <f aca="false">IF($A239="","",'SC Change Orders'!$F221)</f>
        <v/>
      </c>
      <c r="H239" s="33" t="str">
        <f aca="false">IF($A239="","",'SC Change Orders'!$G221)</f>
        <v/>
      </c>
      <c r="I239" s="34" t="str">
        <f aca="false">IF($A239="","",IF(AND(ISNUMBER('SC Change Orders'!$C221),'SC Change Orders'!$C221&gt;=Controls!$C$5,'SC Change Orders'!$C221&lt;=Controls!$C$6),"Yes","No"))</f>
        <v/>
      </c>
      <c r="J239" s="31" t="str">
        <f aca="false">IF($A239="","",IF($K239="","OK",$K239))</f>
        <v/>
      </c>
      <c r="K239" s="0" t="str">
        <f aca="false">IF($A239="","",IF(NOT(ISNUMBER('SC Change Orders'!$B221)),"PO not numeric — row is invisible to the tracker; ","")&amp;IF(NOT(ISNUMBER('SC Change Orders'!$C221)),"Date missing or text — row excluded; ",  IF(OR('SC Change Orders'!$C221&lt;Controls!$C$5,'SC Change Orders'!$C221&gt;Controls!$C$6),"Dated outside the FY window — excluded; ",""))&amp;IF(AND('SC Change Orders'!$E221&lt;&gt;"",NOT(ISNUMBER('SC Change Orders'!$E221))),"Original Amount held as text — ignored by MINIFS; ","")&amp;IF(AND('SC Change Orders'!$F221&lt;&gt;"",NOT(ISNUMBER('SC Change Orders'!$F221))),"Amount Added held as text — ignored by SUMIFS; ","")&amp;IF(ISNUMBER('SC Change Orders'!$E221),IF(ISNUMBER('SC Change Orders'!$F221),IF(ISNUMBER('SC Change Orders'!$G221),  IF('SC Change Orders'!$G221&gt;0,IF(ROUND('SC Change Orders'!$E221+'SC Change Orders'!$F221,2)&lt;&gt;ROUND('SC Change Orders'!$G221,2),  "Original + Added &lt;&gt; Total Line Cost Allotted; ",""),""),""),""),"")&amp;IF(AND(ISNUMBER('SC Change Orders'!$B221),COUNTIFS('SC Change Orders'!$B$2:$B$501,'SC Change Orders'!$B221,'SC Change Orders'!$C$2:$C$501,'SC Change Orders'!$C221,'SC Change Orders'!$D$2:$D$501,'SC Change Orders'!$D221,'SC Change Orders'!$F$2:$F$501,'SC Change Orders'!$F221,'SC Change Orders'!$E$2:$E$501,'SC Change Orders'!$E221)&gt;1),"Duplicate of another row — funds counted twice; ","")&amp;IF(ISNUMBER('SC Change Orders'!$F221),IF('SC Change Orders'!$F221&lt;&gt;0,IF(AND(ISNUMBER('SC Change Orders'!$B221),NOT(COUNTIFS('SC Change Orders'!$B$2:$B$501,'SC Change Orders'!$B221,'SC Change Orders'!$C$2:$C$501,'SC Change Orders'!$C221,'SC Change Orders'!$D$2:$D$501,'SC Change Orders'!$D221,'SC Change Orders'!$F$2:$F$501,'SC Change Orders'!$F221,'SC Change Orders'!$E$2:$E$501,'SC Change Orders'!$E221)&gt;1),COUNTIFS('SC Change Orders'!$B$2:$B$501,'SC Change Orders'!$B221,'SC Change Orders'!$F$2:$F$501,'SC Change Orders'!$F221)&gt;1),  "Same PO and Amount Added as another row — check for a restatement counted twice; ",""),""),""))</f>
        <v/>
      </c>
    </row>
    <row r="240" customFormat="false" ht="15" hidden="false" customHeight="false" outlineLevel="0" collapsed="false">
      <c r="A240" s="18" t="str">
        <f aca="false">IF(AND('SC Change Orders'!$A222="",'SC Change Orders'!$B222="",'SC Change Orders'!$C222=""),"",222)</f>
        <v/>
      </c>
      <c r="B240" s="31" t="str">
        <f aca="false">IF($A240="","",'SC Change Orders'!$A222)</f>
        <v/>
      </c>
      <c r="C240" s="18" t="str">
        <f aca="false">IF($A240="","",'SC Change Orders'!$B222)</f>
        <v/>
      </c>
      <c r="D240" s="32" t="str">
        <f aca="false">IF($A240="","",'SC Change Orders'!$C222)</f>
        <v/>
      </c>
      <c r="E240" s="31" t="str">
        <f aca="false">IF($A240="","",'SC Change Orders'!$D222)</f>
        <v/>
      </c>
      <c r="F240" s="33" t="str">
        <f aca="false">IF($A240="","",'SC Change Orders'!$E222)</f>
        <v/>
      </c>
      <c r="G240" s="33" t="str">
        <f aca="false">IF($A240="","",'SC Change Orders'!$F222)</f>
        <v/>
      </c>
      <c r="H240" s="33" t="str">
        <f aca="false">IF($A240="","",'SC Change Orders'!$G222)</f>
        <v/>
      </c>
      <c r="I240" s="34" t="str">
        <f aca="false">IF($A240="","",IF(AND(ISNUMBER('SC Change Orders'!$C222),'SC Change Orders'!$C222&gt;=Controls!$C$5,'SC Change Orders'!$C222&lt;=Controls!$C$6),"Yes","No"))</f>
        <v/>
      </c>
      <c r="J240" s="31" t="str">
        <f aca="false">IF($A240="","",IF($K240="","OK",$K240))</f>
        <v/>
      </c>
      <c r="K240" s="0" t="str">
        <f aca="false">IF($A240="","",IF(NOT(ISNUMBER('SC Change Orders'!$B222)),"PO not numeric — row is invisible to the tracker; ","")&amp;IF(NOT(ISNUMBER('SC Change Orders'!$C222)),"Date missing or text — row excluded; ",  IF(OR('SC Change Orders'!$C222&lt;Controls!$C$5,'SC Change Orders'!$C222&gt;Controls!$C$6),"Dated outside the FY window — excluded; ",""))&amp;IF(AND('SC Change Orders'!$E222&lt;&gt;"",NOT(ISNUMBER('SC Change Orders'!$E222))),"Original Amount held as text — ignored by MINIFS; ","")&amp;IF(AND('SC Change Orders'!$F222&lt;&gt;"",NOT(ISNUMBER('SC Change Orders'!$F222))),"Amount Added held as text — ignored by SUMIFS; ","")&amp;IF(ISNUMBER('SC Change Orders'!$E222),IF(ISNUMBER('SC Change Orders'!$F222),IF(ISNUMBER('SC Change Orders'!$G222),  IF('SC Change Orders'!$G222&gt;0,IF(ROUND('SC Change Orders'!$E222+'SC Change Orders'!$F222,2)&lt;&gt;ROUND('SC Change Orders'!$G222,2),  "Original + Added &lt;&gt; Total Line Cost Allotted; ",""),""),""),""),"")&amp;IF(AND(ISNUMBER('SC Change Orders'!$B222),COUNTIFS('SC Change Orders'!$B$2:$B$501,'SC Change Orders'!$B222,'SC Change Orders'!$C$2:$C$501,'SC Change Orders'!$C222,'SC Change Orders'!$D$2:$D$501,'SC Change Orders'!$D222,'SC Change Orders'!$F$2:$F$501,'SC Change Orders'!$F222,'SC Change Orders'!$E$2:$E$501,'SC Change Orders'!$E222)&gt;1),"Duplicate of another row — funds counted twice; ","")&amp;IF(ISNUMBER('SC Change Orders'!$F222),IF('SC Change Orders'!$F222&lt;&gt;0,IF(AND(ISNUMBER('SC Change Orders'!$B222),NOT(COUNTIFS('SC Change Orders'!$B$2:$B$501,'SC Change Orders'!$B222,'SC Change Orders'!$C$2:$C$501,'SC Change Orders'!$C222,'SC Change Orders'!$D$2:$D$501,'SC Change Orders'!$D222,'SC Change Orders'!$F$2:$F$501,'SC Change Orders'!$F222,'SC Change Orders'!$E$2:$E$501,'SC Change Orders'!$E222)&gt;1),COUNTIFS('SC Change Orders'!$B$2:$B$501,'SC Change Orders'!$B222,'SC Change Orders'!$F$2:$F$501,'SC Change Orders'!$F222)&gt;1),  "Same PO and Amount Added as another row — check for a restatement counted twice; ",""),""),""))</f>
        <v/>
      </c>
    </row>
    <row r="241" customFormat="false" ht="15" hidden="false" customHeight="false" outlineLevel="0" collapsed="false">
      <c r="A241" s="18" t="str">
        <f aca="false">IF(AND('SC Change Orders'!$A223="",'SC Change Orders'!$B223="",'SC Change Orders'!$C223=""),"",223)</f>
        <v/>
      </c>
      <c r="B241" s="31" t="str">
        <f aca="false">IF($A241="","",'SC Change Orders'!$A223)</f>
        <v/>
      </c>
      <c r="C241" s="18" t="str">
        <f aca="false">IF($A241="","",'SC Change Orders'!$B223)</f>
        <v/>
      </c>
      <c r="D241" s="32" t="str">
        <f aca="false">IF($A241="","",'SC Change Orders'!$C223)</f>
        <v/>
      </c>
      <c r="E241" s="31" t="str">
        <f aca="false">IF($A241="","",'SC Change Orders'!$D223)</f>
        <v/>
      </c>
      <c r="F241" s="33" t="str">
        <f aca="false">IF($A241="","",'SC Change Orders'!$E223)</f>
        <v/>
      </c>
      <c r="G241" s="33" t="str">
        <f aca="false">IF($A241="","",'SC Change Orders'!$F223)</f>
        <v/>
      </c>
      <c r="H241" s="33" t="str">
        <f aca="false">IF($A241="","",'SC Change Orders'!$G223)</f>
        <v/>
      </c>
      <c r="I241" s="34" t="str">
        <f aca="false">IF($A241="","",IF(AND(ISNUMBER('SC Change Orders'!$C223),'SC Change Orders'!$C223&gt;=Controls!$C$5,'SC Change Orders'!$C223&lt;=Controls!$C$6),"Yes","No"))</f>
        <v/>
      </c>
      <c r="J241" s="31" t="str">
        <f aca="false">IF($A241="","",IF($K241="","OK",$K241))</f>
        <v/>
      </c>
      <c r="K241" s="0" t="str">
        <f aca="false">IF($A241="","",IF(NOT(ISNUMBER('SC Change Orders'!$B223)),"PO not numeric — row is invisible to the tracker; ","")&amp;IF(NOT(ISNUMBER('SC Change Orders'!$C223)),"Date missing or text — row excluded; ",  IF(OR('SC Change Orders'!$C223&lt;Controls!$C$5,'SC Change Orders'!$C223&gt;Controls!$C$6),"Dated outside the FY window — excluded; ",""))&amp;IF(AND('SC Change Orders'!$E223&lt;&gt;"",NOT(ISNUMBER('SC Change Orders'!$E223))),"Original Amount held as text — ignored by MINIFS; ","")&amp;IF(AND('SC Change Orders'!$F223&lt;&gt;"",NOT(ISNUMBER('SC Change Orders'!$F223))),"Amount Added held as text — ignored by SUMIFS; ","")&amp;IF(ISNUMBER('SC Change Orders'!$E223),IF(ISNUMBER('SC Change Orders'!$F223),IF(ISNUMBER('SC Change Orders'!$G223),  IF('SC Change Orders'!$G223&gt;0,IF(ROUND('SC Change Orders'!$E223+'SC Change Orders'!$F223,2)&lt;&gt;ROUND('SC Change Orders'!$G223,2),  "Original + Added &lt;&gt; Total Line Cost Allotted; ",""),""),""),""),"")&amp;IF(AND(ISNUMBER('SC Change Orders'!$B223),COUNTIFS('SC Change Orders'!$B$2:$B$501,'SC Change Orders'!$B223,'SC Change Orders'!$C$2:$C$501,'SC Change Orders'!$C223,'SC Change Orders'!$D$2:$D$501,'SC Change Orders'!$D223,'SC Change Orders'!$F$2:$F$501,'SC Change Orders'!$F223,'SC Change Orders'!$E$2:$E$501,'SC Change Orders'!$E223)&gt;1),"Duplicate of another row — funds counted twice; ","")&amp;IF(ISNUMBER('SC Change Orders'!$F223),IF('SC Change Orders'!$F223&lt;&gt;0,IF(AND(ISNUMBER('SC Change Orders'!$B223),NOT(COUNTIFS('SC Change Orders'!$B$2:$B$501,'SC Change Orders'!$B223,'SC Change Orders'!$C$2:$C$501,'SC Change Orders'!$C223,'SC Change Orders'!$D$2:$D$501,'SC Change Orders'!$D223,'SC Change Orders'!$F$2:$F$501,'SC Change Orders'!$F223,'SC Change Orders'!$E$2:$E$501,'SC Change Orders'!$E223)&gt;1),COUNTIFS('SC Change Orders'!$B$2:$B$501,'SC Change Orders'!$B223,'SC Change Orders'!$F$2:$F$501,'SC Change Orders'!$F223)&gt;1),  "Same PO and Amount Added as another row — check for a restatement counted twice; ",""),""),""))</f>
        <v/>
      </c>
    </row>
    <row r="242" customFormat="false" ht="15" hidden="false" customHeight="false" outlineLevel="0" collapsed="false">
      <c r="A242" s="18" t="str">
        <f aca="false">IF(AND('SC Change Orders'!$A224="",'SC Change Orders'!$B224="",'SC Change Orders'!$C224=""),"",224)</f>
        <v/>
      </c>
      <c r="B242" s="31" t="str">
        <f aca="false">IF($A242="","",'SC Change Orders'!$A224)</f>
        <v/>
      </c>
      <c r="C242" s="18" t="str">
        <f aca="false">IF($A242="","",'SC Change Orders'!$B224)</f>
        <v/>
      </c>
      <c r="D242" s="32" t="str">
        <f aca="false">IF($A242="","",'SC Change Orders'!$C224)</f>
        <v/>
      </c>
      <c r="E242" s="31" t="str">
        <f aca="false">IF($A242="","",'SC Change Orders'!$D224)</f>
        <v/>
      </c>
      <c r="F242" s="33" t="str">
        <f aca="false">IF($A242="","",'SC Change Orders'!$E224)</f>
        <v/>
      </c>
      <c r="G242" s="33" t="str">
        <f aca="false">IF($A242="","",'SC Change Orders'!$F224)</f>
        <v/>
      </c>
      <c r="H242" s="33" t="str">
        <f aca="false">IF($A242="","",'SC Change Orders'!$G224)</f>
        <v/>
      </c>
      <c r="I242" s="34" t="str">
        <f aca="false">IF($A242="","",IF(AND(ISNUMBER('SC Change Orders'!$C224),'SC Change Orders'!$C224&gt;=Controls!$C$5,'SC Change Orders'!$C224&lt;=Controls!$C$6),"Yes","No"))</f>
        <v/>
      </c>
      <c r="J242" s="31" t="str">
        <f aca="false">IF($A242="","",IF($K242="","OK",$K242))</f>
        <v/>
      </c>
      <c r="K242" s="0" t="str">
        <f aca="false">IF($A242="","",IF(NOT(ISNUMBER('SC Change Orders'!$B224)),"PO not numeric — row is invisible to the tracker; ","")&amp;IF(NOT(ISNUMBER('SC Change Orders'!$C224)),"Date missing or text — row excluded; ",  IF(OR('SC Change Orders'!$C224&lt;Controls!$C$5,'SC Change Orders'!$C224&gt;Controls!$C$6),"Dated outside the FY window — excluded; ",""))&amp;IF(AND('SC Change Orders'!$E224&lt;&gt;"",NOT(ISNUMBER('SC Change Orders'!$E224))),"Original Amount held as text — ignored by MINIFS; ","")&amp;IF(AND('SC Change Orders'!$F224&lt;&gt;"",NOT(ISNUMBER('SC Change Orders'!$F224))),"Amount Added held as text — ignored by SUMIFS; ","")&amp;IF(ISNUMBER('SC Change Orders'!$E224),IF(ISNUMBER('SC Change Orders'!$F224),IF(ISNUMBER('SC Change Orders'!$G224),  IF('SC Change Orders'!$G224&gt;0,IF(ROUND('SC Change Orders'!$E224+'SC Change Orders'!$F224,2)&lt;&gt;ROUND('SC Change Orders'!$G224,2),  "Original + Added &lt;&gt; Total Line Cost Allotted; ",""),""),""),""),"")&amp;IF(AND(ISNUMBER('SC Change Orders'!$B224),COUNTIFS('SC Change Orders'!$B$2:$B$501,'SC Change Orders'!$B224,'SC Change Orders'!$C$2:$C$501,'SC Change Orders'!$C224,'SC Change Orders'!$D$2:$D$501,'SC Change Orders'!$D224,'SC Change Orders'!$F$2:$F$501,'SC Change Orders'!$F224,'SC Change Orders'!$E$2:$E$501,'SC Change Orders'!$E224)&gt;1),"Duplicate of another row — funds counted twice; ","")&amp;IF(ISNUMBER('SC Change Orders'!$F224),IF('SC Change Orders'!$F224&lt;&gt;0,IF(AND(ISNUMBER('SC Change Orders'!$B224),NOT(COUNTIFS('SC Change Orders'!$B$2:$B$501,'SC Change Orders'!$B224,'SC Change Orders'!$C$2:$C$501,'SC Change Orders'!$C224,'SC Change Orders'!$D$2:$D$501,'SC Change Orders'!$D224,'SC Change Orders'!$F$2:$F$501,'SC Change Orders'!$F224,'SC Change Orders'!$E$2:$E$501,'SC Change Orders'!$E224)&gt;1),COUNTIFS('SC Change Orders'!$B$2:$B$501,'SC Change Orders'!$B224,'SC Change Orders'!$F$2:$F$501,'SC Change Orders'!$F224)&gt;1),  "Same PO and Amount Added as another row — check for a restatement counted twice; ",""),""),""))</f>
        <v/>
      </c>
    </row>
    <row r="243" customFormat="false" ht="15" hidden="false" customHeight="false" outlineLevel="0" collapsed="false">
      <c r="A243" s="18" t="str">
        <f aca="false">IF(AND('SC Change Orders'!$A225="",'SC Change Orders'!$B225="",'SC Change Orders'!$C225=""),"",225)</f>
        <v/>
      </c>
      <c r="B243" s="31" t="str">
        <f aca="false">IF($A243="","",'SC Change Orders'!$A225)</f>
        <v/>
      </c>
      <c r="C243" s="18" t="str">
        <f aca="false">IF($A243="","",'SC Change Orders'!$B225)</f>
        <v/>
      </c>
      <c r="D243" s="32" t="str">
        <f aca="false">IF($A243="","",'SC Change Orders'!$C225)</f>
        <v/>
      </c>
      <c r="E243" s="31" t="str">
        <f aca="false">IF($A243="","",'SC Change Orders'!$D225)</f>
        <v/>
      </c>
      <c r="F243" s="33" t="str">
        <f aca="false">IF($A243="","",'SC Change Orders'!$E225)</f>
        <v/>
      </c>
      <c r="G243" s="33" t="str">
        <f aca="false">IF($A243="","",'SC Change Orders'!$F225)</f>
        <v/>
      </c>
      <c r="H243" s="33" t="str">
        <f aca="false">IF($A243="","",'SC Change Orders'!$G225)</f>
        <v/>
      </c>
      <c r="I243" s="34" t="str">
        <f aca="false">IF($A243="","",IF(AND(ISNUMBER('SC Change Orders'!$C225),'SC Change Orders'!$C225&gt;=Controls!$C$5,'SC Change Orders'!$C225&lt;=Controls!$C$6),"Yes","No"))</f>
        <v/>
      </c>
      <c r="J243" s="31" t="str">
        <f aca="false">IF($A243="","",IF($K243="","OK",$K243))</f>
        <v/>
      </c>
      <c r="K243" s="0" t="str">
        <f aca="false">IF($A243="","",IF(NOT(ISNUMBER('SC Change Orders'!$B225)),"PO not numeric — row is invisible to the tracker; ","")&amp;IF(NOT(ISNUMBER('SC Change Orders'!$C225)),"Date missing or text — row excluded; ",  IF(OR('SC Change Orders'!$C225&lt;Controls!$C$5,'SC Change Orders'!$C225&gt;Controls!$C$6),"Dated outside the FY window — excluded; ",""))&amp;IF(AND('SC Change Orders'!$E225&lt;&gt;"",NOT(ISNUMBER('SC Change Orders'!$E225))),"Original Amount held as text — ignored by MINIFS; ","")&amp;IF(AND('SC Change Orders'!$F225&lt;&gt;"",NOT(ISNUMBER('SC Change Orders'!$F225))),"Amount Added held as text — ignored by SUMIFS; ","")&amp;IF(ISNUMBER('SC Change Orders'!$E225),IF(ISNUMBER('SC Change Orders'!$F225),IF(ISNUMBER('SC Change Orders'!$G225),  IF('SC Change Orders'!$G225&gt;0,IF(ROUND('SC Change Orders'!$E225+'SC Change Orders'!$F225,2)&lt;&gt;ROUND('SC Change Orders'!$G225,2),  "Original + Added &lt;&gt; Total Line Cost Allotted; ",""),""),""),""),"")&amp;IF(AND(ISNUMBER('SC Change Orders'!$B225),COUNTIFS('SC Change Orders'!$B$2:$B$501,'SC Change Orders'!$B225,'SC Change Orders'!$C$2:$C$501,'SC Change Orders'!$C225,'SC Change Orders'!$D$2:$D$501,'SC Change Orders'!$D225,'SC Change Orders'!$F$2:$F$501,'SC Change Orders'!$F225,'SC Change Orders'!$E$2:$E$501,'SC Change Orders'!$E225)&gt;1),"Duplicate of another row — funds counted twice; ","")&amp;IF(ISNUMBER('SC Change Orders'!$F225),IF('SC Change Orders'!$F225&lt;&gt;0,IF(AND(ISNUMBER('SC Change Orders'!$B225),NOT(COUNTIFS('SC Change Orders'!$B$2:$B$501,'SC Change Orders'!$B225,'SC Change Orders'!$C$2:$C$501,'SC Change Orders'!$C225,'SC Change Orders'!$D$2:$D$501,'SC Change Orders'!$D225,'SC Change Orders'!$F$2:$F$501,'SC Change Orders'!$F225,'SC Change Orders'!$E$2:$E$501,'SC Change Orders'!$E225)&gt;1),COUNTIFS('SC Change Orders'!$B$2:$B$501,'SC Change Orders'!$B225,'SC Change Orders'!$F$2:$F$501,'SC Change Orders'!$F225)&gt;1),  "Same PO and Amount Added as another row — check for a restatement counted twice; ",""),""),""))</f>
        <v/>
      </c>
    </row>
    <row r="244" customFormat="false" ht="15" hidden="false" customHeight="false" outlineLevel="0" collapsed="false">
      <c r="A244" s="18" t="str">
        <f aca="false">IF(AND('SC Change Orders'!$A226="",'SC Change Orders'!$B226="",'SC Change Orders'!$C226=""),"",226)</f>
        <v/>
      </c>
      <c r="B244" s="31" t="str">
        <f aca="false">IF($A244="","",'SC Change Orders'!$A226)</f>
        <v/>
      </c>
      <c r="C244" s="18" t="str">
        <f aca="false">IF($A244="","",'SC Change Orders'!$B226)</f>
        <v/>
      </c>
      <c r="D244" s="32" t="str">
        <f aca="false">IF($A244="","",'SC Change Orders'!$C226)</f>
        <v/>
      </c>
      <c r="E244" s="31" t="str">
        <f aca="false">IF($A244="","",'SC Change Orders'!$D226)</f>
        <v/>
      </c>
      <c r="F244" s="33" t="str">
        <f aca="false">IF($A244="","",'SC Change Orders'!$E226)</f>
        <v/>
      </c>
      <c r="G244" s="33" t="str">
        <f aca="false">IF($A244="","",'SC Change Orders'!$F226)</f>
        <v/>
      </c>
      <c r="H244" s="33" t="str">
        <f aca="false">IF($A244="","",'SC Change Orders'!$G226)</f>
        <v/>
      </c>
      <c r="I244" s="34" t="str">
        <f aca="false">IF($A244="","",IF(AND(ISNUMBER('SC Change Orders'!$C226),'SC Change Orders'!$C226&gt;=Controls!$C$5,'SC Change Orders'!$C226&lt;=Controls!$C$6),"Yes","No"))</f>
        <v/>
      </c>
      <c r="J244" s="31" t="str">
        <f aca="false">IF($A244="","",IF($K244="","OK",$K244))</f>
        <v/>
      </c>
      <c r="K244" s="0" t="str">
        <f aca="false">IF($A244="","",IF(NOT(ISNUMBER('SC Change Orders'!$B226)),"PO not numeric — row is invisible to the tracker; ","")&amp;IF(NOT(ISNUMBER('SC Change Orders'!$C226)),"Date missing or text — row excluded; ",  IF(OR('SC Change Orders'!$C226&lt;Controls!$C$5,'SC Change Orders'!$C226&gt;Controls!$C$6),"Dated outside the FY window — excluded; ",""))&amp;IF(AND('SC Change Orders'!$E226&lt;&gt;"",NOT(ISNUMBER('SC Change Orders'!$E226))),"Original Amount held as text — ignored by MINIFS; ","")&amp;IF(AND('SC Change Orders'!$F226&lt;&gt;"",NOT(ISNUMBER('SC Change Orders'!$F226))),"Amount Added held as text — ignored by SUMIFS; ","")&amp;IF(ISNUMBER('SC Change Orders'!$E226),IF(ISNUMBER('SC Change Orders'!$F226),IF(ISNUMBER('SC Change Orders'!$G226),  IF('SC Change Orders'!$G226&gt;0,IF(ROUND('SC Change Orders'!$E226+'SC Change Orders'!$F226,2)&lt;&gt;ROUND('SC Change Orders'!$G226,2),  "Original + Added &lt;&gt; Total Line Cost Allotted; ",""),""),""),""),"")&amp;IF(AND(ISNUMBER('SC Change Orders'!$B226),COUNTIFS('SC Change Orders'!$B$2:$B$501,'SC Change Orders'!$B226,'SC Change Orders'!$C$2:$C$501,'SC Change Orders'!$C226,'SC Change Orders'!$D$2:$D$501,'SC Change Orders'!$D226,'SC Change Orders'!$F$2:$F$501,'SC Change Orders'!$F226,'SC Change Orders'!$E$2:$E$501,'SC Change Orders'!$E226)&gt;1),"Duplicate of another row — funds counted twice; ","")&amp;IF(ISNUMBER('SC Change Orders'!$F226),IF('SC Change Orders'!$F226&lt;&gt;0,IF(AND(ISNUMBER('SC Change Orders'!$B226),NOT(COUNTIFS('SC Change Orders'!$B$2:$B$501,'SC Change Orders'!$B226,'SC Change Orders'!$C$2:$C$501,'SC Change Orders'!$C226,'SC Change Orders'!$D$2:$D$501,'SC Change Orders'!$D226,'SC Change Orders'!$F$2:$F$501,'SC Change Orders'!$F226,'SC Change Orders'!$E$2:$E$501,'SC Change Orders'!$E226)&gt;1),COUNTIFS('SC Change Orders'!$B$2:$B$501,'SC Change Orders'!$B226,'SC Change Orders'!$F$2:$F$501,'SC Change Orders'!$F226)&gt;1),  "Same PO and Amount Added as another row — check for a restatement counted twice; ",""),""),""))</f>
        <v/>
      </c>
    </row>
    <row r="245" customFormat="false" ht="15" hidden="false" customHeight="false" outlineLevel="0" collapsed="false">
      <c r="A245" s="18" t="str">
        <f aca="false">IF(AND('SC Change Orders'!$A227="",'SC Change Orders'!$B227="",'SC Change Orders'!$C227=""),"",227)</f>
        <v/>
      </c>
      <c r="B245" s="31" t="str">
        <f aca="false">IF($A245="","",'SC Change Orders'!$A227)</f>
        <v/>
      </c>
      <c r="C245" s="18" t="str">
        <f aca="false">IF($A245="","",'SC Change Orders'!$B227)</f>
        <v/>
      </c>
      <c r="D245" s="32" t="str">
        <f aca="false">IF($A245="","",'SC Change Orders'!$C227)</f>
        <v/>
      </c>
      <c r="E245" s="31" t="str">
        <f aca="false">IF($A245="","",'SC Change Orders'!$D227)</f>
        <v/>
      </c>
      <c r="F245" s="33" t="str">
        <f aca="false">IF($A245="","",'SC Change Orders'!$E227)</f>
        <v/>
      </c>
      <c r="G245" s="33" t="str">
        <f aca="false">IF($A245="","",'SC Change Orders'!$F227)</f>
        <v/>
      </c>
      <c r="H245" s="33" t="str">
        <f aca="false">IF($A245="","",'SC Change Orders'!$G227)</f>
        <v/>
      </c>
      <c r="I245" s="34" t="str">
        <f aca="false">IF($A245="","",IF(AND(ISNUMBER('SC Change Orders'!$C227),'SC Change Orders'!$C227&gt;=Controls!$C$5,'SC Change Orders'!$C227&lt;=Controls!$C$6),"Yes","No"))</f>
        <v/>
      </c>
      <c r="J245" s="31" t="str">
        <f aca="false">IF($A245="","",IF($K245="","OK",$K245))</f>
        <v/>
      </c>
      <c r="K245" s="0" t="str">
        <f aca="false">IF($A245="","",IF(NOT(ISNUMBER('SC Change Orders'!$B227)),"PO not numeric — row is invisible to the tracker; ","")&amp;IF(NOT(ISNUMBER('SC Change Orders'!$C227)),"Date missing or text — row excluded; ",  IF(OR('SC Change Orders'!$C227&lt;Controls!$C$5,'SC Change Orders'!$C227&gt;Controls!$C$6),"Dated outside the FY window — excluded; ",""))&amp;IF(AND('SC Change Orders'!$E227&lt;&gt;"",NOT(ISNUMBER('SC Change Orders'!$E227))),"Original Amount held as text — ignored by MINIFS; ","")&amp;IF(AND('SC Change Orders'!$F227&lt;&gt;"",NOT(ISNUMBER('SC Change Orders'!$F227))),"Amount Added held as text — ignored by SUMIFS; ","")&amp;IF(ISNUMBER('SC Change Orders'!$E227),IF(ISNUMBER('SC Change Orders'!$F227),IF(ISNUMBER('SC Change Orders'!$G227),  IF('SC Change Orders'!$G227&gt;0,IF(ROUND('SC Change Orders'!$E227+'SC Change Orders'!$F227,2)&lt;&gt;ROUND('SC Change Orders'!$G227,2),  "Original + Added &lt;&gt; Total Line Cost Allotted; ",""),""),""),""),"")&amp;IF(AND(ISNUMBER('SC Change Orders'!$B227),COUNTIFS('SC Change Orders'!$B$2:$B$501,'SC Change Orders'!$B227,'SC Change Orders'!$C$2:$C$501,'SC Change Orders'!$C227,'SC Change Orders'!$D$2:$D$501,'SC Change Orders'!$D227,'SC Change Orders'!$F$2:$F$501,'SC Change Orders'!$F227,'SC Change Orders'!$E$2:$E$501,'SC Change Orders'!$E227)&gt;1),"Duplicate of another row — funds counted twice; ","")&amp;IF(ISNUMBER('SC Change Orders'!$F227),IF('SC Change Orders'!$F227&lt;&gt;0,IF(AND(ISNUMBER('SC Change Orders'!$B227),NOT(COUNTIFS('SC Change Orders'!$B$2:$B$501,'SC Change Orders'!$B227,'SC Change Orders'!$C$2:$C$501,'SC Change Orders'!$C227,'SC Change Orders'!$D$2:$D$501,'SC Change Orders'!$D227,'SC Change Orders'!$F$2:$F$501,'SC Change Orders'!$F227,'SC Change Orders'!$E$2:$E$501,'SC Change Orders'!$E227)&gt;1),COUNTIFS('SC Change Orders'!$B$2:$B$501,'SC Change Orders'!$B227,'SC Change Orders'!$F$2:$F$501,'SC Change Orders'!$F227)&gt;1),  "Same PO and Amount Added as another row — check for a restatement counted twice; ",""),""),""))</f>
        <v/>
      </c>
    </row>
    <row r="246" customFormat="false" ht="15" hidden="false" customHeight="false" outlineLevel="0" collapsed="false">
      <c r="A246" s="18" t="str">
        <f aca="false">IF(AND('SC Change Orders'!$A228="",'SC Change Orders'!$B228="",'SC Change Orders'!$C228=""),"",228)</f>
        <v/>
      </c>
      <c r="B246" s="31" t="str">
        <f aca="false">IF($A246="","",'SC Change Orders'!$A228)</f>
        <v/>
      </c>
      <c r="C246" s="18" t="str">
        <f aca="false">IF($A246="","",'SC Change Orders'!$B228)</f>
        <v/>
      </c>
      <c r="D246" s="32" t="str">
        <f aca="false">IF($A246="","",'SC Change Orders'!$C228)</f>
        <v/>
      </c>
      <c r="E246" s="31" t="str">
        <f aca="false">IF($A246="","",'SC Change Orders'!$D228)</f>
        <v/>
      </c>
      <c r="F246" s="33" t="str">
        <f aca="false">IF($A246="","",'SC Change Orders'!$E228)</f>
        <v/>
      </c>
      <c r="G246" s="33" t="str">
        <f aca="false">IF($A246="","",'SC Change Orders'!$F228)</f>
        <v/>
      </c>
      <c r="H246" s="33" t="str">
        <f aca="false">IF($A246="","",'SC Change Orders'!$G228)</f>
        <v/>
      </c>
      <c r="I246" s="34" t="str">
        <f aca="false">IF($A246="","",IF(AND(ISNUMBER('SC Change Orders'!$C228),'SC Change Orders'!$C228&gt;=Controls!$C$5,'SC Change Orders'!$C228&lt;=Controls!$C$6),"Yes","No"))</f>
        <v/>
      </c>
      <c r="J246" s="31" t="str">
        <f aca="false">IF($A246="","",IF($K246="","OK",$K246))</f>
        <v/>
      </c>
      <c r="K246" s="0" t="str">
        <f aca="false">IF($A246="","",IF(NOT(ISNUMBER('SC Change Orders'!$B228)),"PO not numeric — row is invisible to the tracker; ","")&amp;IF(NOT(ISNUMBER('SC Change Orders'!$C228)),"Date missing or text — row excluded; ",  IF(OR('SC Change Orders'!$C228&lt;Controls!$C$5,'SC Change Orders'!$C228&gt;Controls!$C$6),"Dated outside the FY window — excluded; ",""))&amp;IF(AND('SC Change Orders'!$E228&lt;&gt;"",NOT(ISNUMBER('SC Change Orders'!$E228))),"Original Amount held as text — ignored by MINIFS; ","")&amp;IF(AND('SC Change Orders'!$F228&lt;&gt;"",NOT(ISNUMBER('SC Change Orders'!$F228))),"Amount Added held as text — ignored by SUMIFS; ","")&amp;IF(ISNUMBER('SC Change Orders'!$E228),IF(ISNUMBER('SC Change Orders'!$F228),IF(ISNUMBER('SC Change Orders'!$G228),  IF('SC Change Orders'!$G228&gt;0,IF(ROUND('SC Change Orders'!$E228+'SC Change Orders'!$F228,2)&lt;&gt;ROUND('SC Change Orders'!$G228,2),  "Original + Added &lt;&gt; Total Line Cost Allotted; ",""),""),""),""),"")&amp;IF(AND(ISNUMBER('SC Change Orders'!$B228),COUNTIFS('SC Change Orders'!$B$2:$B$501,'SC Change Orders'!$B228,'SC Change Orders'!$C$2:$C$501,'SC Change Orders'!$C228,'SC Change Orders'!$D$2:$D$501,'SC Change Orders'!$D228,'SC Change Orders'!$F$2:$F$501,'SC Change Orders'!$F228,'SC Change Orders'!$E$2:$E$501,'SC Change Orders'!$E228)&gt;1),"Duplicate of another row — funds counted twice; ","")&amp;IF(ISNUMBER('SC Change Orders'!$F228),IF('SC Change Orders'!$F228&lt;&gt;0,IF(AND(ISNUMBER('SC Change Orders'!$B228),NOT(COUNTIFS('SC Change Orders'!$B$2:$B$501,'SC Change Orders'!$B228,'SC Change Orders'!$C$2:$C$501,'SC Change Orders'!$C228,'SC Change Orders'!$D$2:$D$501,'SC Change Orders'!$D228,'SC Change Orders'!$F$2:$F$501,'SC Change Orders'!$F228,'SC Change Orders'!$E$2:$E$501,'SC Change Orders'!$E228)&gt;1),COUNTIFS('SC Change Orders'!$B$2:$B$501,'SC Change Orders'!$B228,'SC Change Orders'!$F$2:$F$501,'SC Change Orders'!$F228)&gt;1),  "Same PO and Amount Added as another row — check for a restatement counted twice; ",""),""),""))</f>
        <v/>
      </c>
    </row>
    <row r="247" customFormat="false" ht="15" hidden="false" customHeight="false" outlineLevel="0" collapsed="false">
      <c r="A247" s="18" t="str">
        <f aca="false">IF(AND('SC Change Orders'!$A229="",'SC Change Orders'!$B229="",'SC Change Orders'!$C229=""),"",229)</f>
        <v/>
      </c>
      <c r="B247" s="31" t="str">
        <f aca="false">IF($A247="","",'SC Change Orders'!$A229)</f>
        <v/>
      </c>
      <c r="C247" s="18" t="str">
        <f aca="false">IF($A247="","",'SC Change Orders'!$B229)</f>
        <v/>
      </c>
      <c r="D247" s="32" t="str">
        <f aca="false">IF($A247="","",'SC Change Orders'!$C229)</f>
        <v/>
      </c>
      <c r="E247" s="31" t="str">
        <f aca="false">IF($A247="","",'SC Change Orders'!$D229)</f>
        <v/>
      </c>
      <c r="F247" s="33" t="str">
        <f aca="false">IF($A247="","",'SC Change Orders'!$E229)</f>
        <v/>
      </c>
      <c r="G247" s="33" t="str">
        <f aca="false">IF($A247="","",'SC Change Orders'!$F229)</f>
        <v/>
      </c>
      <c r="H247" s="33" t="str">
        <f aca="false">IF($A247="","",'SC Change Orders'!$G229)</f>
        <v/>
      </c>
      <c r="I247" s="34" t="str">
        <f aca="false">IF($A247="","",IF(AND(ISNUMBER('SC Change Orders'!$C229),'SC Change Orders'!$C229&gt;=Controls!$C$5,'SC Change Orders'!$C229&lt;=Controls!$C$6),"Yes","No"))</f>
        <v/>
      </c>
      <c r="J247" s="31" t="str">
        <f aca="false">IF($A247="","",IF($K247="","OK",$K247))</f>
        <v/>
      </c>
      <c r="K247" s="0" t="str">
        <f aca="false">IF($A247="","",IF(NOT(ISNUMBER('SC Change Orders'!$B229)),"PO not numeric — row is invisible to the tracker; ","")&amp;IF(NOT(ISNUMBER('SC Change Orders'!$C229)),"Date missing or text — row excluded; ",  IF(OR('SC Change Orders'!$C229&lt;Controls!$C$5,'SC Change Orders'!$C229&gt;Controls!$C$6),"Dated outside the FY window — excluded; ",""))&amp;IF(AND('SC Change Orders'!$E229&lt;&gt;"",NOT(ISNUMBER('SC Change Orders'!$E229))),"Original Amount held as text — ignored by MINIFS; ","")&amp;IF(AND('SC Change Orders'!$F229&lt;&gt;"",NOT(ISNUMBER('SC Change Orders'!$F229))),"Amount Added held as text — ignored by SUMIFS; ","")&amp;IF(ISNUMBER('SC Change Orders'!$E229),IF(ISNUMBER('SC Change Orders'!$F229),IF(ISNUMBER('SC Change Orders'!$G229),  IF('SC Change Orders'!$G229&gt;0,IF(ROUND('SC Change Orders'!$E229+'SC Change Orders'!$F229,2)&lt;&gt;ROUND('SC Change Orders'!$G229,2),  "Original + Added &lt;&gt; Total Line Cost Allotted; ",""),""),""),""),"")&amp;IF(AND(ISNUMBER('SC Change Orders'!$B229),COUNTIFS('SC Change Orders'!$B$2:$B$501,'SC Change Orders'!$B229,'SC Change Orders'!$C$2:$C$501,'SC Change Orders'!$C229,'SC Change Orders'!$D$2:$D$501,'SC Change Orders'!$D229,'SC Change Orders'!$F$2:$F$501,'SC Change Orders'!$F229,'SC Change Orders'!$E$2:$E$501,'SC Change Orders'!$E229)&gt;1),"Duplicate of another row — funds counted twice; ","")&amp;IF(ISNUMBER('SC Change Orders'!$F229),IF('SC Change Orders'!$F229&lt;&gt;0,IF(AND(ISNUMBER('SC Change Orders'!$B229),NOT(COUNTIFS('SC Change Orders'!$B$2:$B$501,'SC Change Orders'!$B229,'SC Change Orders'!$C$2:$C$501,'SC Change Orders'!$C229,'SC Change Orders'!$D$2:$D$501,'SC Change Orders'!$D229,'SC Change Orders'!$F$2:$F$501,'SC Change Orders'!$F229,'SC Change Orders'!$E$2:$E$501,'SC Change Orders'!$E229)&gt;1),COUNTIFS('SC Change Orders'!$B$2:$B$501,'SC Change Orders'!$B229,'SC Change Orders'!$F$2:$F$501,'SC Change Orders'!$F229)&gt;1),  "Same PO and Amount Added as another row — check for a restatement counted twice; ",""),""),""))</f>
        <v/>
      </c>
    </row>
    <row r="248" customFormat="false" ht="15" hidden="false" customHeight="false" outlineLevel="0" collapsed="false">
      <c r="A248" s="18" t="str">
        <f aca="false">IF(AND('SC Change Orders'!$A230="",'SC Change Orders'!$B230="",'SC Change Orders'!$C230=""),"",230)</f>
        <v/>
      </c>
      <c r="B248" s="31" t="str">
        <f aca="false">IF($A248="","",'SC Change Orders'!$A230)</f>
        <v/>
      </c>
      <c r="C248" s="18" t="str">
        <f aca="false">IF($A248="","",'SC Change Orders'!$B230)</f>
        <v/>
      </c>
      <c r="D248" s="32" t="str">
        <f aca="false">IF($A248="","",'SC Change Orders'!$C230)</f>
        <v/>
      </c>
      <c r="E248" s="31" t="str">
        <f aca="false">IF($A248="","",'SC Change Orders'!$D230)</f>
        <v/>
      </c>
      <c r="F248" s="33" t="str">
        <f aca="false">IF($A248="","",'SC Change Orders'!$E230)</f>
        <v/>
      </c>
      <c r="G248" s="33" t="str">
        <f aca="false">IF($A248="","",'SC Change Orders'!$F230)</f>
        <v/>
      </c>
      <c r="H248" s="33" t="str">
        <f aca="false">IF($A248="","",'SC Change Orders'!$G230)</f>
        <v/>
      </c>
      <c r="I248" s="34" t="str">
        <f aca="false">IF($A248="","",IF(AND(ISNUMBER('SC Change Orders'!$C230),'SC Change Orders'!$C230&gt;=Controls!$C$5,'SC Change Orders'!$C230&lt;=Controls!$C$6),"Yes","No"))</f>
        <v/>
      </c>
      <c r="J248" s="31" t="str">
        <f aca="false">IF($A248="","",IF($K248="","OK",$K248))</f>
        <v/>
      </c>
      <c r="K248" s="0" t="str">
        <f aca="false">IF($A248="","",IF(NOT(ISNUMBER('SC Change Orders'!$B230)),"PO not numeric — row is invisible to the tracker; ","")&amp;IF(NOT(ISNUMBER('SC Change Orders'!$C230)),"Date missing or text — row excluded; ",  IF(OR('SC Change Orders'!$C230&lt;Controls!$C$5,'SC Change Orders'!$C230&gt;Controls!$C$6),"Dated outside the FY window — excluded; ",""))&amp;IF(AND('SC Change Orders'!$E230&lt;&gt;"",NOT(ISNUMBER('SC Change Orders'!$E230))),"Original Amount held as text — ignored by MINIFS; ","")&amp;IF(AND('SC Change Orders'!$F230&lt;&gt;"",NOT(ISNUMBER('SC Change Orders'!$F230))),"Amount Added held as text — ignored by SUMIFS; ","")&amp;IF(ISNUMBER('SC Change Orders'!$E230),IF(ISNUMBER('SC Change Orders'!$F230),IF(ISNUMBER('SC Change Orders'!$G230),  IF('SC Change Orders'!$G230&gt;0,IF(ROUND('SC Change Orders'!$E230+'SC Change Orders'!$F230,2)&lt;&gt;ROUND('SC Change Orders'!$G230,2),  "Original + Added &lt;&gt; Total Line Cost Allotted; ",""),""),""),""),"")&amp;IF(AND(ISNUMBER('SC Change Orders'!$B230),COUNTIFS('SC Change Orders'!$B$2:$B$501,'SC Change Orders'!$B230,'SC Change Orders'!$C$2:$C$501,'SC Change Orders'!$C230,'SC Change Orders'!$D$2:$D$501,'SC Change Orders'!$D230,'SC Change Orders'!$F$2:$F$501,'SC Change Orders'!$F230,'SC Change Orders'!$E$2:$E$501,'SC Change Orders'!$E230)&gt;1),"Duplicate of another row — funds counted twice; ","")&amp;IF(ISNUMBER('SC Change Orders'!$F230),IF('SC Change Orders'!$F230&lt;&gt;0,IF(AND(ISNUMBER('SC Change Orders'!$B230),NOT(COUNTIFS('SC Change Orders'!$B$2:$B$501,'SC Change Orders'!$B230,'SC Change Orders'!$C$2:$C$501,'SC Change Orders'!$C230,'SC Change Orders'!$D$2:$D$501,'SC Change Orders'!$D230,'SC Change Orders'!$F$2:$F$501,'SC Change Orders'!$F230,'SC Change Orders'!$E$2:$E$501,'SC Change Orders'!$E230)&gt;1),COUNTIFS('SC Change Orders'!$B$2:$B$501,'SC Change Orders'!$B230,'SC Change Orders'!$F$2:$F$501,'SC Change Orders'!$F230)&gt;1),  "Same PO and Amount Added as another row — check for a restatement counted twice; ",""),""),""))</f>
        <v/>
      </c>
    </row>
    <row r="249" customFormat="false" ht="15" hidden="false" customHeight="false" outlineLevel="0" collapsed="false">
      <c r="A249" s="18" t="str">
        <f aca="false">IF(AND('SC Change Orders'!$A231="",'SC Change Orders'!$B231="",'SC Change Orders'!$C231=""),"",231)</f>
        <v/>
      </c>
      <c r="B249" s="31" t="str">
        <f aca="false">IF($A249="","",'SC Change Orders'!$A231)</f>
        <v/>
      </c>
      <c r="C249" s="18" t="str">
        <f aca="false">IF($A249="","",'SC Change Orders'!$B231)</f>
        <v/>
      </c>
      <c r="D249" s="32" t="str">
        <f aca="false">IF($A249="","",'SC Change Orders'!$C231)</f>
        <v/>
      </c>
      <c r="E249" s="31" t="str">
        <f aca="false">IF($A249="","",'SC Change Orders'!$D231)</f>
        <v/>
      </c>
      <c r="F249" s="33" t="str">
        <f aca="false">IF($A249="","",'SC Change Orders'!$E231)</f>
        <v/>
      </c>
      <c r="G249" s="33" t="str">
        <f aca="false">IF($A249="","",'SC Change Orders'!$F231)</f>
        <v/>
      </c>
      <c r="H249" s="33" t="str">
        <f aca="false">IF($A249="","",'SC Change Orders'!$G231)</f>
        <v/>
      </c>
      <c r="I249" s="34" t="str">
        <f aca="false">IF($A249="","",IF(AND(ISNUMBER('SC Change Orders'!$C231),'SC Change Orders'!$C231&gt;=Controls!$C$5,'SC Change Orders'!$C231&lt;=Controls!$C$6),"Yes","No"))</f>
        <v/>
      </c>
      <c r="J249" s="31" t="str">
        <f aca="false">IF($A249="","",IF($K249="","OK",$K249))</f>
        <v/>
      </c>
      <c r="K249" s="0" t="str">
        <f aca="false">IF($A249="","",IF(NOT(ISNUMBER('SC Change Orders'!$B231)),"PO not numeric — row is invisible to the tracker; ","")&amp;IF(NOT(ISNUMBER('SC Change Orders'!$C231)),"Date missing or text — row excluded; ",  IF(OR('SC Change Orders'!$C231&lt;Controls!$C$5,'SC Change Orders'!$C231&gt;Controls!$C$6),"Dated outside the FY window — excluded; ",""))&amp;IF(AND('SC Change Orders'!$E231&lt;&gt;"",NOT(ISNUMBER('SC Change Orders'!$E231))),"Original Amount held as text — ignored by MINIFS; ","")&amp;IF(AND('SC Change Orders'!$F231&lt;&gt;"",NOT(ISNUMBER('SC Change Orders'!$F231))),"Amount Added held as text — ignored by SUMIFS; ","")&amp;IF(ISNUMBER('SC Change Orders'!$E231),IF(ISNUMBER('SC Change Orders'!$F231),IF(ISNUMBER('SC Change Orders'!$G231),  IF('SC Change Orders'!$G231&gt;0,IF(ROUND('SC Change Orders'!$E231+'SC Change Orders'!$F231,2)&lt;&gt;ROUND('SC Change Orders'!$G231,2),  "Original + Added &lt;&gt; Total Line Cost Allotted; ",""),""),""),""),"")&amp;IF(AND(ISNUMBER('SC Change Orders'!$B231),COUNTIFS('SC Change Orders'!$B$2:$B$501,'SC Change Orders'!$B231,'SC Change Orders'!$C$2:$C$501,'SC Change Orders'!$C231,'SC Change Orders'!$D$2:$D$501,'SC Change Orders'!$D231,'SC Change Orders'!$F$2:$F$501,'SC Change Orders'!$F231,'SC Change Orders'!$E$2:$E$501,'SC Change Orders'!$E231)&gt;1),"Duplicate of another row — funds counted twice; ","")&amp;IF(ISNUMBER('SC Change Orders'!$F231),IF('SC Change Orders'!$F231&lt;&gt;0,IF(AND(ISNUMBER('SC Change Orders'!$B231),NOT(COUNTIFS('SC Change Orders'!$B$2:$B$501,'SC Change Orders'!$B231,'SC Change Orders'!$C$2:$C$501,'SC Change Orders'!$C231,'SC Change Orders'!$D$2:$D$501,'SC Change Orders'!$D231,'SC Change Orders'!$F$2:$F$501,'SC Change Orders'!$F231,'SC Change Orders'!$E$2:$E$501,'SC Change Orders'!$E231)&gt;1),COUNTIFS('SC Change Orders'!$B$2:$B$501,'SC Change Orders'!$B231,'SC Change Orders'!$F$2:$F$501,'SC Change Orders'!$F231)&gt;1),  "Same PO and Amount Added as another row — check for a restatement counted twice; ",""),""),""))</f>
        <v/>
      </c>
    </row>
    <row r="250" customFormat="false" ht="15" hidden="false" customHeight="false" outlineLevel="0" collapsed="false">
      <c r="A250" s="18" t="str">
        <f aca="false">IF(AND('SC Change Orders'!$A232="",'SC Change Orders'!$B232="",'SC Change Orders'!$C232=""),"",232)</f>
        <v/>
      </c>
      <c r="B250" s="31" t="str">
        <f aca="false">IF($A250="","",'SC Change Orders'!$A232)</f>
        <v/>
      </c>
      <c r="C250" s="18" t="str">
        <f aca="false">IF($A250="","",'SC Change Orders'!$B232)</f>
        <v/>
      </c>
      <c r="D250" s="32" t="str">
        <f aca="false">IF($A250="","",'SC Change Orders'!$C232)</f>
        <v/>
      </c>
      <c r="E250" s="31" t="str">
        <f aca="false">IF($A250="","",'SC Change Orders'!$D232)</f>
        <v/>
      </c>
      <c r="F250" s="33" t="str">
        <f aca="false">IF($A250="","",'SC Change Orders'!$E232)</f>
        <v/>
      </c>
      <c r="G250" s="33" t="str">
        <f aca="false">IF($A250="","",'SC Change Orders'!$F232)</f>
        <v/>
      </c>
      <c r="H250" s="33" t="str">
        <f aca="false">IF($A250="","",'SC Change Orders'!$G232)</f>
        <v/>
      </c>
      <c r="I250" s="34" t="str">
        <f aca="false">IF($A250="","",IF(AND(ISNUMBER('SC Change Orders'!$C232),'SC Change Orders'!$C232&gt;=Controls!$C$5,'SC Change Orders'!$C232&lt;=Controls!$C$6),"Yes","No"))</f>
        <v/>
      </c>
      <c r="J250" s="31" t="str">
        <f aca="false">IF($A250="","",IF($K250="","OK",$K250))</f>
        <v/>
      </c>
      <c r="K250" s="0" t="str">
        <f aca="false">IF($A250="","",IF(NOT(ISNUMBER('SC Change Orders'!$B232)),"PO not numeric — row is invisible to the tracker; ","")&amp;IF(NOT(ISNUMBER('SC Change Orders'!$C232)),"Date missing or text — row excluded; ",  IF(OR('SC Change Orders'!$C232&lt;Controls!$C$5,'SC Change Orders'!$C232&gt;Controls!$C$6),"Dated outside the FY window — excluded; ",""))&amp;IF(AND('SC Change Orders'!$E232&lt;&gt;"",NOT(ISNUMBER('SC Change Orders'!$E232))),"Original Amount held as text — ignored by MINIFS; ","")&amp;IF(AND('SC Change Orders'!$F232&lt;&gt;"",NOT(ISNUMBER('SC Change Orders'!$F232))),"Amount Added held as text — ignored by SUMIFS; ","")&amp;IF(ISNUMBER('SC Change Orders'!$E232),IF(ISNUMBER('SC Change Orders'!$F232),IF(ISNUMBER('SC Change Orders'!$G232),  IF('SC Change Orders'!$G232&gt;0,IF(ROUND('SC Change Orders'!$E232+'SC Change Orders'!$F232,2)&lt;&gt;ROUND('SC Change Orders'!$G232,2),  "Original + Added &lt;&gt; Total Line Cost Allotted; ",""),""),""),""),"")&amp;IF(AND(ISNUMBER('SC Change Orders'!$B232),COUNTIFS('SC Change Orders'!$B$2:$B$501,'SC Change Orders'!$B232,'SC Change Orders'!$C$2:$C$501,'SC Change Orders'!$C232,'SC Change Orders'!$D$2:$D$501,'SC Change Orders'!$D232,'SC Change Orders'!$F$2:$F$501,'SC Change Orders'!$F232,'SC Change Orders'!$E$2:$E$501,'SC Change Orders'!$E232)&gt;1),"Duplicate of another row — funds counted twice; ","")&amp;IF(ISNUMBER('SC Change Orders'!$F232),IF('SC Change Orders'!$F232&lt;&gt;0,IF(AND(ISNUMBER('SC Change Orders'!$B232),NOT(COUNTIFS('SC Change Orders'!$B$2:$B$501,'SC Change Orders'!$B232,'SC Change Orders'!$C$2:$C$501,'SC Change Orders'!$C232,'SC Change Orders'!$D$2:$D$501,'SC Change Orders'!$D232,'SC Change Orders'!$F$2:$F$501,'SC Change Orders'!$F232,'SC Change Orders'!$E$2:$E$501,'SC Change Orders'!$E232)&gt;1),COUNTIFS('SC Change Orders'!$B$2:$B$501,'SC Change Orders'!$B232,'SC Change Orders'!$F$2:$F$501,'SC Change Orders'!$F232)&gt;1),  "Same PO and Amount Added as another row — check for a restatement counted twice; ",""),""),""))</f>
        <v/>
      </c>
    </row>
    <row r="251" customFormat="false" ht="15" hidden="false" customHeight="false" outlineLevel="0" collapsed="false">
      <c r="A251" s="18" t="str">
        <f aca="false">IF(AND('SC Change Orders'!$A233="",'SC Change Orders'!$B233="",'SC Change Orders'!$C233=""),"",233)</f>
        <v/>
      </c>
      <c r="B251" s="31" t="str">
        <f aca="false">IF($A251="","",'SC Change Orders'!$A233)</f>
        <v/>
      </c>
      <c r="C251" s="18" t="str">
        <f aca="false">IF($A251="","",'SC Change Orders'!$B233)</f>
        <v/>
      </c>
      <c r="D251" s="32" t="str">
        <f aca="false">IF($A251="","",'SC Change Orders'!$C233)</f>
        <v/>
      </c>
      <c r="E251" s="31" t="str">
        <f aca="false">IF($A251="","",'SC Change Orders'!$D233)</f>
        <v/>
      </c>
      <c r="F251" s="33" t="str">
        <f aca="false">IF($A251="","",'SC Change Orders'!$E233)</f>
        <v/>
      </c>
      <c r="G251" s="33" t="str">
        <f aca="false">IF($A251="","",'SC Change Orders'!$F233)</f>
        <v/>
      </c>
      <c r="H251" s="33" t="str">
        <f aca="false">IF($A251="","",'SC Change Orders'!$G233)</f>
        <v/>
      </c>
      <c r="I251" s="34" t="str">
        <f aca="false">IF($A251="","",IF(AND(ISNUMBER('SC Change Orders'!$C233),'SC Change Orders'!$C233&gt;=Controls!$C$5,'SC Change Orders'!$C233&lt;=Controls!$C$6),"Yes","No"))</f>
        <v/>
      </c>
      <c r="J251" s="31" t="str">
        <f aca="false">IF($A251="","",IF($K251="","OK",$K251))</f>
        <v/>
      </c>
      <c r="K251" s="0" t="str">
        <f aca="false">IF($A251="","",IF(NOT(ISNUMBER('SC Change Orders'!$B233)),"PO not numeric — row is invisible to the tracker; ","")&amp;IF(NOT(ISNUMBER('SC Change Orders'!$C233)),"Date missing or text — row excluded; ",  IF(OR('SC Change Orders'!$C233&lt;Controls!$C$5,'SC Change Orders'!$C233&gt;Controls!$C$6),"Dated outside the FY window — excluded; ",""))&amp;IF(AND('SC Change Orders'!$E233&lt;&gt;"",NOT(ISNUMBER('SC Change Orders'!$E233))),"Original Amount held as text — ignored by MINIFS; ","")&amp;IF(AND('SC Change Orders'!$F233&lt;&gt;"",NOT(ISNUMBER('SC Change Orders'!$F233))),"Amount Added held as text — ignored by SUMIFS; ","")&amp;IF(ISNUMBER('SC Change Orders'!$E233),IF(ISNUMBER('SC Change Orders'!$F233),IF(ISNUMBER('SC Change Orders'!$G233),  IF('SC Change Orders'!$G233&gt;0,IF(ROUND('SC Change Orders'!$E233+'SC Change Orders'!$F233,2)&lt;&gt;ROUND('SC Change Orders'!$G233,2),  "Original + Added &lt;&gt; Total Line Cost Allotted; ",""),""),""),""),"")&amp;IF(AND(ISNUMBER('SC Change Orders'!$B233),COUNTIFS('SC Change Orders'!$B$2:$B$501,'SC Change Orders'!$B233,'SC Change Orders'!$C$2:$C$501,'SC Change Orders'!$C233,'SC Change Orders'!$D$2:$D$501,'SC Change Orders'!$D233,'SC Change Orders'!$F$2:$F$501,'SC Change Orders'!$F233,'SC Change Orders'!$E$2:$E$501,'SC Change Orders'!$E233)&gt;1),"Duplicate of another row — funds counted twice; ","")&amp;IF(ISNUMBER('SC Change Orders'!$F233),IF('SC Change Orders'!$F233&lt;&gt;0,IF(AND(ISNUMBER('SC Change Orders'!$B233),NOT(COUNTIFS('SC Change Orders'!$B$2:$B$501,'SC Change Orders'!$B233,'SC Change Orders'!$C$2:$C$501,'SC Change Orders'!$C233,'SC Change Orders'!$D$2:$D$501,'SC Change Orders'!$D233,'SC Change Orders'!$F$2:$F$501,'SC Change Orders'!$F233,'SC Change Orders'!$E$2:$E$501,'SC Change Orders'!$E233)&gt;1),COUNTIFS('SC Change Orders'!$B$2:$B$501,'SC Change Orders'!$B233,'SC Change Orders'!$F$2:$F$501,'SC Change Orders'!$F233)&gt;1),  "Same PO and Amount Added as another row — check for a restatement counted twice; ",""),""),""))</f>
        <v/>
      </c>
    </row>
    <row r="252" customFormat="false" ht="15" hidden="false" customHeight="false" outlineLevel="0" collapsed="false">
      <c r="A252" s="18" t="str">
        <f aca="false">IF(AND('SC Change Orders'!$A234="",'SC Change Orders'!$B234="",'SC Change Orders'!$C234=""),"",234)</f>
        <v/>
      </c>
      <c r="B252" s="31" t="str">
        <f aca="false">IF($A252="","",'SC Change Orders'!$A234)</f>
        <v/>
      </c>
      <c r="C252" s="18" t="str">
        <f aca="false">IF($A252="","",'SC Change Orders'!$B234)</f>
        <v/>
      </c>
      <c r="D252" s="32" t="str">
        <f aca="false">IF($A252="","",'SC Change Orders'!$C234)</f>
        <v/>
      </c>
      <c r="E252" s="31" t="str">
        <f aca="false">IF($A252="","",'SC Change Orders'!$D234)</f>
        <v/>
      </c>
      <c r="F252" s="33" t="str">
        <f aca="false">IF($A252="","",'SC Change Orders'!$E234)</f>
        <v/>
      </c>
      <c r="G252" s="33" t="str">
        <f aca="false">IF($A252="","",'SC Change Orders'!$F234)</f>
        <v/>
      </c>
      <c r="H252" s="33" t="str">
        <f aca="false">IF($A252="","",'SC Change Orders'!$G234)</f>
        <v/>
      </c>
      <c r="I252" s="34" t="str">
        <f aca="false">IF($A252="","",IF(AND(ISNUMBER('SC Change Orders'!$C234),'SC Change Orders'!$C234&gt;=Controls!$C$5,'SC Change Orders'!$C234&lt;=Controls!$C$6),"Yes","No"))</f>
        <v/>
      </c>
      <c r="J252" s="31" t="str">
        <f aca="false">IF($A252="","",IF($K252="","OK",$K252))</f>
        <v/>
      </c>
      <c r="K252" s="0" t="str">
        <f aca="false">IF($A252="","",IF(NOT(ISNUMBER('SC Change Orders'!$B234)),"PO not numeric — row is invisible to the tracker; ","")&amp;IF(NOT(ISNUMBER('SC Change Orders'!$C234)),"Date missing or text — row excluded; ",  IF(OR('SC Change Orders'!$C234&lt;Controls!$C$5,'SC Change Orders'!$C234&gt;Controls!$C$6),"Dated outside the FY window — excluded; ",""))&amp;IF(AND('SC Change Orders'!$E234&lt;&gt;"",NOT(ISNUMBER('SC Change Orders'!$E234))),"Original Amount held as text — ignored by MINIFS; ","")&amp;IF(AND('SC Change Orders'!$F234&lt;&gt;"",NOT(ISNUMBER('SC Change Orders'!$F234))),"Amount Added held as text — ignored by SUMIFS; ","")&amp;IF(ISNUMBER('SC Change Orders'!$E234),IF(ISNUMBER('SC Change Orders'!$F234),IF(ISNUMBER('SC Change Orders'!$G234),  IF('SC Change Orders'!$G234&gt;0,IF(ROUND('SC Change Orders'!$E234+'SC Change Orders'!$F234,2)&lt;&gt;ROUND('SC Change Orders'!$G234,2),  "Original + Added &lt;&gt; Total Line Cost Allotted; ",""),""),""),""),"")&amp;IF(AND(ISNUMBER('SC Change Orders'!$B234),COUNTIFS('SC Change Orders'!$B$2:$B$501,'SC Change Orders'!$B234,'SC Change Orders'!$C$2:$C$501,'SC Change Orders'!$C234,'SC Change Orders'!$D$2:$D$501,'SC Change Orders'!$D234,'SC Change Orders'!$F$2:$F$501,'SC Change Orders'!$F234,'SC Change Orders'!$E$2:$E$501,'SC Change Orders'!$E234)&gt;1),"Duplicate of another row — funds counted twice; ","")&amp;IF(ISNUMBER('SC Change Orders'!$F234),IF('SC Change Orders'!$F234&lt;&gt;0,IF(AND(ISNUMBER('SC Change Orders'!$B234),NOT(COUNTIFS('SC Change Orders'!$B$2:$B$501,'SC Change Orders'!$B234,'SC Change Orders'!$C$2:$C$501,'SC Change Orders'!$C234,'SC Change Orders'!$D$2:$D$501,'SC Change Orders'!$D234,'SC Change Orders'!$F$2:$F$501,'SC Change Orders'!$F234,'SC Change Orders'!$E$2:$E$501,'SC Change Orders'!$E234)&gt;1),COUNTIFS('SC Change Orders'!$B$2:$B$501,'SC Change Orders'!$B234,'SC Change Orders'!$F$2:$F$501,'SC Change Orders'!$F234)&gt;1),  "Same PO and Amount Added as another row — check for a restatement counted twice; ",""),""),""))</f>
        <v/>
      </c>
    </row>
    <row r="253" customFormat="false" ht="15" hidden="false" customHeight="false" outlineLevel="0" collapsed="false">
      <c r="A253" s="18" t="str">
        <f aca="false">IF(AND('SC Change Orders'!$A235="",'SC Change Orders'!$B235="",'SC Change Orders'!$C235=""),"",235)</f>
        <v/>
      </c>
      <c r="B253" s="31" t="str">
        <f aca="false">IF($A253="","",'SC Change Orders'!$A235)</f>
        <v/>
      </c>
      <c r="C253" s="18" t="str">
        <f aca="false">IF($A253="","",'SC Change Orders'!$B235)</f>
        <v/>
      </c>
      <c r="D253" s="32" t="str">
        <f aca="false">IF($A253="","",'SC Change Orders'!$C235)</f>
        <v/>
      </c>
      <c r="E253" s="31" t="str">
        <f aca="false">IF($A253="","",'SC Change Orders'!$D235)</f>
        <v/>
      </c>
      <c r="F253" s="33" t="str">
        <f aca="false">IF($A253="","",'SC Change Orders'!$E235)</f>
        <v/>
      </c>
      <c r="G253" s="33" t="str">
        <f aca="false">IF($A253="","",'SC Change Orders'!$F235)</f>
        <v/>
      </c>
      <c r="H253" s="33" t="str">
        <f aca="false">IF($A253="","",'SC Change Orders'!$G235)</f>
        <v/>
      </c>
      <c r="I253" s="34" t="str">
        <f aca="false">IF($A253="","",IF(AND(ISNUMBER('SC Change Orders'!$C235),'SC Change Orders'!$C235&gt;=Controls!$C$5,'SC Change Orders'!$C235&lt;=Controls!$C$6),"Yes","No"))</f>
        <v/>
      </c>
      <c r="J253" s="31" t="str">
        <f aca="false">IF($A253="","",IF($K253="","OK",$K253))</f>
        <v/>
      </c>
      <c r="K253" s="0" t="str">
        <f aca="false">IF($A253="","",IF(NOT(ISNUMBER('SC Change Orders'!$B235)),"PO not numeric — row is invisible to the tracker; ","")&amp;IF(NOT(ISNUMBER('SC Change Orders'!$C235)),"Date missing or text — row excluded; ",  IF(OR('SC Change Orders'!$C235&lt;Controls!$C$5,'SC Change Orders'!$C235&gt;Controls!$C$6),"Dated outside the FY window — excluded; ",""))&amp;IF(AND('SC Change Orders'!$E235&lt;&gt;"",NOT(ISNUMBER('SC Change Orders'!$E235))),"Original Amount held as text — ignored by MINIFS; ","")&amp;IF(AND('SC Change Orders'!$F235&lt;&gt;"",NOT(ISNUMBER('SC Change Orders'!$F235))),"Amount Added held as text — ignored by SUMIFS; ","")&amp;IF(ISNUMBER('SC Change Orders'!$E235),IF(ISNUMBER('SC Change Orders'!$F235),IF(ISNUMBER('SC Change Orders'!$G235),  IF('SC Change Orders'!$G235&gt;0,IF(ROUND('SC Change Orders'!$E235+'SC Change Orders'!$F235,2)&lt;&gt;ROUND('SC Change Orders'!$G235,2),  "Original + Added &lt;&gt; Total Line Cost Allotted; ",""),""),""),""),"")&amp;IF(AND(ISNUMBER('SC Change Orders'!$B235),COUNTIFS('SC Change Orders'!$B$2:$B$501,'SC Change Orders'!$B235,'SC Change Orders'!$C$2:$C$501,'SC Change Orders'!$C235,'SC Change Orders'!$D$2:$D$501,'SC Change Orders'!$D235,'SC Change Orders'!$F$2:$F$501,'SC Change Orders'!$F235,'SC Change Orders'!$E$2:$E$501,'SC Change Orders'!$E235)&gt;1),"Duplicate of another row — funds counted twice; ","")&amp;IF(ISNUMBER('SC Change Orders'!$F235),IF('SC Change Orders'!$F235&lt;&gt;0,IF(AND(ISNUMBER('SC Change Orders'!$B235),NOT(COUNTIFS('SC Change Orders'!$B$2:$B$501,'SC Change Orders'!$B235,'SC Change Orders'!$C$2:$C$501,'SC Change Orders'!$C235,'SC Change Orders'!$D$2:$D$501,'SC Change Orders'!$D235,'SC Change Orders'!$F$2:$F$501,'SC Change Orders'!$F235,'SC Change Orders'!$E$2:$E$501,'SC Change Orders'!$E235)&gt;1),COUNTIFS('SC Change Orders'!$B$2:$B$501,'SC Change Orders'!$B235,'SC Change Orders'!$F$2:$F$501,'SC Change Orders'!$F235)&gt;1),  "Same PO and Amount Added as another row — check for a restatement counted twice; ",""),""),""))</f>
        <v/>
      </c>
    </row>
    <row r="254" customFormat="false" ht="15" hidden="false" customHeight="false" outlineLevel="0" collapsed="false">
      <c r="A254" s="18" t="str">
        <f aca="false">IF(AND('SC Change Orders'!$A236="",'SC Change Orders'!$B236="",'SC Change Orders'!$C236=""),"",236)</f>
        <v/>
      </c>
      <c r="B254" s="31" t="str">
        <f aca="false">IF($A254="","",'SC Change Orders'!$A236)</f>
        <v/>
      </c>
      <c r="C254" s="18" t="str">
        <f aca="false">IF($A254="","",'SC Change Orders'!$B236)</f>
        <v/>
      </c>
      <c r="D254" s="32" t="str">
        <f aca="false">IF($A254="","",'SC Change Orders'!$C236)</f>
        <v/>
      </c>
      <c r="E254" s="31" t="str">
        <f aca="false">IF($A254="","",'SC Change Orders'!$D236)</f>
        <v/>
      </c>
      <c r="F254" s="33" t="str">
        <f aca="false">IF($A254="","",'SC Change Orders'!$E236)</f>
        <v/>
      </c>
      <c r="G254" s="33" t="str">
        <f aca="false">IF($A254="","",'SC Change Orders'!$F236)</f>
        <v/>
      </c>
      <c r="H254" s="33" t="str">
        <f aca="false">IF($A254="","",'SC Change Orders'!$G236)</f>
        <v/>
      </c>
      <c r="I254" s="34" t="str">
        <f aca="false">IF($A254="","",IF(AND(ISNUMBER('SC Change Orders'!$C236),'SC Change Orders'!$C236&gt;=Controls!$C$5,'SC Change Orders'!$C236&lt;=Controls!$C$6),"Yes","No"))</f>
        <v/>
      </c>
      <c r="J254" s="31" t="str">
        <f aca="false">IF($A254="","",IF($K254="","OK",$K254))</f>
        <v/>
      </c>
      <c r="K254" s="0" t="str">
        <f aca="false">IF($A254="","",IF(NOT(ISNUMBER('SC Change Orders'!$B236)),"PO not numeric — row is invisible to the tracker; ","")&amp;IF(NOT(ISNUMBER('SC Change Orders'!$C236)),"Date missing or text — row excluded; ",  IF(OR('SC Change Orders'!$C236&lt;Controls!$C$5,'SC Change Orders'!$C236&gt;Controls!$C$6),"Dated outside the FY window — excluded; ",""))&amp;IF(AND('SC Change Orders'!$E236&lt;&gt;"",NOT(ISNUMBER('SC Change Orders'!$E236))),"Original Amount held as text — ignored by MINIFS; ","")&amp;IF(AND('SC Change Orders'!$F236&lt;&gt;"",NOT(ISNUMBER('SC Change Orders'!$F236))),"Amount Added held as text — ignored by SUMIFS; ","")&amp;IF(ISNUMBER('SC Change Orders'!$E236),IF(ISNUMBER('SC Change Orders'!$F236),IF(ISNUMBER('SC Change Orders'!$G236),  IF('SC Change Orders'!$G236&gt;0,IF(ROUND('SC Change Orders'!$E236+'SC Change Orders'!$F236,2)&lt;&gt;ROUND('SC Change Orders'!$G236,2),  "Original + Added &lt;&gt; Total Line Cost Allotted; ",""),""),""),""),"")&amp;IF(AND(ISNUMBER('SC Change Orders'!$B236),COUNTIFS('SC Change Orders'!$B$2:$B$501,'SC Change Orders'!$B236,'SC Change Orders'!$C$2:$C$501,'SC Change Orders'!$C236,'SC Change Orders'!$D$2:$D$501,'SC Change Orders'!$D236,'SC Change Orders'!$F$2:$F$501,'SC Change Orders'!$F236,'SC Change Orders'!$E$2:$E$501,'SC Change Orders'!$E236)&gt;1),"Duplicate of another row — funds counted twice; ","")&amp;IF(ISNUMBER('SC Change Orders'!$F236),IF('SC Change Orders'!$F236&lt;&gt;0,IF(AND(ISNUMBER('SC Change Orders'!$B236),NOT(COUNTIFS('SC Change Orders'!$B$2:$B$501,'SC Change Orders'!$B236,'SC Change Orders'!$C$2:$C$501,'SC Change Orders'!$C236,'SC Change Orders'!$D$2:$D$501,'SC Change Orders'!$D236,'SC Change Orders'!$F$2:$F$501,'SC Change Orders'!$F236,'SC Change Orders'!$E$2:$E$501,'SC Change Orders'!$E236)&gt;1),COUNTIFS('SC Change Orders'!$B$2:$B$501,'SC Change Orders'!$B236,'SC Change Orders'!$F$2:$F$501,'SC Change Orders'!$F236)&gt;1),  "Same PO and Amount Added as another row — check for a restatement counted twice; ",""),""),""))</f>
        <v/>
      </c>
    </row>
    <row r="255" customFormat="false" ht="15" hidden="false" customHeight="false" outlineLevel="0" collapsed="false">
      <c r="A255" s="18" t="str">
        <f aca="false">IF(AND('SC Change Orders'!$A237="",'SC Change Orders'!$B237="",'SC Change Orders'!$C237=""),"",237)</f>
        <v/>
      </c>
      <c r="B255" s="31" t="str">
        <f aca="false">IF($A255="","",'SC Change Orders'!$A237)</f>
        <v/>
      </c>
      <c r="C255" s="18" t="str">
        <f aca="false">IF($A255="","",'SC Change Orders'!$B237)</f>
        <v/>
      </c>
      <c r="D255" s="32" t="str">
        <f aca="false">IF($A255="","",'SC Change Orders'!$C237)</f>
        <v/>
      </c>
      <c r="E255" s="31" t="str">
        <f aca="false">IF($A255="","",'SC Change Orders'!$D237)</f>
        <v/>
      </c>
      <c r="F255" s="33" t="str">
        <f aca="false">IF($A255="","",'SC Change Orders'!$E237)</f>
        <v/>
      </c>
      <c r="G255" s="33" t="str">
        <f aca="false">IF($A255="","",'SC Change Orders'!$F237)</f>
        <v/>
      </c>
      <c r="H255" s="33" t="str">
        <f aca="false">IF($A255="","",'SC Change Orders'!$G237)</f>
        <v/>
      </c>
      <c r="I255" s="34" t="str">
        <f aca="false">IF($A255="","",IF(AND(ISNUMBER('SC Change Orders'!$C237),'SC Change Orders'!$C237&gt;=Controls!$C$5,'SC Change Orders'!$C237&lt;=Controls!$C$6),"Yes","No"))</f>
        <v/>
      </c>
      <c r="J255" s="31" t="str">
        <f aca="false">IF($A255="","",IF($K255="","OK",$K255))</f>
        <v/>
      </c>
      <c r="K255" s="0" t="str">
        <f aca="false">IF($A255="","",IF(NOT(ISNUMBER('SC Change Orders'!$B237)),"PO not numeric — row is invisible to the tracker; ","")&amp;IF(NOT(ISNUMBER('SC Change Orders'!$C237)),"Date missing or text — row excluded; ",  IF(OR('SC Change Orders'!$C237&lt;Controls!$C$5,'SC Change Orders'!$C237&gt;Controls!$C$6),"Dated outside the FY window — excluded; ",""))&amp;IF(AND('SC Change Orders'!$E237&lt;&gt;"",NOT(ISNUMBER('SC Change Orders'!$E237))),"Original Amount held as text — ignored by MINIFS; ","")&amp;IF(AND('SC Change Orders'!$F237&lt;&gt;"",NOT(ISNUMBER('SC Change Orders'!$F237))),"Amount Added held as text — ignored by SUMIFS; ","")&amp;IF(ISNUMBER('SC Change Orders'!$E237),IF(ISNUMBER('SC Change Orders'!$F237),IF(ISNUMBER('SC Change Orders'!$G237),  IF('SC Change Orders'!$G237&gt;0,IF(ROUND('SC Change Orders'!$E237+'SC Change Orders'!$F237,2)&lt;&gt;ROUND('SC Change Orders'!$G237,2),  "Original + Added &lt;&gt; Total Line Cost Allotted; ",""),""),""),""),"")&amp;IF(AND(ISNUMBER('SC Change Orders'!$B237),COUNTIFS('SC Change Orders'!$B$2:$B$501,'SC Change Orders'!$B237,'SC Change Orders'!$C$2:$C$501,'SC Change Orders'!$C237,'SC Change Orders'!$D$2:$D$501,'SC Change Orders'!$D237,'SC Change Orders'!$F$2:$F$501,'SC Change Orders'!$F237,'SC Change Orders'!$E$2:$E$501,'SC Change Orders'!$E237)&gt;1),"Duplicate of another row — funds counted twice; ","")&amp;IF(ISNUMBER('SC Change Orders'!$F237),IF('SC Change Orders'!$F237&lt;&gt;0,IF(AND(ISNUMBER('SC Change Orders'!$B237),NOT(COUNTIFS('SC Change Orders'!$B$2:$B$501,'SC Change Orders'!$B237,'SC Change Orders'!$C$2:$C$501,'SC Change Orders'!$C237,'SC Change Orders'!$D$2:$D$501,'SC Change Orders'!$D237,'SC Change Orders'!$F$2:$F$501,'SC Change Orders'!$F237,'SC Change Orders'!$E$2:$E$501,'SC Change Orders'!$E237)&gt;1),COUNTIFS('SC Change Orders'!$B$2:$B$501,'SC Change Orders'!$B237,'SC Change Orders'!$F$2:$F$501,'SC Change Orders'!$F237)&gt;1),  "Same PO and Amount Added as another row — check for a restatement counted twice; ",""),""),""))</f>
        <v/>
      </c>
    </row>
    <row r="256" customFormat="false" ht="15" hidden="false" customHeight="false" outlineLevel="0" collapsed="false">
      <c r="A256" s="18" t="str">
        <f aca="false">IF(AND('SC Change Orders'!$A238="",'SC Change Orders'!$B238="",'SC Change Orders'!$C238=""),"",238)</f>
        <v/>
      </c>
      <c r="B256" s="31" t="str">
        <f aca="false">IF($A256="","",'SC Change Orders'!$A238)</f>
        <v/>
      </c>
      <c r="C256" s="18" t="str">
        <f aca="false">IF($A256="","",'SC Change Orders'!$B238)</f>
        <v/>
      </c>
      <c r="D256" s="32" t="str">
        <f aca="false">IF($A256="","",'SC Change Orders'!$C238)</f>
        <v/>
      </c>
      <c r="E256" s="31" t="str">
        <f aca="false">IF($A256="","",'SC Change Orders'!$D238)</f>
        <v/>
      </c>
      <c r="F256" s="33" t="str">
        <f aca="false">IF($A256="","",'SC Change Orders'!$E238)</f>
        <v/>
      </c>
      <c r="G256" s="33" t="str">
        <f aca="false">IF($A256="","",'SC Change Orders'!$F238)</f>
        <v/>
      </c>
      <c r="H256" s="33" t="str">
        <f aca="false">IF($A256="","",'SC Change Orders'!$G238)</f>
        <v/>
      </c>
      <c r="I256" s="34" t="str">
        <f aca="false">IF($A256="","",IF(AND(ISNUMBER('SC Change Orders'!$C238),'SC Change Orders'!$C238&gt;=Controls!$C$5,'SC Change Orders'!$C238&lt;=Controls!$C$6),"Yes","No"))</f>
        <v/>
      </c>
      <c r="J256" s="31" t="str">
        <f aca="false">IF($A256="","",IF($K256="","OK",$K256))</f>
        <v/>
      </c>
      <c r="K256" s="0" t="str">
        <f aca="false">IF($A256="","",IF(NOT(ISNUMBER('SC Change Orders'!$B238)),"PO not numeric — row is invisible to the tracker; ","")&amp;IF(NOT(ISNUMBER('SC Change Orders'!$C238)),"Date missing or text — row excluded; ",  IF(OR('SC Change Orders'!$C238&lt;Controls!$C$5,'SC Change Orders'!$C238&gt;Controls!$C$6),"Dated outside the FY window — excluded; ",""))&amp;IF(AND('SC Change Orders'!$E238&lt;&gt;"",NOT(ISNUMBER('SC Change Orders'!$E238))),"Original Amount held as text — ignored by MINIFS; ","")&amp;IF(AND('SC Change Orders'!$F238&lt;&gt;"",NOT(ISNUMBER('SC Change Orders'!$F238))),"Amount Added held as text — ignored by SUMIFS; ","")&amp;IF(ISNUMBER('SC Change Orders'!$E238),IF(ISNUMBER('SC Change Orders'!$F238),IF(ISNUMBER('SC Change Orders'!$G238),  IF('SC Change Orders'!$G238&gt;0,IF(ROUND('SC Change Orders'!$E238+'SC Change Orders'!$F238,2)&lt;&gt;ROUND('SC Change Orders'!$G238,2),  "Original + Added &lt;&gt; Total Line Cost Allotted; ",""),""),""),""),"")&amp;IF(AND(ISNUMBER('SC Change Orders'!$B238),COUNTIFS('SC Change Orders'!$B$2:$B$501,'SC Change Orders'!$B238,'SC Change Orders'!$C$2:$C$501,'SC Change Orders'!$C238,'SC Change Orders'!$D$2:$D$501,'SC Change Orders'!$D238,'SC Change Orders'!$F$2:$F$501,'SC Change Orders'!$F238,'SC Change Orders'!$E$2:$E$501,'SC Change Orders'!$E238)&gt;1),"Duplicate of another row — funds counted twice; ","")&amp;IF(ISNUMBER('SC Change Orders'!$F238),IF('SC Change Orders'!$F238&lt;&gt;0,IF(AND(ISNUMBER('SC Change Orders'!$B238),NOT(COUNTIFS('SC Change Orders'!$B$2:$B$501,'SC Change Orders'!$B238,'SC Change Orders'!$C$2:$C$501,'SC Change Orders'!$C238,'SC Change Orders'!$D$2:$D$501,'SC Change Orders'!$D238,'SC Change Orders'!$F$2:$F$501,'SC Change Orders'!$F238,'SC Change Orders'!$E$2:$E$501,'SC Change Orders'!$E238)&gt;1),COUNTIFS('SC Change Orders'!$B$2:$B$501,'SC Change Orders'!$B238,'SC Change Orders'!$F$2:$F$501,'SC Change Orders'!$F238)&gt;1),  "Same PO and Amount Added as another row — check for a restatement counted twice; ",""),""),""))</f>
        <v/>
      </c>
    </row>
    <row r="257" customFormat="false" ht="15" hidden="false" customHeight="false" outlineLevel="0" collapsed="false">
      <c r="A257" s="18" t="str">
        <f aca="false">IF(AND('SC Change Orders'!$A239="",'SC Change Orders'!$B239="",'SC Change Orders'!$C239=""),"",239)</f>
        <v/>
      </c>
      <c r="B257" s="31" t="str">
        <f aca="false">IF($A257="","",'SC Change Orders'!$A239)</f>
        <v/>
      </c>
      <c r="C257" s="18" t="str">
        <f aca="false">IF($A257="","",'SC Change Orders'!$B239)</f>
        <v/>
      </c>
      <c r="D257" s="32" t="str">
        <f aca="false">IF($A257="","",'SC Change Orders'!$C239)</f>
        <v/>
      </c>
      <c r="E257" s="31" t="str">
        <f aca="false">IF($A257="","",'SC Change Orders'!$D239)</f>
        <v/>
      </c>
      <c r="F257" s="33" t="str">
        <f aca="false">IF($A257="","",'SC Change Orders'!$E239)</f>
        <v/>
      </c>
      <c r="G257" s="33" t="str">
        <f aca="false">IF($A257="","",'SC Change Orders'!$F239)</f>
        <v/>
      </c>
      <c r="H257" s="33" t="str">
        <f aca="false">IF($A257="","",'SC Change Orders'!$G239)</f>
        <v/>
      </c>
      <c r="I257" s="34" t="str">
        <f aca="false">IF($A257="","",IF(AND(ISNUMBER('SC Change Orders'!$C239),'SC Change Orders'!$C239&gt;=Controls!$C$5,'SC Change Orders'!$C239&lt;=Controls!$C$6),"Yes","No"))</f>
        <v/>
      </c>
      <c r="J257" s="31" t="str">
        <f aca="false">IF($A257="","",IF($K257="","OK",$K257))</f>
        <v/>
      </c>
      <c r="K257" s="0" t="str">
        <f aca="false">IF($A257="","",IF(NOT(ISNUMBER('SC Change Orders'!$B239)),"PO not numeric — row is invisible to the tracker; ","")&amp;IF(NOT(ISNUMBER('SC Change Orders'!$C239)),"Date missing or text — row excluded; ",  IF(OR('SC Change Orders'!$C239&lt;Controls!$C$5,'SC Change Orders'!$C239&gt;Controls!$C$6),"Dated outside the FY window — excluded; ",""))&amp;IF(AND('SC Change Orders'!$E239&lt;&gt;"",NOT(ISNUMBER('SC Change Orders'!$E239))),"Original Amount held as text — ignored by MINIFS; ","")&amp;IF(AND('SC Change Orders'!$F239&lt;&gt;"",NOT(ISNUMBER('SC Change Orders'!$F239))),"Amount Added held as text — ignored by SUMIFS; ","")&amp;IF(ISNUMBER('SC Change Orders'!$E239),IF(ISNUMBER('SC Change Orders'!$F239),IF(ISNUMBER('SC Change Orders'!$G239),  IF('SC Change Orders'!$G239&gt;0,IF(ROUND('SC Change Orders'!$E239+'SC Change Orders'!$F239,2)&lt;&gt;ROUND('SC Change Orders'!$G239,2),  "Original + Added &lt;&gt; Total Line Cost Allotted; ",""),""),""),""),"")&amp;IF(AND(ISNUMBER('SC Change Orders'!$B239),COUNTIFS('SC Change Orders'!$B$2:$B$501,'SC Change Orders'!$B239,'SC Change Orders'!$C$2:$C$501,'SC Change Orders'!$C239,'SC Change Orders'!$D$2:$D$501,'SC Change Orders'!$D239,'SC Change Orders'!$F$2:$F$501,'SC Change Orders'!$F239,'SC Change Orders'!$E$2:$E$501,'SC Change Orders'!$E239)&gt;1),"Duplicate of another row — funds counted twice; ","")&amp;IF(ISNUMBER('SC Change Orders'!$F239),IF('SC Change Orders'!$F239&lt;&gt;0,IF(AND(ISNUMBER('SC Change Orders'!$B239),NOT(COUNTIFS('SC Change Orders'!$B$2:$B$501,'SC Change Orders'!$B239,'SC Change Orders'!$C$2:$C$501,'SC Change Orders'!$C239,'SC Change Orders'!$D$2:$D$501,'SC Change Orders'!$D239,'SC Change Orders'!$F$2:$F$501,'SC Change Orders'!$F239,'SC Change Orders'!$E$2:$E$501,'SC Change Orders'!$E239)&gt;1),COUNTIFS('SC Change Orders'!$B$2:$B$501,'SC Change Orders'!$B239,'SC Change Orders'!$F$2:$F$501,'SC Change Orders'!$F239)&gt;1),  "Same PO and Amount Added as another row — check for a restatement counted twice; ",""),""),""))</f>
        <v/>
      </c>
    </row>
    <row r="258" customFormat="false" ht="15" hidden="false" customHeight="false" outlineLevel="0" collapsed="false">
      <c r="A258" s="18" t="str">
        <f aca="false">IF(AND('SC Change Orders'!$A240="",'SC Change Orders'!$B240="",'SC Change Orders'!$C240=""),"",240)</f>
        <v/>
      </c>
      <c r="B258" s="31" t="str">
        <f aca="false">IF($A258="","",'SC Change Orders'!$A240)</f>
        <v/>
      </c>
      <c r="C258" s="18" t="str">
        <f aca="false">IF($A258="","",'SC Change Orders'!$B240)</f>
        <v/>
      </c>
      <c r="D258" s="32" t="str">
        <f aca="false">IF($A258="","",'SC Change Orders'!$C240)</f>
        <v/>
      </c>
      <c r="E258" s="31" t="str">
        <f aca="false">IF($A258="","",'SC Change Orders'!$D240)</f>
        <v/>
      </c>
      <c r="F258" s="33" t="str">
        <f aca="false">IF($A258="","",'SC Change Orders'!$E240)</f>
        <v/>
      </c>
      <c r="G258" s="33" t="str">
        <f aca="false">IF($A258="","",'SC Change Orders'!$F240)</f>
        <v/>
      </c>
      <c r="H258" s="33" t="str">
        <f aca="false">IF($A258="","",'SC Change Orders'!$G240)</f>
        <v/>
      </c>
      <c r="I258" s="34" t="str">
        <f aca="false">IF($A258="","",IF(AND(ISNUMBER('SC Change Orders'!$C240),'SC Change Orders'!$C240&gt;=Controls!$C$5,'SC Change Orders'!$C240&lt;=Controls!$C$6),"Yes","No"))</f>
        <v/>
      </c>
      <c r="J258" s="31" t="str">
        <f aca="false">IF($A258="","",IF($K258="","OK",$K258))</f>
        <v/>
      </c>
      <c r="K258" s="0" t="str">
        <f aca="false">IF($A258="","",IF(NOT(ISNUMBER('SC Change Orders'!$B240)),"PO not numeric — row is invisible to the tracker; ","")&amp;IF(NOT(ISNUMBER('SC Change Orders'!$C240)),"Date missing or text — row excluded; ",  IF(OR('SC Change Orders'!$C240&lt;Controls!$C$5,'SC Change Orders'!$C240&gt;Controls!$C$6),"Dated outside the FY window — excluded; ",""))&amp;IF(AND('SC Change Orders'!$E240&lt;&gt;"",NOT(ISNUMBER('SC Change Orders'!$E240))),"Original Amount held as text — ignored by MINIFS; ","")&amp;IF(AND('SC Change Orders'!$F240&lt;&gt;"",NOT(ISNUMBER('SC Change Orders'!$F240))),"Amount Added held as text — ignored by SUMIFS; ","")&amp;IF(ISNUMBER('SC Change Orders'!$E240),IF(ISNUMBER('SC Change Orders'!$F240),IF(ISNUMBER('SC Change Orders'!$G240),  IF('SC Change Orders'!$G240&gt;0,IF(ROUND('SC Change Orders'!$E240+'SC Change Orders'!$F240,2)&lt;&gt;ROUND('SC Change Orders'!$G240,2),  "Original + Added &lt;&gt; Total Line Cost Allotted; ",""),""),""),""),"")&amp;IF(AND(ISNUMBER('SC Change Orders'!$B240),COUNTIFS('SC Change Orders'!$B$2:$B$501,'SC Change Orders'!$B240,'SC Change Orders'!$C$2:$C$501,'SC Change Orders'!$C240,'SC Change Orders'!$D$2:$D$501,'SC Change Orders'!$D240,'SC Change Orders'!$F$2:$F$501,'SC Change Orders'!$F240,'SC Change Orders'!$E$2:$E$501,'SC Change Orders'!$E240)&gt;1),"Duplicate of another row — funds counted twice; ","")&amp;IF(ISNUMBER('SC Change Orders'!$F240),IF('SC Change Orders'!$F240&lt;&gt;0,IF(AND(ISNUMBER('SC Change Orders'!$B240),NOT(COUNTIFS('SC Change Orders'!$B$2:$B$501,'SC Change Orders'!$B240,'SC Change Orders'!$C$2:$C$501,'SC Change Orders'!$C240,'SC Change Orders'!$D$2:$D$501,'SC Change Orders'!$D240,'SC Change Orders'!$F$2:$F$501,'SC Change Orders'!$F240,'SC Change Orders'!$E$2:$E$501,'SC Change Orders'!$E240)&gt;1),COUNTIFS('SC Change Orders'!$B$2:$B$501,'SC Change Orders'!$B240,'SC Change Orders'!$F$2:$F$501,'SC Change Orders'!$F240)&gt;1),  "Same PO and Amount Added as another row — check for a restatement counted twice; ",""),""),""))</f>
        <v/>
      </c>
    </row>
    <row r="259" customFormat="false" ht="15" hidden="false" customHeight="false" outlineLevel="0" collapsed="false">
      <c r="A259" s="18" t="str">
        <f aca="false">IF(AND('SC Change Orders'!$A241="",'SC Change Orders'!$B241="",'SC Change Orders'!$C241=""),"",241)</f>
        <v/>
      </c>
      <c r="B259" s="31" t="str">
        <f aca="false">IF($A259="","",'SC Change Orders'!$A241)</f>
        <v/>
      </c>
      <c r="C259" s="18" t="str">
        <f aca="false">IF($A259="","",'SC Change Orders'!$B241)</f>
        <v/>
      </c>
      <c r="D259" s="32" t="str">
        <f aca="false">IF($A259="","",'SC Change Orders'!$C241)</f>
        <v/>
      </c>
      <c r="E259" s="31" t="str">
        <f aca="false">IF($A259="","",'SC Change Orders'!$D241)</f>
        <v/>
      </c>
      <c r="F259" s="33" t="str">
        <f aca="false">IF($A259="","",'SC Change Orders'!$E241)</f>
        <v/>
      </c>
      <c r="G259" s="33" t="str">
        <f aca="false">IF($A259="","",'SC Change Orders'!$F241)</f>
        <v/>
      </c>
      <c r="H259" s="33" t="str">
        <f aca="false">IF($A259="","",'SC Change Orders'!$G241)</f>
        <v/>
      </c>
      <c r="I259" s="34" t="str">
        <f aca="false">IF($A259="","",IF(AND(ISNUMBER('SC Change Orders'!$C241),'SC Change Orders'!$C241&gt;=Controls!$C$5,'SC Change Orders'!$C241&lt;=Controls!$C$6),"Yes","No"))</f>
        <v/>
      </c>
      <c r="J259" s="31" t="str">
        <f aca="false">IF($A259="","",IF($K259="","OK",$K259))</f>
        <v/>
      </c>
      <c r="K259" s="0" t="str">
        <f aca="false">IF($A259="","",IF(NOT(ISNUMBER('SC Change Orders'!$B241)),"PO not numeric — row is invisible to the tracker; ","")&amp;IF(NOT(ISNUMBER('SC Change Orders'!$C241)),"Date missing or text — row excluded; ",  IF(OR('SC Change Orders'!$C241&lt;Controls!$C$5,'SC Change Orders'!$C241&gt;Controls!$C$6),"Dated outside the FY window — excluded; ",""))&amp;IF(AND('SC Change Orders'!$E241&lt;&gt;"",NOT(ISNUMBER('SC Change Orders'!$E241))),"Original Amount held as text — ignored by MINIFS; ","")&amp;IF(AND('SC Change Orders'!$F241&lt;&gt;"",NOT(ISNUMBER('SC Change Orders'!$F241))),"Amount Added held as text — ignored by SUMIFS; ","")&amp;IF(ISNUMBER('SC Change Orders'!$E241),IF(ISNUMBER('SC Change Orders'!$F241),IF(ISNUMBER('SC Change Orders'!$G241),  IF('SC Change Orders'!$G241&gt;0,IF(ROUND('SC Change Orders'!$E241+'SC Change Orders'!$F241,2)&lt;&gt;ROUND('SC Change Orders'!$G241,2),  "Original + Added &lt;&gt; Total Line Cost Allotted; ",""),""),""),""),"")&amp;IF(AND(ISNUMBER('SC Change Orders'!$B241),COUNTIFS('SC Change Orders'!$B$2:$B$501,'SC Change Orders'!$B241,'SC Change Orders'!$C$2:$C$501,'SC Change Orders'!$C241,'SC Change Orders'!$D$2:$D$501,'SC Change Orders'!$D241,'SC Change Orders'!$F$2:$F$501,'SC Change Orders'!$F241,'SC Change Orders'!$E$2:$E$501,'SC Change Orders'!$E241)&gt;1),"Duplicate of another row — funds counted twice; ","")&amp;IF(ISNUMBER('SC Change Orders'!$F241),IF('SC Change Orders'!$F241&lt;&gt;0,IF(AND(ISNUMBER('SC Change Orders'!$B241),NOT(COUNTIFS('SC Change Orders'!$B$2:$B$501,'SC Change Orders'!$B241,'SC Change Orders'!$C$2:$C$501,'SC Change Orders'!$C241,'SC Change Orders'!$D$2:$D$501,'SC Change Orders'!$D241,'SC Change Orders'!$F$2:$F$501,'SC Change Orders'!$F241,'SC Change Orders'!$E$2:$E$501,'SC Change Orders'!$E241)&gt;1),COUNTIFS('SC Change Orders'!$B$2:$B$501,'SC Change Orders'!$B241,'SC Change Orders'!$F$2:$F$501,'SC Change Orders'!$F241)&gt;1),  "Same PO and Amount Added as another row — check for a restatement counted twice; ",""),""),""))</f>
        <v/>
      </c>
    </row>
    <row r="260" customFormat="false" ht="15" hidden="false" customHeight="false" outlineLevel="0" collapsed="false">
      <c r="A260" s="18" t="str">
        <f aca="false">IF(AND('SC Change Orders'!$A242="",'SC Change Orders'!$B242="",'SC Change Orders'!$C242=""),"",242)</f>
        <v/>
      </c>
      <c r="B260" s="31" t="str">
        <f aca="false">IF($A260="","",'SC Change Orders'!$A242)</f>
        <v/>
      </c>
      <c r="C260" s="18" t="str">
        <f aca="false">IF($A260="","",'SC Change Orders'!$B242)</f>
        <v/>
      </c>
      <c r="D260" s="32" t="str">
        <f aca="false">IF($A260="","",'SC Change Orders'!$C242)</f>
        <v/>
      </c>
      <c r="E260" s="31" t="str">
        <f aca="false">IF($A260="","",'SC Change Orders'!$D242)</f>
        <v/>
      </c>
      <c r="F260" s="33" t="str">
        <f aca="false">IF($A260="","",'SC Change Orders'!$E242)</f>
        <v/>
      </c>
      <c r="G260" s="33" t="str">
        <f aca="false">IF($A260="","",'SC Change Orders'!$F242)</f>
        <v/>
      </c>
      <c r="H260" s="33" t="str">
        <f aca="false">IF($A260="","",'SC Change Orders'!$G242)</f>
        <v/>
      </c>
      <c r="I260" s="34" t="str">
        <f aca="false">IF($A260="","",IF(AND(ISNUMBER('SC Change Orders'!$C242),'SC Change Orders'!$C242&gt;=Controls!$C$5,'SC Change Orders'!$C242&lt;=Controls!$C$6),"Yes","No"))</f>
        <v/>
      </c>
      <c r="J260" s="31" t="str">
        <f aca="false">IF($A260="","",IF($K260="","OK",$K260))</f>
        <v/>
      </c>
      <c r="K260" s="0" t="str">
        <f aca="false">IF($A260="","",IF(NOT(ISNUMBER('SC Change Orders'!$B242)),"PO not numeric — row is invisible to the tracker; ","")&amp;IF(NOT(ISNUMBER('SC Change Orders'!$C242)),"Date missing or text — row excluded; ",  IF(OR('SC Change Orders'!$C242&lt;Controls!$C$5,'SC Change Orders'!$C242&gt;Controls!$C$6),"Dated outside the FY window — excluded; ",""))&amp;IF(AND('SC Change Orders'!$E242&lt;&gt;"",NOT(ISNUMBER('SC Change Orders'!$E242))),"Original Amount held as text — ignored by MINIFS; ","")&amp;IF(AND('SC Change Orders'!$F242&lt;&gt;"",NOT(ISNUMBER('SC Change Orders'!$F242))),"Amount Added held as text — ignored by SUMIFS; ","")&amp;IF(ISNUMBER('SC Change Orders'!$E242),IF(ISNUMBER('SC Change Orders'!$F242),IF(ISNUMBER('SC Change Orders'!$G242),  IF('SC Change Orders'!$G242&gt;0,IF(ROUND('SC Change Orders'!$E242+'SC Change Orders'!$F242,2)&lt;&gt;ROUND('SC Change Orders'!$G242,2),  "Original + Added &lt;&gt; Total Line Cost Allotted; ",""),""),""),""),"")&amp;IF(AND(ISNUMBER('SC Change Orders'!$B242),COUNTIFS('SC Change Orders'!$B$2:$B$501,'SC Change Orders'!$B242,'SC Change Orders'!$C$2:$C$501,'SC Change Orders'!$C242,'SC Change Orders'!$D$2:$D$501,'SC Change Orders'!$D242,'SC Change Orders'!$F$2:$F$501,'SC Change Orders'!$F242,'SC Change Orders'!$E$2:$E$501,'SC Change Orders'!$E242)&gt;1),"Duplicate of another row — funds counted twice; ","")&amp;IF(ISNUMBER('SC Change Orders'!$F242),IF('SC Change Orders'!$F242&lt;&gt;0,IF(AND(ISNUMBER('SC Change Orders'!$B242),NOT(COUNTIFS('SC Change Orders'!$B$2:$B$501,'SC Change Orders'!$B242,'SC Change Orders'!$C$2:$C$501,'SC Change Orders'!$C242,'SC Change Orders'!$D$2:$D$501,'SC Change Orders'!$D242,'SC Change Orders'!$F$2:$F$501,'SC Change Orders'!$F242,'SC Change Orders'!$E$2:$E$501,'SC Change Orders'!$E242)&gt;1),COUNTIFS('SC Change Orders'!$B$2:$B$501,'SC Change Orders'!$B242,'SC Change Orders'!$F$2:$F$501,'SC Change Orders'!$F242)&gt;1),  "Same PO and Amount Added as another row — check for a restatement counted twice; ",""),""),""))</f>
        <v/>
      </c>
    </row>
    <row r="261" customFormat="false" ht="15" hidden="false" customHeight="false" outlineLevel="0" collapsed="false">
      <c r="A261" s="18" t="str">
        <f aca="false">IF(AND('SC Change Orders'!$A243="",'SC Change Orders'!$B243="",'SC Change Orders'!$C243=""),"",243)</f>
        <v/>
      </c>
      <c r="B261" s="31" t="str">
        <f aca="false">IF($A261="","",'SC Change Orders'!$A243)</f>
        <v/>
      </c>
      <c r="C261" s="18" t="str">
        <f aca="false">IF($A261="","",'SC Change Orders'!$B243)</f>
        <v/>
      </c>
      <c r="D261" s="32" t="str">
        <f aca="false">IF($A261="","",'SC Change Orders'!$C243)</f>
        <v/>
      </c>
      <c r="E261" s="31" t="str">
        <f aca="false">IF($A261="","",'SC Change Orders'!$D243)</f>
        <v/>
      </c>
      <c r="F261" s="33" t="str">
        <f aca="false">IF($A261="","",'SC Change Orders'!$E243)</f>
        <v/>
      </c>
      <c r="G261" s="33" t="str">
        <f aca="false">IF($A261="","",'SC Change Orders'!$F243)</f>
        <v/>
      </c>
      <c r="H261" s="33" t="str">
        <f aca="false">IF($A261="","",'SC Change Orders'!$G243)</f>
        <v/>
      </c>
      <c r="I261" s="34" t="str">
        <f aca="false">IF($A261="","",IF(AND(ISNUMBER('SC Change Orders'!$C243),'SC Change Orders'!$C243&gt;=Controls!$C$5,'SC Change Orders'!$C243&lt;=Controls!$C$6),"Yes","No"))</f>
        <v/>
      </c>
      <c r="J261" s="31" t="str">
        <f aca="false">IF($A261="","",IF($K261="","OK",$K261))</f>
        <v/>
      </c>
      <c r="K261" s="0" t="str">
        <f aca="false">IF($A261="","",IF(NOT(ISNUMBER('SC Change Orders'!$B243)),"PO not numeric — row is invisible to the tracker; ","")&amp;IF(NOT(ISNUMBER('SC Change Orders'!$C243)),"Date missing or text — row excluded; ",  IF(OR('SC Change Orders'!$C243&lt;Controls!$C$5,'SC Change Orders'!$C243&gt;Controls!$C$6),"Dated outside the FY window — excluded; ",""))&amp;IF(AND('SC Change Orders'!$E243&lt;&gt;"",NOT(ISNUMBER('SC Change Orders'!$E243))),"Original Amount held as text — ignored by MINIFS; ","")&amp;IF(AND('SC Change Orders'!$F243&lt;&gt;"",NOT(ISNUMBER('SC Change Orders'!$F243))),"Amount Added held as text — ignored by SUMIFS; ","")&amp;IF(ISNUMBER('SC Change Orders'!$E243),IF(ISNUMBER('SC Change Orders'!$F243),IF(ISNUMBER('SC Change Orders'!$G243),  IF('SC Change Orders'!$G243&gt;0,IF(ROUND('SC Change Orders'!$E243+'SC Change Orders'!$F243,2)&lt;&gt;ROUND('SC Change Orders'!$G243,2),  "Original + Added &lt;&gt; Total Line Cost Allotted; ",""),""),""),""),"")&amp;IF(AND(ISNUMBER('SC Change Orders'!$B243),COUNTIFS('SC Change Orders'!$B$2:$B$501,'SC Change Orders'!$B243,'SC Change Orders'!$C$2:$C$501,'SC Change Orders'!$C243,'SC Change Orders'!$D$2:$D$501,'SC Change Orders'!$D243,'SC Change Orders'!$F$2:$F$501,'SC Change Orders'!$F243,'SC Change Orders'!$E$2:$E$501,'SC Change Orders'!$E243)&gt;1),"Duplicate of another row — funds counted twice; ","")&amp;IF(ISNUMBER('SC Change Orders'!$F243),IF('SC Change Orders'!$F243&lt;&gt;0,IF(AND(ISNUMBER('SC Change Orders'!$B243),NOT(COUNTIFS('SC Change Orders'!$B$2:$B$501,'SC Change Orders'!$B243,'SC Change Orders'!$C$2:$C$501,'SC Change Orders'!$C243,'SC Change Orders'!$D$2:$D$501,'SC Change Orders'!$D243,'SC Change Orders'!$F$2:$F$501,'SC Change Orders'!$F243,'SC Change Orders'!$E$2:$E$501,'SC Change Orders'!$E243)&gt;1),COUNTIFS('SC Change Orders'!$B$2:$B$501,'SC Change Orders'!$B243,'SC Change Orders'!$F$2:$F$501,'SC Change Orders'!$F243)&gt;1),  "Same PO and Amount Added as another row — check for a restatement counted twice; ",""),""),""))</f>
        <v/>
      </c>
    </row>
    <row r="262" customFormat="false" ht="15" hidden="false" customHeight="false" outlineLevel="0" collapsed="false">
      <c r="A262" s="18" t="str">
        <f aca="false">IF(AND('SC Change Orders'!$A244="",'SC Change Orders'!$B244="",'SC Change Orders'!$C244=""),"",244)</f>
        <v/>
      </c>
      <c r="B262" s="31" t="str">
        <f aca="false">IF($A262="","",'SC Change Orders'!$A244)</f>
        <v/>
      </c>
      <c r="C262" s="18" t="str">
        <f aca="false">IF($A262="","",'SC Change Orders'!$B244)</f>
        <v/>
      </c>
      <c r="D262" s="32" t="str">
        <f aca="false">IF($A262="","",'SC Change Orders'!$C244)</f>
        <v/>
      </c>
      <c r="E262" s="31" t="str">
        <f aca="false">IF($A262="","",'SC Change Orders'!$D244)</f>
        <v/>
      </c>
      <c r="F262" s="33" t="str">
        <f aca="false">IF($A262="","",'SC Change Orders'!$E244)</f>
        <v/>
      </c>
      <c r="G262" s="33" t="str">
        <f aca="false">IF($A262="","",'SC Change Orders'!$F244)</f>
        <v/>
      </c>
      <c r="H262" s="33" t="str">
        <f aca="false">IF($A262="","",'SC Change Orders'!$G244)</f>
        <v/>
      </c>
      <c r="I262" s="34" t="str">
        <f aca="false">IF($A262="","",IF(AND(ISNUMBER('SC Change Orders'!$C244),'SC Change Orders'!$C244&gt;=Controls!$C$5,'SC Change Orders'!$C244&lt;=Controls!$C$6),"Yes","No"))</f>
        <v/>
      </c>
      <c r="J262" s="31" t="str">
        <f aca="false">IF($A262="","",IF($K262="","OK",$K262))</f>
        <v/>
      </c>
      <c r="K262" s="0" t="str">
        <f aca="false">IF($A262="","",IF(NOT(ISNUMBER('SC Change Orders'!$B244)),"PO not numeric — row is invisible to the tracker; ","")&amp;IF(NOT(ISNUMBER('SC Change Orders'!$C244)),"Date missing or text — row excluded; ",  IF(OR('SC Change Orders'!$C244&lt;Controls!$C$5,'SC Change Orders'!$C244&gt;Controls!$C$6),"Dated outside the FY window — excluded; ",""))&amp;IF(AND('SC Change Orders'!$E244&lt;&gt;"",NOT(ISNUMBER('SC Change Orders'!$E244))),"Original Amount held as text — ignored by MINIFS; ","")&amp;IF(AND('SC Change Orders'!$F244&lt;&gt;"",NOT(ISNUMBER('SC Change Orders'!$F244))),"Amount Added held as text — ignored by SUMIFS; ","")&amp;IF(ISNUMBER('SC Change Orders'!$E244),IF(ISNUMBER('SC Change Orders'!$F244),IF(ISNUMBER('SC Change Orders'!$G244),  IF('SC Change Orders'!$G244&gt;0,IF(ROUND('SC Change Orders'!$E244+'SC Change Orders'!$F244,2)&lt;&gt;ROUND('SC Change Orders'!$G244,2),  "Original + Added &lt;&gt; Total Line Cost Allotted; ",""),""),""),""),"")&amp;IF(AND(ISNUMBER('SC Change Orders'!$B244),COUNTIFS('SC Change Orders'!$B$2:$B$501,'SC Change Orders'!$B244,'SC Change Orders'!$C$2:$C$501,'SC Change Orders'!$C244,'SC Change Orders'!$D$2:$D$501,'SC Change Orders'!$D244,'SC Change Orders'!$F$2:$F$501,'SC Change Orders'!$F244,'SC Change Orders'!$E$2:$E$501,'SC Change Orders'!$E244)&gt;1),"Duplicate of another row — funds counted twice; ","")&amp;IF(ISNUMBER('SC Change Orders'!$F244),IF('SC Change Orders'!$F244&lt;&gt;0,IF(AND(ISNUMBER('SC Change Orders'!$B244),NOT(COUNTIFS('SC Change Orders'!$B$2:$B$501,'SC Change Orders'!$B244,'SC Change Orders'!$C$2:$C$501,'SC Change Orders'!$C244,'SC Change Orders'!$D$2:$D$501,'SC Change Orders'!$D244,'SC Change Orders'!$F$2:$F$501,'SC Change Orders'!$F244,'SC Change Orders'!$E$2:$E$501,'SC Change Orders'!$E244)&gt;1),COUNTIFS('SC Change Orders'!$B$2:$B$501,'SC Change Orders'!$B244,'SC Change Orders'!$F$2:$F$501,'SC Change Orders'!$F244)&gt;1),  "Same PO and Amount Added as another row — check for a restatement counted twice; ",""),""),""))</f>
        <v/>
      </c>
    </row>
    <row r="263" customFormat="false" ht="15" hidden="false" customHeight="false" outlineLevel="0" collapsed="false">
      <c r="A263" s="18" t="str">
        <f aca="false">IF(AND('SC Change Orders'!$A245="",'SC Change Orders'!$B245="",'SC Change Orders'!$C245=""),"",245)</f>
        <v/>
      </c>
      <c r="B263" s="31" t="str">
        <f aca="false">IF($A263="","",'SC Change Orders'!$A245)</f>
        <v/>
      </c>
      <c r="C263" s="18" t="str">
        <f aca="false">IF($A263="","",'SC Change Orders'!$B245)</f>
        <v/>
      </c>
      <c r="D263" s="32" t="str">
        <f aca="false">IF($A263="","",'SC Change Orders'!$C245)</f>
        <v/>
      </c>
      <c r="E263" s="31" t="str">
        <f aca="false">IF($A263="","",'SC Change Orders'!$D245)</f>
        <v/>
      </c>
      <c r="F263" s="33" t="str">
        <f aca="false">IF($A263="","",'SC Change Orders'!$E245)</f>
        <v/>
      </c>
      <c r="G263" s="33" t="str">
        <f aca="false">IF($A263="","",'SC Change Orders'!$F245)</f>
        <v/>
      </c>
      <c r="H263" s="33" t="str">
        <f aca="false">IF($A263="","",'SC Change Orders'!$G245)</f>
        <v/>
      </c>
      <c r="I263" s="34" t="str">
        <f aca="false">IF($A263="","",IF(AND(ISNUMBER('SC Change Orders'!$C245),'SC Change Orders'!$C245&gt;=Controls!$C$5,'SC Change Orders'!$C245&lt;=Controls!$C$6),"Yes","No"))</f>
        <v/>
      </c>
      <c r="J263" s="31" t="str">
        <f aca="false">IF($A263="","",IF($K263="","OK",$K263))</f>
        <v/>
      </c>
      <c r="K263" s="0" t="str">
        <f aca="false">IF($A263="","",IF(NOT(ISNUMBER('SC Change Orders'!$B245)),"PO not numeric — row is invisible to the tracker; ","")&amp;IF(NOT(ISNUMBER('SC Change Orders'!$C245)),"Date missing or text — row excluded; ",  IF(OR('SC Change Orders'!$C245&lt;Controls!$C$5,'SC Change Orders'!$C245&gt;Controls!$C$6),"Dated outside the FY window — excluded; ",""))&amp;IF(AND('SC Change Orders'!$E245&lt;&gt;"",NOT(ISNUMBER('SC Change Orders'!$E245))),"Original Amount held as text — ignored by MINIFS; ","")&amp;IF(AND('SC Change Orders'!$F245&lt;&gt;"",NOT(ISNUMBER('SC Change Orders'!$F245))),"Amount Added held as text — ignored by SUMIFS; ","")&amp;IF(ISNUMBER('SC Change Orders'!$E245),IF(ISNUMBER('SC Change Orders'!$F245),IF(ISNUMBER('SC Change Orders'!$G245),  IF('SC Change Orders'!$G245&gt;0,IF(ROUND('SC Change Orders'!$E245+'SC Change Orders'!$F245,2)&lt;&gt;ROUND('SC Change Orders'!$G245,2),  "Original + Added &lt;&gt; Total Line Cost Allotted; ",""),""),""),""),"")&amp;IF(AND(ISNUMBER('SC Change Orders'!$B245),COUNTIFS('SC Change Orders'!$B$2:$B$501,'SC Change Orders'!$B245,'SC Change Orders'!$C$2:$C$501,'SC Change Orders'!$C245,'SC Change Orders'!$D$2:$D$501,'SC Change Orders'!$D245,'SC Change Orders'!$F$2:$F$501,'SC Change Orders'!$F245,'SC Change Orders'!$E$2:$E$501,'SC Change Orders'!$E245)&gt;1),"Duplicate of another row — funds counted twice; ","")&amp;IF(ISNUMBER('SC Change Orders'!$F245),IF('SC Change Orders'!$F245&lt;&gt;0,IF(AND(ISNUMBER('SC Change Orders'!$B245),NOT(COUNTIFS('SC Change Orders'!$B$2:$B$501,'SC Change Orders'!$B245,'SC Change Orders'!$C$2:$C$501,'SC Change Orders'!$C245,'SC Change Orders'!$D$2:$D$501,'SC Change Orders'!$D245,'SC Change Orders'!$F$2:$F$501,'SC Change Orders'!$F245,'SC Change Orders'!$E$2:$E$501,'SC Change Orders'!$E245)&gt;1),COUNTIFS('SC Change Orders'!$B$2:$B$501,'SC Change Orders'!$B245,'SC Change Orders'!$F$2:$F$501,'SC Change Orders'!$F245)&gt;1),  "Same PO and Amount Added as another row — check for a restatement counted twice; ",""),""),""))</f>
        <v/>
      </c>
    </row>
    <row r="264" customFormat="false" ht="15" hidden="false" customHeight="false" outlineLevel="0" collapsed="false">
      <c r="A264" s="18" t="str">
        <f aca="false">IF(AND('SC Change Orders'!$A246="",'SC Change Orders'!$B246="",'SC Change Orders'!$C246=""),"",246)</f>
        <v/>
      </c>
      <c r="B264" s="31" t="str">
        <f aca="false">IF($A264="","",'SC Change Orders'!$A246)</f>
        <v/>
      </c>
      <c r="C264" s="18" t="str">
        <f aca="false">IF($A264="","",'SC Change Orders'!$B246)</f>
        <v/>
      </c>
      <c r="D264" s="32" t="str">
        <f aca="false">IF($A264="","",'SC Change Orders'!$C246)</f>
        <v/>
      </c>
      <c r="E264" s="31" t="str">
        <f aca="false">IF($A264="","",'SC Change Orders'!$D246)</f>
        <v/>
      </c>
      <c r="F264" s="33" t="str">
        <f aca="false">IF($A264="","",'SC Change Orders'!$E246)</f>
        <v/>
      </c>
      <c r="G264" s="33" t="str">
        <f aca="false">IF($A264="","",'SC Change Orders'!$F246)</f>
        <v/>
      </c>
      <c r="H264" s="33" t="str">
        <f aca="false">IF($A264="","",'SC Change Orders'!$G246)</f>
        <v/>
      </c>
      <c r="I264" s="34" t="str">
        <f aca="false">IF($A264="","",IF(AND(ISNUMBER('SC Change Orders'!$C246),'SC Change Orders'!$C246&gt;=Controls!$C$5,'SC Change Orders'!$C246&lt;=Controls!$C$6),"Yes","No"))</f>
        <v/>
      </c>
      <c r="J264" s="31" t="str">
        <f aca="false">IF($A264="","",IF($K264="","OK",$K264))</f>
        <v/>
      </c>
      <c r="K264" s="0" t="str">
        <f aca="false">IF($A264="","",IF(NOT(ISNUMBER('SC Change Orders'!$B246)),"PO not numeric — row is invisible to the tracker; ","")&amp;IF(NOT(ISNUMBER('SC Change Orders'!$C246)),"Date missing or text — row excluded; ",  IF(OR('SC Change Orders'!$C246&lt;Controls!$C$5,'SC Change Orders'!$C246&gt;Controls!$C$6),"Dated outside the FY window — excluded; ",""))&amp;IF(AND('SC Change Orders'!$E246&lt;&gt;"",NOT(ISNUMBER('SC Change Orders'!$E246))),"Original Amount held as text — ignored by MINIFS; ","")&amp;IF(AND('SC Change Orders'!$F246&lt;&gt;"",NOT(ISNUMBER('SC Change Orders'!$F246))),"Amount Added held as text — ignored by SUMIFS; ","")&amp;IF(ISNUMBER('SC Change Orders'!$E246),IF(ISNUMBER('SC Change Orders'!$F246),IF(ISNUMBER('SC Change Orders'!$G246),  IF('SC Change Orders'!$G246&gt;0,IF(ROUND('SC Change Orders'!$E246+'SC Change Orders'!$F246,2)&lt;&gt;ROUND('SC Change Orders'!$G246,2),  "Original + Added &lt;&gt; Total Line Cost Allotted; ",""),""),""),""),"")&amp;IF(AND(ISNUMBER('SC Change Orders'!$B246),COUNTIFS('SC Change Orders'!$B$2:$B$501,'SC Change Orders'!$B246,'SC Change Orders'!$C$2:$C$501,'SC Change Orders'!$C246,'SC Change Orders'!$D$2:$D$501,'SC Change Orders'!$D246,'SC Change Orders'!$F$2:$F$501,'SC Change Orders'!$F246,'SC Change Orders'!$E$2:$E$501,'SC Change Orders'!$E246)&gt;1),"Duplicate of another row — funds counted twice; ","")&amp;IF(ISNUMBER('SC Change Orders'!$F246),IF('SC Change Orders'!$F246&lt;&gt;0,IF(AND(ISNUMBER('SC Change Orders'!$B246),NOT(COUNTIFS('SC Change Orders'!$B$2:$B$501,'SC Change Orders'!$B246,'SC Change Orders'!$C$2:$C$501,'SC Change Orders'!$C246,'SC Change Orders'!$D$2:$D$501,'SC Change Orders'!$D246,'SC Change Orders'!$F$2:$F$501,'SC Change Orders'!$F246,'SC Change Orders'!$E$2:$E$501,'SC Change Orders'!$E246)&gt;1),COUNTIFS('SC Change Orders'!$B$2:$B$501,'SC Change Orders'!$B246,'SC Change Orders'!$F$2:$F$501,'SC Change Orders'!$F246)&gt;1),  "Same PO and Amount Added as another row — check for a restatement counted twice; ",""),""),""))</f>
        <v/>
      </c>
    </row>
    <row r="265" customFormat="false" ht="15" hidden="false" customHeight="false" outlineLevel="0" collapsed="false">
      <c r="A265" s="18" t="str">
        <f aca="false">IF(AND('SC Change Orders'!$A247="",'SC Change Orders'!$B247="",'SC Change Orders'!$C247=""),"",247)</f>
        <v/>
      </c>
      <c r="B265" s="31" t="str">
        <f aca="false">IF($A265="","",'SC Change Orders'!$A247)</f>
        <v/>
      </c>
      <c r="C265" s="18" t="str">
        <f aca="false">IF($A265="","",'SC Change Orders'!$B247)</f>
        <v/>
      </c>
      <c r="D265" s="32" t="str">
        <f aca="false">IF($A265="","",'SC Change Orders'!$C247)</f>
        <v/>
      </c>
      <c r="E265" s="31" t="str">
        <f aca="false">IF($A265="","",'SC Change Orders'!$D247)</f>
        <v/>
      </c>
      <c r="F265" s="33" t="str">
        <f aca="false">IF($A265="","",'SC Change Orders'!$E247)</f>
        <v/>
      </c>
      <c r="G265" s="33" t="str">
        <f aca="false">IF($A265="","",'SC Change Orders'!$F247)</f>
        <v/>
      </c>
      <c r="H265" s="33" t="str">
        <f aca="false">IF($A265="","",'SC Change Orders'!$G247)</f>
        <v/>
      </c>
      <c r="I265" s="34" t="str">
        <f aca="false">IF($A265="","",IF(AND(ISNUMBER('SC Change Orders'!$C247),'SC Change Orders'!$C247&gt;=Controls!$C$5,'SC Change Orders'!$C247&lt;=Controls!$C$6),"Yes","No"))</f>
        <v/>
      </c>
      <c r="J265" s="31" t="str">
        <f aca="false">IF($A265="","",IF($K265="","OK",$K265))</f>
        <v/>
      </c>
      <c r="K265" s="0" t="str">
        <f aca="false">IF($A265="","",IF(NOT(ISNUMBER('SC Change Orders'!$B247)),"PO not numeric — row is invisible to the tracker; ","")&amp;IF(NOT(ISNUMBER('SC Change Orders'!$C247)),"Date missing or text — row excluded; ",  IF(OR('SC Change Orders'!$C247&lt;Controls!$C$5,'SC Change Orders'!$C247&gt;Controls!$C$6),"Dated outside the FY window — excluded; ",""))&amp;IF(AND('SC Change Orders'!$E247&lt;&gt;"",NOT(ISNUMBER('SC Change Orders'!$E247))),"Original Amount held as text — ignored by MINIFS; ","")&amp;IF(AND('SC Change Orders'!$F247&lt;&gt;"",NOT(ISNUMBER('SC Change Orders'!$F247))),"Amount Added held as text — ignored by SUMIFS; ","")&amp;IF(ISNUMBER('SC Change Orders'!$E247),IF(ISNUMBER('SC Change Orders'!$F247),IF(ISNUMBER('SC Change Orders'!$G247),  IF('SC Change Orders'!$G247&gt;0,IF(ROUND('SC Change Orders'!$E247+'SC Change Orders'!$F247,2)&lt;&gt;ROUND('SC Change Orders'!$G247,2),  "Original + Added &lt;&gt; Total Line Cost Allotted; ",""),""),""),""),"")&amp;IF(AND(ISNUMBER('SC Change Orders'!$B247),COUNTIFS('SC Change Orders'!$B$2:$B$501,'SC Change Orders'!$B247,'SC Change Orders'!$C$2:$C$501,'SC Change Orders'!$C247,'SC Change Orders'!$D$2:$D$501,'SC Change Orders'!$D247,'SC Change Orders'!$F$2:$F$501,'SC Change Orders'!$F247,'SC Change Orders'!$E$2:$E$501,'SC Change Orders'!$E247)&gt;1),"Duplicate of another row — funds counted twice; ","")&amp;IF(ISNUMBER('SC Change Orders'!$F247),IF('SC Change Orders'!$F247&lt;&gt;0,IF(AND(ISNUMBER('SC Change Orders'!$B247),NOT(COUNTIFS('SC Change Orders'!$B$2:$B$501,'SC Change Orders'!$B247,'SC Change Orders'!$C$2:$C$501,'SC Change Orders'!$C247,'SC Change Orders'!$D$2:$D$501,'SC Change Orders'!$D247,'SC Change Orders'!$F$2:$F$501,'SC Change Orders'!$F247,'SC Change Orders'!$E$2:$E$501,'SC Change Orders'!$E247)&gt;1),COUNTIFS('SC Change Orders'!$B$2:$B$501,'SC Change Orders'!$B247,'SC Change Orders'!$F$2:$F$501,'SC Change Orders'!$F247)&gt;1),  "Same PO and Amount Added as another row — check for a restatement counted twice; ",""),""),""))</f>
        <v/>
      </c>
    </row>
    <row r="266" customFormat="false" ht="15" hidden="false" customHeight="false" outlineLevel="0" collapsed="false">
      <c r="A266" s="18" t="str">
        <f aca="false">IF(AND('SC Change Orders'!$A248="",'SC Change Orders'!$B248="",'SC Change Orders'!$C248=""),"",248)</f>
        <v/>
      </c>
      <c r="B266" s="31" t="str">
        <f aca="false">IF($A266="","",'SC Change Orders'!$A248)</f>
        <v/>
      </c>
      <c r="C266" s="18" t="str">
        <f aca="false">IF($A266="","",'SC Change Orders'!$B248)</f>
        <v/>
      </c>
      <c r="D266" s="32" t="str">
        <f aca="false">IF($A266="","",'SC Change Orders'!$C248)</f>
        <v/>
      </c>
      <c r="E266" s="31" t="str">
        <f aca="false">IF($A266="","",'SC Change Orders'!$D248)</f>
        <v/>
      </c>
      <c r="F266" s="33" t="str">
        <f aca="false">IF($A266="","",'SC Change Orders'!$E248)</f>
        <v/>
      </c>
      <c r="G266" s="33" t="str">
        <f aca="false">IF($A266="","",'SC Change Orders'!$F248)</f>
        <v/>
      </c>
      <c r="H266" s="33" t="str">
        <f aca="false">IF($A266="","",'SC Change Orders'!$G248)</f>
        <v/>
      </c>
      <c r="I266" s="34" t="str">
        <f aca="false">IF($A266="","",IF(AND(ISNUMBER('SC Change Orders'!$C248),'SC Change Orders'!$C248&gt;=Controls!$C$5,'SC Change Orders'!$C248&lt;=Controls!$C$6),"Yes","No"))</f>
        <v/>
      </c>
      <c r="J266" s="31" t="str">
        <f aca="false">IF($A266="","",IF($K266="","OK",$K266))</f>
        <v/>
      </c>
      <c r="K266" s="0" t="str">
        <f aca="false">IF($A266="","",IF(NOT(ISNUMBER('SC Change Orders'!$B248)),"PO not numeric — row is invisible to the tracker; ","")&amp;IF(NOT(ISNUMBER('SC Change Orders'!$C248)),"Date missing or text — row excluded; ",  IF(OR('SC Change Orders'!$C248&lt;Controls!$C$5,'SC Change Orders'!$C248&gt;Controls!$C$6),"Dated outside the FY window — excluded; ",""))&amp;IF(AND('SC Change Orders'!$E248&lt;&gt;"",NOT(ISNUMBER('SC Change Orders'!$E248))),"Original Amount held as text — ignored by MINIFS; ","")&amp;IF(AND('SC Change Orders'!$F248&lt;&gt;"",NOT(ISNUMBER('SC Change Orders'!$F248))),"Amount Added held as text — ignored by SUMIFS; ","")&amp;IF(ISNUMBER('SC Change Orders'!$E248),IF(ISNUMBER('SC Change Orders'!$F248),IF(ISNUMBER('SC Change Orders'!$G248),  IF('SC Change Orders'!$G248&gt;0,IF(ROUND('SC Change Orders'!$E248+'SC Change Orders'!$F248,2)&lt;&gt;ROUND('SC Change Orders'!$G248,2),  "Original + Added &lt;&gt; Total Line Cost Allotted; ",""),""),""),""),"")&amp;IF(AND(ISNUMBER('SC Change Orders'!$B248),COUNTIFS('SC Change Orders'!$B$2:$B$501,'SC Change Orders'!$B248,'SC Change Orders'!$C$2:$C$501,'SC Change Orders'!$C248,'SC Change Orders'!$D$2:$D$501,'SC Change Orders'!$D248,'SC Change Orders'!$F$2:$F$501,'SC Change Orders'!$F248,'SC Change Orders'!$E$2:$E$501,'SC Change Orders'!$E248)&gt;1),"Duplicate of another row — funds counted twice; ","")&amp;IF(ISNUMBER('SC Change Orders'!$F248),IF('SC Change Orders'!$F248&lt;&gt;0,IF(AND(ISNUMBER('SC Change Orders'!$B248),NOT(COUNTIFS('SC Change Orders'!$B$2:$B$501,'SC Change Orders'!$B248,'SC Change Orders'!$C$2:$C$501,'SC Change Orders'!$C248,'SC Change Orders'!$D$2:$D$501,'SC Change Orders'!$D248,'SC Change Orders'!$F$2:$F$501,'SC Change Orders'!$F248,'SC Change Orders'!$E$2:$E$501,'SC Change Orders'!$E248)&gt;1),COUNTIFS('SC Change Orders'!$B$2:$B$501,'SC Change Orders'!$B248,'SC Change Orders'!$F$2:$F$501,'SC Change Orders'!$F248)&gt;1),  "Same PO and Amount Added as another row — check for a restatement counted twice; ",""),""),""))</f>
        <v/>
      </c>
    </row>
    <row r="267" customFormat="false" ht="15" hidden="false" customHeight="false" outlineLevel="0" collapsed="false">
      <c r="A267" s="18" t="str">
        <f aca="false">IF(AND('SC Change Orders'!$A249="",'SC Change Orders'!$B249="",'SC Change Orders'!$C249=""),"",249)</f>
        <v/>
      </c>
      <c r="B267" s="31" t="str">
        <f aca="false">IF($A267="","",'SC Change Orders'!$A249)</f>
        <v/>
      </c>
      <c r="C267" s="18" t="str">
        <f aca="false">IF($A267="","",'SC Change Orders'!$B249)</f>
        <v/>
      </c>
      <c r="D267" s="32" t="str">
        <f aca="false">IF($A267="","",'SC Change Orders'!$C249)</f>
        <v/>
      </c>
      <c r="E267" s="31" t="str">
        <f aca="false">IF($A267="","",'SC Change Orders'!$D249)</f>
        <v/>
      </c>
      <c r="F267" s="33" t="str">
        <f aca="false">IF($A267="","",'SC Change Orders'!$E249)</f>
        <v/>
      </c>
      <c r="G267" s="33" t="str">
        <f aca="false">IF($A267="","",'SC Change Orders'!$F249)</f>
        <v/>
      </c>
      <c r="H267" s="33" t="str">
        <f aca="false">IF($A267="","",'SC Change Orders'!$G249)</f>
        <v/>
      </c>
      <c r="I267" s="34" t="str">
        <f aca="false">IF($A267="","",IF(AND(ISNUMBER('SC Change Orders'!$C249),'SC Change Orders'!$C249&gt;=Controls!$C$5,'SC Change Orders'!$C249&lt;=Controls!$C$6),"Yes","No"))</f>
        <v/>
      </c>
      <c r="J267" s="31" t="str">
        <f aca="false">IF($A267="","",IF($K267="","OK",$K267))</f>
        <v/>
      </c>
      <c r="K267" s="0" t="str">
        <f aca="false">IF($A267="","",IF(NOT(ISNUMBER('SC Change Orders'!$B249)),"PO not numeric — row is invisible to the tracker; ","")&amp;IF(NOT(ISNUMBER('SC Change Orders'!$C249)),"Date missing or text — row excluded; ",  IF(OR('SC Change Orders'!$C249&lt;Controls!$C$5,'SC Change Orders'!$C249&gt;Controls!$C$6),"Dated outside the FY window — excluded; ",""))&amp;IF(AND('SC Change Orders'!$E249&lt;&gt;"",NOT(ISNUMBER('SC Change Orders'!$E249))),"Original Amount held as text — ignored by MINIFS; ","")&amp;IF(AND('SC Change Orders'!$F249&lt;&gt;"",NOT(ISNUMBER('SC Change Orders'!$F249))),"Amount Added held as text — ignored by SUMIFS; ","")&amp;IF(ISNUMBER('SC Change Orders'!$E249),IF(ISNUMBER('SC Change Orders'!$F249),IF(ISNUMBER('SC Change Orders'!$G249),  IF('SC Change Orders'!$G249&gt;0,IF(ROUND('SC Change Orders'!$E249+'SC Change Orders'!$F249,2)&lt;&gt;ROUND('SC Change Orders'!$G249,2),  "Original + Added &lt;&gt; Total Line Cost Allotted; ",""),""),""),""),"")&amp;IF(AND(ISNUMBER('SC Change Orders'!$B249),COUNTIFS('SC Change Orders'!$B$2:$B$501,'SC Change Orders'!$B249,'SC Change Orders'!$C$2:$C$501,'SC Change Orders'!$C249,'SC Change Orders'!$D$2:$D$501,'SC Change Orders'!$D249,'SC Change Orders'!$F$2:$F$501,'SC Change Orders'!$F249,'SC Change Orders'!$E$2:$E$501,'SC Change Orders'!$E249)&gt;1),"Duplicate of another row — funds counted twice; ","")&amp;IF(ISNUMBER('SC Change Orders'!$F249),IF('SC Change Orders'!$F249&lt;&gt;0,IF(AND(ISNUMBER('SC Change Orders'!$B249),NOT(COUNTIFS('SC Change Orders'!$B$2:$B$501,'SC Change Orders'!$B249,'SC Change Orders'!$C$2:$C$501,'SC Change Orders'!$C249,'SC Change Orders'!$D$2:$D$501,'SC Change Orders'!$D249,'SC Change Orders'!$F$2:$F$501,'SC Change Orders'!$F249,'SC Change Orders'!$E$2:$E$501,'SC Change Orders'!$E249)&gt;1),COUNTIFS('SC Change Orders'!$B$2:$B$501,'SC Change Orders'!$B249,'SC Change Orders'!$F$2:$F$501,'SC Change Orders'!$F249)&gt;1),  "Same PO and Amount Added as another row — check for a restatement counted twice; ",""),""),""))</f>
        <v/>
      </c>
    </row>
    <row r="268" customFormat="false" ht="15" hidden="false" customHeight="false" outlineLevel="0" collapsed="false">
      <c r="A268" s="18" t="str">
        <f aca="false">IF(AND('SC Change Orders'!$A250="",'SC Change Orders'!$B250="",'SC Change Orders'!$C250=""),"",250)</f>
        <v/>
      </c>
      <c r="B268" s="31" t="str">
        <f aca="false">IF($A268="","",'SC Change Orders'!$A250)</f>
        <v/>
      </c>
      <c r="C268" s="18" t="str">
        <f aca="false">IF($A268="","",'SC Change Orders'!$B250)</f>
        <v/>
      </c>
      <c r="D268" s="32" t="str">
        <f aca="false">IF($A268="","",'SC Change Orders'!$C250)</f>
        <v/>
      </c>
      <c r="E268" s="31" t="str">
        <f aca="false">IF($A268="","",'SC Change Orders'!$D250)</f>
        <v/>
      </c>
      <c r="F268" s="33" t="str">
        <f aca="false">IF($A268="","",'SC Change Orders'!$E250)</f>
        <v/>
      </c>
      <c r="G268" s="33" t="str">
        <f aca="false">IF($A268="","",'SC Change Orders'!$F250)</f>
        <v/>
      </c>
      <c r="H268" s="33" t="str">
        <f aca="false">IF($A268="","",'SC Change Orders'!$G250)</f>
        <v/>
      </c>
      <c r="I268" s="34" t="str">
        <f aca="false">IF($A268="","",IF(AND(ISNUMBER('SC Change Orders'!$C250),'SC Change Orders'!$C250&gt;=Controls!$C$5,'SC Change Orders'!$C250&lt;=Controls!$C$6),"Yes","No"))</f>
        <v/>
      </c>
      <c r="J268" s="31" t="str">
        <f aca="false">IF($A268="","",IF($K268="","OK",$K268))</f>
        <v/>
      </c>
      <c r="K268" s="0" t="str">
        <f aca="false">IF($A268="","",IF(NOT(ISNUMBER('SC Change Orders'!$B250)),"PO not numeric — row is invisible to the tracker; ","")&amp;IF(NOT(ISNUMBER('SC Change Orders'!$C250)),"Date missing or text — row excluded; ",  IF(OR('SC Change Orders'!$C250&lt;Controls!$C$5,'SC Change Orders'!$C250&gt;Controls!$C$6),"Dated outside the FY window — excluded; ",""))&amp;IF(AND('SC Change Orders'!$E250&lt;&gt;"",NOT(ISNUMBER('SC Change Orders'!$E250))),"Original Amount held as text — ignored by MINIFS; ","")&amp;IF(AND('SC Change Orders'!$F250&lt;&gt;"",NOT(ISNUMBER('SC Change Orders'!$F250))),"Amount Added held as text — ignored by SUMIFS; ","")&amp;IF(ISNUMBER('SC Change Orders'!$E250),IF(ISNUMBER('SC Change Orders'!$F250),IF(ISNUMBER('SC Change Orders'!$G250),  IF('SC Change Orders'!$G250&gt;0,IF(ROUND('SC Change Orders'!$E250+'SC Change Orders'!$F250,2)&lt;&gt;ROUND('SC Change Orders'!$G250,2),  "Original + Added &lt;&gt; Total Line Cost Allotted; ",""),""),""),""),"")&amp;IF(AND(ISNUMBER('SC Change Orders'!$B250),COUNTIFS('SC Change Orders'!$B$2:$B$501,'SC Change Orders'!$B250,'SC Change Orders'!$C$2:$C$501,'SC Change Orders'!$C250,'SC Change Orders'!$D$2:$D$501,'SC Change Orders'!$D250,'SC Change Orders'!$F$2:$F$501,'SC Change Orders'!$F250,'SC Change Orders'!$E$2:$E$501,'SC Change Orders'!$E250)&gt;1),"Duplicate of another row — funds counted twice; ","")&amp;IF(ISNUMBER('SC Change Orders'!$F250),IF('SC Change Orders'!$F250&lt;&gt;0,IF(AND(ISNUMBER('SC Change Orders'!$B250),NOT(COUNTIFS('SC Change Orders'!$B$2:$B$501,'SC Change Orders'!$B250,'SC Change Orders'!$C$2:$C$501,'SC Change Orders'!$C250,'SC Change Orders'!$D$2:$D$501,'SC Change Orders'!$D250,'SC Change Orders'!$F$2:$F$501,'SC Change Orders'!$F250,'SC Change Orders'!$E$2:$E$501,'SC Change Orders'!$E250)&gt;1),COUNTIFS('SC Change Orders'!$B$2:$B$501,'SC Change Orders'!$B250,'SC Change Orders'!$F$2:$F$501,'SC Change Orders'!$F250)&gt;1),  "Same PO and Amount Added as another row — check for a restatement counted twice; ",""),""),""))</f>
        <v/>
      </c>
    </row>
    <row r="269" customFormat="false" ht="15" hidden="false" customHeight="false" outlineLevel="0" collapsed="false">
      <c r="A269" s="18" t="str">
        <f aca="false">IF(AND('SC Change Orders'!$A251="",'SC Change Orders'!$B251="",'SC Change Orders'!$C251=""),"",251)</f>
        <v/>
      </c>
      <c r="B269" s="31" t="str">
        <f aca="false">IF($A269="","",'SC Change Orders'!$A251)</f>
        <v/>
      </c>
      <c r="C269" s="18" t="str">
        <f aca="false">IF($A269="","",'SC Change Orders'!$B251)</f>
        <v/>
      </c>
      <c r="D269" s="32" t="str">
        <f aca="false">IF($A269="","",'SC Change Orders'!$C251)</f>
        <v/>
      </c>
      <c r="E269" s="31" t="str">
        <f aca="false">IF($A269="","",'SC Change Orders'!$D251)</f>
        <v/>
      </c>
      <c r="F269" s="33" t="str">
        <f aca="false">IF($A269="","",'SC Change Orders'!$E251)</f>
        <v/>
      </c>
      <c r="G269" s="33" t="str">
        <f aca="false">IF($A269="","",'SC Change Orders'!$F251)</f>
        <v/>
      </c>
      <c r="H269" s="33" t="str">
        <f aca="false">IF($A269="","",'SC Change Orders'!$G251)</f>
        <v/>
      </c>
      <c r="I269" s="34" t="str">
        <f aca="false">IF($A269="","",IF(AND(ISNUMBER('SC Change Orders'!$C251),'SC Change Orders'!$C251&gt;=Controls!$C$5,'SC Change Orders'!$C251&lt;=Controls!$C$6),"Yes","No"))</f>
        <v/>
      </c>
      <c r="J269" s="31" t="str">
        <f aca="false">IF($A269="","",IF($K269="","OK",$K269))</f>
        <v/>
      </c>
      <c r="K269" s="0" t="str">
        <f aca="false">IF($A269="","",IF(NOT(ISNUMBER('SC Change Orders'!$B251)),"PO not numeric — row is invisible to the tracker; ","")&amp;IF(NOT(ISNUMBER('SC Change Orders'!$C251)),"Date missing or text — row excluded; ",  IF(OR('SC Change Orders'!$C251&lt;Controls!$C$5,'SC Change Orders'!$C251&gt;Controls!$C$6),"Dated outside the FY window — excluded; ",""))&amp;IF(AND('SC Change Orders'!$E251&lt;&gt;"",NOT(ISNUMBER('SC Change Orders'!$E251))),"Original Amount held as text — ignored by MINIFS; ","")&amp;IF(AND('SC Change Orders'!$F251&lt;&gt;"",NOT(ISNUMBER('SC Change Orders'!$F251))),"Amount Added held as text — ignored by SUMIFS; ","")&amp;IF(ISNUMBER('SC Change Orders'!$E251),IF(ISNUMBER('SC Change Orders'!$F251),IF(ISNUMBER('SC Change Orders'!$G251),  IF('SC Change Orders'!$G251&gt;0,IF(ROUND('SC Change Orders'!$E251+'SC Change Orders'!$F251,2)&lt;&gt;ROUND('SC Change Orders'!$G251,2),  "Original + Added &lt;&gt; Total Line Cost Allotted; ",""),""),""),""),"")&amp;IF(AND(ISNUMBER('SC Change Orders'!$B251),COUNTIFS('SC Change Orders'!$B$2:$B$501,'SC Change Orders'!$B251,'SC Change Orders'!$C$2:$C$501,'SC Change Orders'!$C251,'SC Change Orders'!$D$2:$D$501,'SC Change Orders'!$D251,'SC Change Orders'!$F$2:$F$501,'SC Change Orders'!$F251,'SC Change Orders'!$E$2:$E$501,'SC Change Orders'!$E251)&gt;1),"Duplicate of another row — funds counted twice; ","")&amp;IF(ISNUMBER('SC Change Orders'!$F251),IF('SC Change Orders'!$F251&lt;&gt;0,IF(AND(ISNUMBER('SC Change Orders'!$B251),NOT(COUNTIFS('SC Change Orders'!$B$2:$B$501,'SC Change Orders'!$B251,'SC Change Orders'!$C$2:$C$501,'SC Change Orders'!$C251,'SC Change Orders'!$D$2:$D$501,'SC Change Orders'!$D251,'SC Change Orders'!$F$2:$F$501,'SC Change Orders'!$F251,'SC Change Orders'!$E$2:$E$501,'SC Change Orders'!$E251)&gt;1),COUNTIFS('SC Change Orders'!$B$2:$B$501,'SC Change Orders'!$B251,'SC Change Orders'!$F$2:$F$501,'SC Change Orders'!$F251)&gt;1),  "Same PO and Amount Added as another row — check for a restatement counted twice; ",""),""),""))</f>
        <v/>
      </c>
    </row>
    <row r="270" customFormat="false" ht="15" hidden="false" customHeight="false" outlineLevel="0" collapsed="false">
      <c r="A270" s="18" t="str">
        <f aca="false">IF(AND('SC Change Orders'!$A252="",'SC Change Orders'!$B252="",'SC Change Orders'!$C252=""),"",252)</f>
        <v/>
      </c>
      <c r="B270" s="31" t="str">
        <f aca="false">IF($A270="","",'SC Change Orders'!$A252)</f>
        <v/>
      </c>
      <c r="C270" s="18" t="str">
        <f aca="false">IF($A270="","",'SC Change Orders'!$B252)</f>
        <v/>
      </c>
      <c r="D270" s="32" t="str">
        <f aca="false">IF($A270="","",'SC Change Orders'!$C252)</f>
        <v/>
      </c>
      <c r="E270" s="31" t="str">
        <f aca="false">IF($A270="","",'SC Change Orders'!$D252)</f>
        <v/>
      </c>
      <c r="F270" s="33" t="str">
        <f aca="false">IF($A270="","",'SC Change Orders'!$E252)</f>
        <v/>
      </c>
      <c r="G270" s="33" t="str">
        <f aca="false">IF($A270="","",'SC Change Orders'!$F252)</f>
        <v/>
      </c>
      <c r="H270" s="33" t="str">
        <f aca="false">IF($A270="","",'SC Change Orders'!$G252)</f>
        <v/>
      </c>
      <c r="I270" s="34" t="str">
        <f aca="false">IF($A270="","",IF(AND(ISNUMBER('SC Change Orders'!$C252),'SC Change Orders'!$C252&gt;=Controls!$C$5,'SC Change Orders'!$C252&lt;=Controls!$C$6),"Yes","No"))</f>
        <v/>
      </c>
      <c r="J270" s="31" t="str">
        <f aca="false">IF($A270="","",IF($K270="","OK",$K270))</f>
        <v/>
      </c>
      <c r="K270" s="0" t="str">
        <f aca="false">IF($A270="","",IF(NOT(ISNUMBER('SC Change Orders'!$B252)),"PO not numeric — row is invisible to the tracker; ","")&amp;IF(NOT(ISNUMBER('SC Change Orders'!$C252)),"Date missing or text — row excluded; ",  IF(OR('SC Change Orders'!$C252&lt;Controls!$C$5,'SC Change Orders'!$C252&gt;Controls!$C$6),"Dated outside the FY window — excluded; ",""))&amp;IF(AND('SC Change Orders'!$E252&lt;&gt;"",NOT(ISNUMBER('SC Change Orders'!$E252))),"Original Amount held as text — ignored by MINIFS; ","")&amp;IF(AND('SC Change Orders'!$F252&lt;&gt;"",NOT(ISNUMBER('SC Change Orders'!$F252))),"Amount Added held as text — ignored by SUMIFS; ","")&amp;IF(ISNUMBER('SC Change Orders'!$E252),IF(ISNUMBER('SC Change Orders'!$F252),IF(ISNUMBER('SC Change Orders'!$G252),  IF('SC Change Orders'!$G252&gt;0,IF(ROUND('SC Change Orders'!$E252+'SC Change Orders'!$F252,2)&lt;&gt;ROUND('SC Change Orders'!$G252,2),  "Original + Added &lt;&gt; Total Line Cost Allotted; ",""),""),""),""),"")&amp;IF(AND(ISNUMBER('SC Change Orders'!$B252),COUNTIFS('SC Change Orders'!$B$2:$B$501,'SC Change Orders'!$B252,'SC Change Orders'!$C$2:$C$501,'SC Change Orders'!$C252,'SC Change Orders'!$D$2:$D$501,'SC Change Orders'!$D252,'SC Change Orders'!$F$2:$F$501,'SC Change Orders'!$F252,'SC Change Orders'!$E$2:$E$501,'SC Change Orders'!$E252)&gt;1),"Duplicate of another row — funds counted twice; ","")&amp;IF(ISNUMBER('SC Change Orders'!$F252),IF('SC Change Orders'!$F252&lt;&gt;0,IF(AND(ISNUMBER('SC Change Orders'!$B252),NOT(COUNTIFS('SC Change Orders'!$B$2:$B$501,'SC Change Orders'!$B252,'SC Change Orders'!$C$2:$C$501,'SC Change Orders'!$C252,'SC Change Orders'!$D$2:$D$501,'SC Change Orders'!$D252,'SC Change Orders'!$F$2:$F$501,'SC Change Orders'!$F252,'SC Change Orders'!$E$2:$E$501,'SC Change Orders'!$E252)&gt;1),COUNTIFS('SC Change Orders'!$B$2:$B$501,'SC Change Orders'!$B252,'SC Change Orders'!$F$2:$F$501,'SC Change Orders'!$F252)&gt;1),  "Same PO and Amount Added as another row — check for a restatement counted twice; ",""),""),""))</f>
        <v/>
      </c>
    </row>
    <row r="271" customFormat="false" ht="15" hidden="false" customHeight="false" outlineLevel="0" collapsed="false">
      <c r="A271" s="18" t="str">
        <f aca="false">IF(AND('SC Change Orders'!$A253="",'SC Change Orders'!$B253="",'SC Change Orders'!$C253=""),"",253)</f>
        <v/>
      </c>
      <c r="B271" s="31" t="str">
        <f aca="false">IF($A271="","",'SC Change Orders'!$A253)</f>
        <v/>
      </c>
      <c r="C271" s="18" t="str">
        <f aca="false">IF($A271="","",'SC Change Orders'!$B253)</f>
        <v/>
      </c>
      <c r="D271" s="32" t="str">
        <f aca="false">IF($A271="","",'SC Change Orders'!$C253)</f>
        <v/>
      </c>
      <c r="E271" s="31" t="str">
        <f aca="false">IF($A271="","",'SC Change Orders'!$D253)</f>
        <v/>
      </c>
      <c r="F271" s="33" t="str">
        <f aca="false">IF($A271="","",'SC Change Orders'!$E253)</f>
        <v/>
      </c>
      <c r="G271" s="33" t="str">
        <f aca="false">IF($A271="","",'SC Change Orders'!$F253)</f>
        <v/>
      </c>
      <c r="H271" s="33" t="str">
        <f aca="false">IF($A271="","",'SC Change Orders'!$G253)</f>
        <v/>
      </c>
      <c r="I271" s="34" t="str">
        <f aca="false">IF($A271="","",IF(AND(ISNUMBER('SC Change Orders'!$C253),'SC Change Orders'!$C253&gt;=Controls!$C$5,'SC Change Orders'!$C253&lt;=Controls!$C$6),"Yes","No"))</f>
        <v/>
      </c>
      <c r="J271" s="31" t="str">
        <f aca="false">IF($A271="","",IF($K271="","OK",$K271))</f>
        <v/>
      </c>
      <c r="K271" s="0" t="str">
        <f aca="false">IF($A271="","",IF(NOT(ISNUMBER('SC Change Orders'!$B253)),"PO not numeric — row is invisible to the tracker; ","")&amp;IF(NOT(ISNUMBER('SC Change Orders'!$C253)),"Date missing or text — row excluded; ",  IF(OR('SC Change Orders'!$C253&lt;Controls!$C$5,'SC Change Orders'!$C253&gt;Controls!$C$6),"Dated outside the FY window — excluded; ",""))&amp;IF(AND('SC Change Orders'!$E253&lt;&gt;"",NOT(ISNUMBER('SC Change Orders'!$E253))),"Original Amount held as text — ignored by MINIFS; ","")&amp;IF(AND('SC Change Orders'!$F253&lt;&gt;"",NOT(ISNUMBER('SC Change Orders'!$F253))),"Amount Added held as text — ignored by SUMIFS; ","")&amp;IF(ISNUMBER('SC Change Orders'!$E253),IF(ISNUMBER('SC Change Orders'!$F253),IF(ISNUMBER('SC Change Orders'!$G253),  IF('SC Change Orders'!$G253&gt;0,IF(ROUND('SC Change Orders'!$E253+'SC Change Orders'!$F253,2)&lt;&gt;ROUND('SC Change Orders'!$G253,2),  "Original + Added &lt;&gt; Total Line Cost Allotted; ",""),""),""),""),"")&amp;IF(AND(ISNUMBER('SC Change Orders'!$B253),COUNTIFS('SC Change Orders'!$B$2:$B$501,'SC Change Orders'!$B253,'SC Change Orders'!$C$2:$C$501,'SC Change Orders'!$C253,'SC Change Orders'!$D$2:$D$501,'SC Change Orders'!$D253,'SC Change Orders'!$F$2:$F$501,'SC Change Orders'!$F253,'SC Change Orders'!$E$2:$E$501,'SC Change Orders'!$E253)&gt;1),"Duplicate of another row — funds counted twice; ","")&amp;IF(ISNUMBER('SC Change Orders'!$F253),IF('SC Change Orders'!$F253&lt;&gt;0,IF(AND(ISNUMBER('SC Change Orders'!$B253),NOT(COUNTIFS('SC Change Orders'!$B$2:$B$501,'SC Change Orders'!$B253,'SC Change Orders'!$C$2:$C$501,'SC Change Orders'!$C253,'SC Change Orders'!$D$2:$D$501,'SC Change Orders'!$D253,'SC Change Orders'!$F$2:$F$501,'SC Change Orders'!$F253,'SC Change Orders'!$E$2:$E$501,'SC Change Orders'!$E253)&gt;1),COUNTIFS('SC Change Orders'!$B$2:$B$501,'SC Change Orders'!$B253,'SC Change Orders'!$F$2:$F$501,'SC Change Orders'!$F253)&gt;1),  "Same PO and Amount Added as another row — check for a restatement counted twice; ",""),""),""))</f>
        <v/>
      </c>
    </row>
    <row r="272" customFormat="false" ht="15" hidden="false" customHeight="false" outlineLevel="0" collapsed="false">
      <c r="A272" s="18" t="str">
        <f aca="false">IF(AND('SC Change Orders'!$A254="",'SC Change Orders'!$B254="",'SC Change Orders'!$C254=""),"",254)</f>
        <v/>
      </c>
      <c r="B272" s="31" t="str">
        <f aca="false">IF($A272="","",'SC Change Orders'!$A254)</f>
        <v/>
      </c>
      <c r="C272" s="18" t="str">
        <f aca="false">IF($A272="","",'SC Change Orders'!$B254)</f>
        <v/>
      </c>
      <c r="D272" s="32" t="str">
        <f aca="false">IF($A272="","",'SC Change Orders'!$C254)</f>
        <v/>
      </c>
      <c r="E272" s="31" t="str">
        <f aca="false">IF($A272="","",'SC Change Orders'!$D254)</f>
        <v/>
      </c>
      <c r="F272" s="33" t="str">
        <f aca="false">IF($A272="","",'SC Change Orders'!$E254)</f>
        <v/>
      </c>
      <c r="G272" s="33" t="str">
        <f aca="false">IF($A272="","",'SC Change Orders'!$F254)</f>
        <v/>
      </c>
      <c r="H272" s="33" t="str">
        <f aca="false">IF($A272="","",'SC Change Orders'!$G254)</f>
        <v/>
      </c>
      <c r="I272" s="34" t="str">
        <f aca="false">IF($A272="","",IF(AND(ISNUMBER('SC Change Orders'!$C254),'SC Change Orders'!$C254&gt;=Controls!$C$5,'SC Change Orders'!$C254&lt;=Controls!$C$6),"Yes","No"))</f>
        <v/>
      </c>
      <c r="J272" s="31" t="str">
        <f aca="false">IF($A272="","",IF($K272="","OK",$K272))</f>
        <v/>
      </c>
      <c r="K272" s="0" t="str">
        <f aca="false">IF($A272="","",IF(NOT(ISNUMBER('SC Change Orders'!$B254)),"PO not numeric — row is invisible to the tracker; ","")&amp;IF(NOT(ISNUMBER('SC Change Orders'!$C254)),"Date missing or text — row excluded; ",  IF(OR('SC Change Orders'!$C254&lt;Controls!$C$5,'SC Change Orders'!$C254&gt;Controls!$C$6),"Dated outside the FY window — excluded; ",""))&amp;IF(AND('SC Change Orders'!$E254&lt;&gt;"",NOT(ISNUMBER('SC Change Orders'!$E254))),"Original Amount held as text — ignored by MINIFS; ","")&amp;IF(AND('SC Change Orders'!$F254&lt;&gt;"",NOT(ISNUMBER('SC Change Orders'!$F254))),"Amount Added held as text — ignored by SUMIFS; ","")&amp;IF(ISNUMBER('SC Change Orders'!$E254),IF(ISNUMBER('SC Change Orders'!$F254),IF(ISNUMBER('SC Change Orders'!$G254),  IF('SC Change Orders'!$G254&gt;0,IF(ROUND('SC Change Orders'!$E254+'SC Change Orders'!$F254,2)&lt;&gt;ROUND('SC Change Orders'!$G254,2),  "Original + Added &lt;&gt; Total Line Cost Allotted; ",""),""),""),""),"")&amp;IF(AND(ISNUMBER('SC Change Orders'!$B254),COUNTIFS('SC Change Orders'!$B$2:$B$501,'SC Change Orders'!$B254,'SC Change Orders'!$C$2:$C$501,'SC Change Orders'!$C254,'SC Change Orders'!$D$2:$D$501,'SC Change Orders'!$D254,'SC Change Orders'!$F$2:$F$501,'SC Change Orders'!$F254,'SC Change Orders'!$E$2:$E$501,'SC Change Orders'!$E254)&gt;1),"Duplicate of another row — funds counted twice; ","")&amp;IF(ISNUMBER('SC Change Orders'!$F254),IF('SC Change Orders'!$F254&lt;&gt;0,IF(AND(ISNUMBER('SC Change Orders'!$B254),NOT(COUNTIFS('SC Change Orders'!$B$2:$B$501,'SC Change Orders'!$B254,'SC Change Orders'!$C$2:$C$501,'SC Change Orders'!$C254,'SC Change Orders'!$D$2:$D$501,'SC Change Orders'!$D254,'SC Change Orders'!$F$2:$F$501,'SC Change Orders'!$F254,'SC Change Orders'!$E$2:$E$501,'SC Change Orders'!$E254)&gt;1),COUNTIFS('SC Change Orders'!$B$2:$B$501,'SC Change Orders'!$B254,'SC Change Orders'!$F$2:$F$501,'SC Change Orders'!$F254)&gt;1),  "Same PO and Amount Added as another row — check for a restatement counted twice; ",""),""),""))</f>
        <v/>
      </c>
    </row>
    <row r="273" customFormat="false" ht="15" hidden="false" customHeight="false" outlineLevel="0" collapsed="false">
      <c r="A273" s="18" t="str">
        <f aca="false">IF(AND('SC Change Orders'!$A255="",'SC Change Orders'!$B255="",'SC Change Orders'!$C255=""),"",255)</f>
        <v/>
      </c>
      <c r="B273" s="31" t="str">
        <f aca="false">IF($A273="","",'SC Change Orders'!$A255)</f>
        <v/>
      </c>
      <c r="C273" s="18" t="str">
        <f aca="false">IF($A273="","",'SC Change Orders'!$B255)</f>
        <v/>
      </c>
      <c r="D273" s="32" t="str">
        <f aca="false">IF($A273="","",'SC Change Orders'!$C255)</f>
        <v/>
      </c>
      <c r="E273" s="31" t="str">
        <f aca="false">IF($A273="","",'SC Change Orders'!$D255)</f>
        <v/>
      </c>
      <c r="F273" s="33" t="str">
        <f aca="false">IF($A273="","",'SC Change Orders'!$E255)</f>
        <v/>
      </c>
      <c r="G273" s="33" t="str">
        <f aca="false">IF($A273="","",'SC Change Orders'!$F255)</f>
        <v/>
      </c>
      <c r="H273" s="33" t="str">
        <f aca="false">IF($A273="","",'SC Change Orders'!$G255)</f>
        <v/>
      </c>
      <c r="I273" s="34" t="str">
        <f aca="false">IF($A273="","",IF(AND(ISNUMBER('SC Change Orders'!$C255),'SC Change Orders'!$C255&gt;=Controls!$C$5,'SC Change Orders'!$C255&lt;=Controls!$C$6),"Yes","No"))</f>
        <v/>
      </c>
      <c r="J273" s="31" t="str">
        <f aca="false">IF($A273="","",IF($K273="","OK",$K273))</f>
        <v/>
      </c>
      <c r="K273" s="0" t="str">
        <f aca="false">IF($A273="","",IF(NOT(ISNUMBER('SC Change Orders'!$B255)),"PO not numeric — row is invisible to the tracker; ","")&amp;IF(NOT(ISNUMBER('SC Change Orders'!$C255)),"Date missing or text — row excluded; ",  IF(OR('SC Change Orders'!$C255&lt;Controls!$C$5,'SC Change Orders'!$C255&gt;Controls!$C$6),"Dated outside the FY window — excluded; ",""))&amp;IF(AND('SC Change Orders'!$E255&lt;&gt;"",NOT(ISNUMBER('SC Change Orders'!$E255))),"Original Amount held as text — ignored by MINIFS; ","")&amp;IF(AND('SC Change Orders'!$F255&lt;&gt;"",NOT(ISNUMBER('SC Change Orders'!$F255))),"Amount Added held as text — ignored by SUMIFS; ","")&amp;IF(ISNUMBER('SC Change Orders'!$E255),IF(ISNUMBER('SC Change Orders'!$F255),IF(ISNUMBER('SC Change Orders'!$G255),  IF('SC Change Orders'!$G255&gt;0,IF(ROUND('SC Change Orders'!$E255+'SC Change Orders'!$F255,2)&lt;&gt;ROUND('SC Change Orders'!$G255,2),  "Original + Added &lt;&gt; Total Line Cost Allotted; ",""),""),""),""),"")&amp;IF(AND(ISNUMBER('SC Change Orders'!$B255),COUNTIFS('SC Change Orders'!$B$2:$B$501,'SC Change Orders'!$B255,'SC Change Orders'!$C$2:$C$501,'SC Change Orders'!$C255,'SC Change Orders'!$D$2:$D$501,'SC Change Orders'!$D255,'SC Change Orders'!$F$2:$F$501,'SC Change Orders'!$F255,'SC Change Orders'!$E$2:$E$501,'SC Change Orders'!$E255)&gt;1),"Duplicate of another row — funds counted twice; ","")&amp;IF(ISNUMBER('SC Change Orders'!$F255),IF('SC Change Orders'!$F255&lt;&gt;0,IF(AND(ISNUMBER('SC Change Orders'!$B255),NOT(COUNTIFS('SC Change Orders'!$B$2:$B$501,'SC Change Orders'!$B255,'SC Change Orders'!$C$2:$C$501,'SC Change Orders'!$C255,'SC Change Orders'!$D$2:$D$501,'SC Change Orders'!$D255,'SC Change Orders'!$F$2:$F$501,'SC Change Orders'!$F255,'SC Change Orders'!$E$2:$E$501,'SC Change Orders'!$E255)&gt;1),COUNTIFS('SC Change Orders'!$B$2:$B$501,'SC Change Orders'!$B255,'SC Change Orders'!$F$2:$F$501,'SC Change Orders'!$F255)&gt;1),  "Same PO and Amount Added as another row — check for a restatement counted twice; ",""),""),""))</f>
        <v/>
      </c>
    </row>
    <row r="274" customFormat="false" ht="15" hidden="false" customHeight="false" outlineLevel="0" collapsed="false">
      <c r="A274" s="18" t="str">
        <f aca="false">IF(AND('SC Change Orders'!$A256="",'SC Change Orders'!$B256="",'SC Change Orders'!$C256=""),"",256)</f>
        <v/>
      </c>
      <c r="B274" s="31" t="str">
        <f aca="false">IF($A274="","",'SC Change Orders'!$A256)</f>
        <v/>
      </c>
      <c r="C274" s="18" t="str">
        <f aca="false">IF($A274="","",'SC Change Orders'!$B256)</f>
        <v/>
      </c>
      <c r="D274" s="32" t="str">
        <f aca="false">IF($A274="","",'SC Change Orders'!$C256)</f>
        <v/>
      </c>
      <c r="E274" s="31" t="str">
        <f aca="false">IF($A274="","",'SC Change Orders'!$D256)</f>
        <v/>
      </c>
      <c r="F274" s="33" t="str">
        <f aca="false">IF($A274="","",'SC Change Orders'!$E256)</f>
        <v/>
      </c>
      <c r="G274" s="33" t="str">
        <f aca="false">IF($A274="","",'SC Change Orders'!$F256)</f>
        <v/>
      </c>
      <c r="H274" s="33" t="str">
        <f aca="false">IF($A274="","",'SC Change Orders'!$G256)</f>
        <v/>
      </c>
      <c r="I274" s="34" t="str">
        <f aca="false">IF($A274="","",IF(AND(ISNUMBER('SC Change Orders'!$C256),'SC Change Orders'!$C256&gt;=Controls!$C$5,'SC Change Orders'!$C256&lt;=Controls!$C$6),"Yes","No"))</f>
        <v/>
      </c>
      <c r="J274" s="31" t="str">
        <f aca="false">IF($A274="","",IF($K274="","OK",$K274))</f>
        <v/>
      </c>
      <c r="K274" s="0" t="str">
        <f aca="false">IF($A274="","",IF(NOT(ISNUMBER('SC Change Orders'!$B256)),"PO not numeric — row is invisible to the tracker; ","")&amp;IF(NOT(ISNUMBER('SC Change Orders'!$C256)),"Date missing or text — row excluded; ",  IF(OR('SC Change Orders'!$C256&lt;Controls!$C$5,'SC Change Orders'!$C256&gt;Controls!$C$6),"Dated outside the FY window — excluded; ",""))&amp;IF(AND('SC Change Orders'!$E256&lt;&gt;"",NOT(ISNUMBER('SC Change Orders'!$E256))),"Original Amount held as text — ignored by MINIFS; ","")&amp;IF(AND('SC Change Orders'!$F256&lt;&gt;"",NOT(ISNUMBER('SC Change Orders'!$F256))),"Amount Added held as text — ignored by SUMIFS; ","")&amp;IF(ISNUMBER('SC Change Orders'!$E256),IF(ISNUMBER('SC Change Orders'!$F256),IF(ISNUMBER('SC Change Orders'!$G256),  IF('SC Change Orders'!$G256&gt;0,IF(ROUND('SC Change Orders'!$E256+'SC Change Orders'!$F256,2)&lt;&gt;ROUND('SC Change Orders'!$G256,2),  "Original + Added &lt;&gt; Total Line Cost Allotted; ",""),""),""),""),"")&amp;IF(AND(ISNUMBER('SC Change Orders'!$B256),COUNTIFS('SC Change Orders'!$B$2:$B$501,'SC Change Orders'!$B256,'SC Change Orders'!$C$2:$C$501,'SC Change Orders'!$C256,'SC Change Orders'!$D$2:$D$501,'SC Change Orders'!$D256,'SC Change Orders'!$F$2:$F$501,'SC Change Orders'!$F256,'SC Change Orders'!$E$2:$E$501,'SC Change Orders'!$E256)&gt;1),"Duplicate of another row — funds counted twice; ","")&amp;IF(ISNUMBER('SC Change Orders'!$F256),IF('SC Change Orders'!$F256&lt;&gt;0,IF(AND(ISNUMBER('SC Change Orders'!$B256),NOT(COUNTIFS('SC Change Orders'!$B$2:$B$501,'SC Change Orders'!$B256,'SC Change Orders'!$C$2:$C$501,'SC Change Orders'!$C256,'SC Change Orders'!$D$2:$D$501,'SC Change Orders'!$D256,'SC Change Orders'!$F$2:$F$501,'SC Change Orders'!$F256,'SC Change Orders'!$E$2:$E$501,'SC Change Orders'!$E256)&gt;1),COUNTIFS('SC Change Orders'!$B$2:$B$501,'SC Change Orders'!$B256,'SC Change Orders'!$F$2:$F$501,'SC Change Orders'!$F256)&gt;1),  "Same PO and Amount Added as another row — check for a restatement counted twice; ",""),""),""))</f>
        <v/>
      </c>
    </row>
    <row r="275" customFormat="false" ht="15" hidden="false" customHeight="false" outlineLevel="0" collapsed="false">
      <c r="A275" s="18" t="str">
        <f aca="false">IF(AND('SC Change Orders'!$A257="",'SC Change Orders'!$B257="",'SC Change Orders'!$C257=""),"",257)</f>
        <v/>
      </c>
      <c r="B275" s="31" t="str">
        <f aca="false">IF($A275="","",'SC Change Orders'!$A257)</f>
        <v/>
      </c>
      <c r="C275" s="18" t="str">
        <f aca="false">IF($A275="","",'SC Change Orders'!$B257)</f>
        <v/>
      </c>
      <c r="D275" s="32" t="str">
        <f aca="false">IF($A275="","",'SC Change Orders'!$C257)</f>
        <v/>
      </c>
      <c r="E275" s="31" t="str">
        <f aca="false">IF($A275="","",'SC Change Orders'!$D257)</f>
        <v/>
      </c>
      <c r="F275" s="33" t="str">
        <f aca="false">IF($A275="","",'SC Change Orders'!$E257)</f>
        <v/>
      </c>
      <c r="G275" s="33" t="str">
        <f aca="false">IF($A275="","",'SC Change Orders'!$F257)</f>
        <v/>
      </c>
      <c r="H275" s="33" t="str">
        <f aca="false">IF($A275="","",'SC Change Orders'!$G257)</f>
        <v/>
      </c>
      <c r="I275" s="34" t="str">
        <f aca="false">IF($A275="","",IF(AND(ISNUMBER('SC Change Orders'!$C257),'SC Change Orders'!$C257&gt;=Controls!$C$5,'SC Change Orders'!$C257&lt;=Controls!$C$6),"Yes","No"))</f>
        <v/>
      </c>
      <c r="J275" s="31" t="str">
        <f aca="false">IF($A275="","",IF($K275="","OK",$K275))</f>
        <v/>
      </c>
      <c r="K275" s="0" t="str">
        <f aca="false">IF($A275="","",IF(NOT(ISNUMBER('SC Change Orders'!$B257)),"PO not numeric — row is invisible to the tracker; ","")&amp;IF(NOT(ISNUMBER('SC Change Orders'!$C257)),"Date missing or text — row excluded; ",  IF(OR('SC Change Orders'!$C257&lt;Controls!$C$5,'SC Change Orders'!$C257&gt;Controls!$C$6),"Dated outside the FY window — excluded; ",""))&amp;IF(AND('SC Change Orders'!$E257&lt;&gt;"",NOT(ISNUMBER('SC Change Orders'!$E257))),"Original Amount held as text — ignored by MINIFS; ","")&amp;IF(AND('SC Change Orders'!$F257&lt;&gt;"",NOT(ISNUMBER('SC Change Orders'!$F257))),"Amount Added held as text — ignored by SUMIFS; ","")&amp;IF(ISNUMBER('SC Change Orders'!$E257),IF(ISNUMBER('SC Change Orders'!$F257),IF(ISNUMBER('SC Change Orders'!$G257),  IF('SC Change Orders'!$G257&gt;0,IF(ROUND('SC Change Orders'!$E257+'SC Change Orders'!$F257,2)&lt;&gt;ROUND('SC Change Orders'!$G257,2),  "Original + Added &lt;&gt; Total Line Cost Allotted; ",""),""),""),""),"")&amp;IF(AND(ISNUMBER('SC Change Orders'!$B257),COUNTIFS('SC Change Orders'!$B$2:$B$501,'SC Change Orders'!$B257,'SC Change Orders'!$C$2:$C$501,'SC Change Orders'!$C257,'SC Change Orders'!$D$2:$D$501,'SC Change Orders'!$D257,'SC Change Orders'!$F$2:$F$501,'SC Change Orders'!$F257,'SC Change Orders'!$E$2:$E$501,'SC Change Orders'!$E257)&gt;1),"Duplicate of another row — funds counted twice; ","")&amp;IF(ISNUMBER('SC Change Orders'!$F257),IF('SC Change Orders'!$F257&lt;&gt;0,IF(AND(ISNUMBER('SC Change Orders'!$B257),NOT(COUNTIFS('SC Change Orders'!$B$2:$B$501,'SC Change Orders'!$B257,'SC Change Orders'!$C$2:$C$501,'SC Change Orders'!$C257,'SC Change Orders'!$D$2:$D$501,'SC Change Orders'!$D257,'SC Change Orders'!$F$2:$F$501,'SC Change Orders'!$F257,'SC Change Orders'!$E$2:$E$501,'SC Change Orders'!$E257)&gt;1),COUNTIFS('SC Change Orders'!$B$2:$B$501,'SC Change Orders'!$B257,'SC Change Orders'!$F$2:$F$501,'SC Change Orders'!$F257)&gt;1),  "Same PO and Amount Added as another row — check for a restatement counted twice; ",""),""),""))</f>
        <v/>
      </c>
    </row>
    <row r="276" customFormat="false" ht="15" hidden="false" customHeight="false" outlineLevel="0" collapsed="false">
      <c r="A276" s="18" t="str">
        <f aca="false">IF(AND('SC Change Orders'!$A258="",'SC Change Orders'!$B258="",'SC Change Orders'!$C258=""),"",258)</f>
        <v/>
      </c>
      <c r="B276" s="31" t="str">
        <f aca="false">IF($A276="","",'SC Change Orders'!$A258)</f>
        <v/>
      </c>
      <c r="C276" s="18" t="str">
        <f aca="false">IF($A276="","",'SC Change Orders'!$B258)</f>
        <v/>
      </c>
      <c r="D276" s="32" t="str">
        <f aca="false">IF($A276="","",'SC Change Orders'!$C258)</f>
        <v/>
      </c>
      <c r="E276" s="31" t="str">
        <f aca="false">IF($A276="","",'SC Change Orders'!$D258)</f>
        <v/>
      </c>
      <c r="F276" s="33" t="str">
        <f aca="false">IF($A276="","",'SC Change Orders'!$E258)</f>
        <v/>
      </c>
      <c r="G276" s="33" t="str">
        <f aca="false">IF($A276="","",'SC Change Orders'!$F258)</f>
        <v/>
      </c>
      <c r="H276" s="33" t="str">
        <f aca="false">IF($A276="","",'SC Change Orders'!$G258)</f>
        <v/>
      </c>
      <c r="I276" s="34" t="str">
        <f aca="false">IF($A276="","",IF(AND(ISNUMBER('SC Change Orders'!$C258),'SC Change Orders'!$C258&gt;=Controls!$C$5,'SC Change Orders'!$C258&lt;=Controls!$C$6),"Yes","No"))</f>
        <v/>
      </c>
      <c r="J276" s="31" t="str">
        <f aca="false">IF($A276="","",IF($K276="","OK",$K276))</f>
        <v/>
      </c>
      <c r="K276" s="0" t="str">
        <f aca="false">IF($A276="","",IF(NOT(ISNUMBER('SC Change Orders'!$B258)),"PO not numeric — row is invisible to the tracker; ","")&amp;IF(NOT(ISNUMBER('SC Change Orders'!$C258)),"Date missing or text — row excluded; ",  IF(OR('SC Change Orders'!$C258&lt;Controls!$C$5,'SC Change Orders'!$C258&gt;Controls!$C$6),"Dated outside the FY window — excluded; ",""))&amp;IF(AND('SC Change Orders'!$E258&lt;&gt;"",NOT(ISNUMBER('SC Change Orders'!$E258))),"Original Amount held as text — ignored by MINIFS; ","")&amp;IF(AND('SC Change Orders'!$F258&lt;&gt;"",NOT(ISNUMBER('SC Change Orders'!$F258))),"Amount Added held as text — ignored by SUMIFS; ","")&amp;IF(ISNUMBER('SC Change Orders'!$E258),IF(ISNUMBER('SC Change Orders'!$F258),IF(ISNUMBER('SC Change Orders'!$G258),  IF('SC Change Orders'!$G258&gt;0,IF(ROUND('SC Change Orders'!$E258+'SC Change Orders'!$F258,2)&lt;&gt;ROUND('SC Change Orders'!$G258,2),  "Original + Added &lt;&gt; Total Line Cost Allotted; ",""),""),""),""),"")&amp;IF(AND(ISNUMBER('SC Change Orders'!$B258),COUNTIFS('SC Change Orders'!$B$2:$B$501,'SC Change Orders'!$B258,'SC Change Orders'!$C$2:$C$501,'SC Change Orders'!$C258,'SC Change Orders'!$D$2:$D$501,'SC Change Orders'!$D258,'SC Change Orders'!$F$2:$F$501,'SC Change Orders'!$F258,'SC Change Orders'!$E$2:$E$501,'SC Change Orders'!$E258)&gt;1),"Duplicate of another row — funds counted twice; ","")&amp;IF(ISNUMBER('SC Change Orders'!$F258),IF('SC Change Orders'!$F258&lt;&gt;0,IF(AND(ISNUMBER('SC Change Orders'!$B258),NOT(COUNTIFS('SC Change Orders'!$B$2:$B$501,'SC Change Orders'!$B258,'SC Change Orders'!$C$2:$C$501,'SC Change Orders'!$C258,'SC Change Orders'!$D$2:$D$501,'SC Change Orders'!$D258,'SC Change Orders'!$F$2:$F$501,'SC Change Orders'!$F258,'SC Change Orders'!$E$2:$E$501,'SC Change Orders'!$E258)&gt;1),COUNTIFS('SC Change Orders'!$B$2:$B$501,'SC Change Orders'!$B258,'SC Change Orders'!$F$2:$F$501,'SC Change Orders'!$F258)&gt;1),  "Same PO and Amount Added as another row — check for a restatement counted twice; ",""),""),""))</f>
        <v/>
      </c>
    </row>
    <row r="277" customFormat="false" ht="15" hidden="false" customHeight="false" outlineLevel="0" collapsed="false">
      <c r="A277" s="18" t="str">
        <f aca="false">IF(AND('SC Change Orders'!$A259="",'SC Change Orders'!$B259="",'SC Change Orders'!$C259=""),"",259)</f>
        <v/>
      </c>
      <c r="B277" s="31" t="str">
        <f aca="false">IF($A277="","",'SC Change Orders'!$A259)</f>
        <v/>
      </c>
      <c r="C277" s="18" t="str">
        <f aca="false">IF($A277="","",'SC Change Orders'!$B259)</f>
        <v/>
      </c>
      <c r="D277" s="32" t="str">
        <f aca="false">IF($A277="","",'SC Change Orders'!$C259)</f>
        <v/>
      </c>
      <c r="E277" s="31" t="str">
        <f aca="false">IF($A277="","",'SC Change Orders'!$D259)</f>
        <v/>
      </c>
      <c r="F277" s="33" t="str">
        <f aca="false">IF($A277="","",'SC Change Orders'!$E259)</f>
        <v/>
      </c>
      <c r="G277" s="33" t="str">
        <f aca="false">IF($A277="","",'SC Change Orders'!$F259)</f>
        <v/>
      </c>
      <c r="H277" s="33" t="str">
        <f aca="false">IF($A277="","",'SC Change Orders'!$G259)</f>
        <v/>
      </c>
      <c r="I277" s="34" t="str">
        <f aca="false">IF($A277="","",IF(AND(ISNUMBER('SC Change Orders'!$C259),'SC Change Orders'!$C259&gt;=Controls!$C$5,'SC Change Orders'!$C259&lt;=Controls!$C$6),"Yes","No"))</f>
        <v/>
      </c>
      <c r="J277" s="31" t="str">
        <f aca="false">IF($A277="","",IF($K277="","OK",$K277))</f>
        <v/>
      </c>
      <c r="K277" s="0" t="str">
        <f aca="false">IF($A277="","",IF(NOT(ISNUMBER('SC Change Orders'!$B259)),"PO not numeric — row is invisible to the tracker; ","")&amp;IF(NOT(ISNUMBER('SC Change Orders'!$C259)),"Date missing or text — row excluded; ",  IF(OR('SC Change Orders'!$C259&lt;Controls!$C$5,'SC Change Orders'!$C259&gt;Controls!$C$6),"Dated outside the FY window — excluded; ",""))&amp;IF(AND('SC Change Orders'!$E259&lt;&gt;"",NOT(ISNUMBER('SC Change Orders'!$E259))),"Original Amount held as text — ignored by MINIFS; ","")&amp;IF(AND('SC Change Orders'!$F259&lt;&gt;"",NOT(ISNUMBER('SC Change Orders'!$F259))),"Amount Added held as text — ignored by SUMIFS; ","")&amp;IF(ISNUMBER('SC Change Orders'!$E259),IF(ISNUMBER('SC Change Orders'!$F259),IF(ISNUMBER('SC Change Orders'!$G259),  IF('SC Change Orders'!$G259&gt;0,IF(ROUND('SC Change Orders'!$E259+'SC Change Orders'!$F259,2)&lt;&gt;ROUND('SC Change Orders'!$G259,2),  "Original + Added &lt;&gt; Total Line Cost Allotted; ",""),""),""),""),"")&amp;IF(AND(ISNUMBER('SC Change Orders'!$B259),COUNTIFS('SC Change Orders'!$B$2:$B$501,'SC Change Orders'!$B259,'SC Change Orders'!$C$2:$C$501,'SC Change Orders'!$C259,'SC Change Orders'!$D$2:$D$501,'SC Change Orders'!$D259,'SC Change Orders'!$F$2:$F$501,'SC Change Orders'!$F259,'SC Change Orders'!$E$2:$E$501,'SC Change Orders'!$E259)&gt;1),"Duplicate of another row — funds counted twice; ","")&amp;IF(ISNUMBER('SC Change Orders'!$F259),IF('SC Change Orders'!$F259&lt;&gt;0,IF(AND(ISNUMBER('SC Change Orders'!$B259),NOT(COUNTIFS('SC Change Orders'!$B$2:$B$501,'SC Change Orders'!$B259,'SC Change Orders'!$C$2:$C$501,'SC Change Orders'!$C259,'SC Change Orders'!$D$2:$D$501,'SC Change Orders'!$D259,'SC Change Orders'!$F$2:$F$501,'SC Change Orders'!$F259,'SC Change Orders'!$E$2:$E$501,'SC Change Orders'!$E259)&gt;1),COUNTIFS('SC Change Orders'!$B$2:$B$501,'SC Change Orders'!$B259,'SC Change Orders'!$F$2:$F$501,'SC Change Orders'!$F259)&gt;1),  "Same PO and Amount Added as another row — check for a restatement counted twice; ",""),""),""))</f>
        <v/>
      </c>
    </row>
    <row r="278" customFormat="false" ht="15" hidden="false" customHeight="false" outlineLevel="0" collapsed="false">
      <c r="A278" s="18" t="str">
        <f aca="false">IF(AND('SC Change Orders'!$A260="",'SC Change Orders'!$B260="",'SC Change Orders'!$C260=""),"",260)</f>
        <v/>
      </c>
      <c r="B278" s="31" t="str">
        <f aca="false">IF($A278="","",'SC Change Orders'!$A260)</f>
        <v/>
      </c>
      <c r="C278" s="18" t="str">
        <f aca="false">IF($A278="","",'SC Change Orders'!$B260)</f>
        <v/>
      </c>
      <c r="D278" s="32" t="str">
        <f aca="false">IF($A278="","",'SC Change Orders'!$C260)</f>
        <v/>
      </c>
      <c r="E278" s="31" t="str">
        <f aca="false">IF($A278="","",'SC Change Orders'!$D260)</f>
        <v/>
      </c>
      <c r="F278" s="33" t="str">
        <f aca="false">IF($A278="","",'SC Change Orders'!$E260)</f>
        <v/>
      </c>
      <c r="G278" s="33" t="str">
        <f aca="false">IF($A278="","",'SC Change Orders'!$F260)</f>
        <v/>
      </c>
      <c r="H278" s="33" t="str">
        <f aca="false">IF($A278="","",'SC Change Orders'!$G260)</f>
        <v/>
      </c>
      <c r="I278" s="34" t="str">
        <f aca="false">IF($A278="","",IF(AND(ISNUMBER('SC Change Orders'!$C260),'SC Change Orders'!$C260&gt;=Controls!$C$5,'SC Change Orders'!$C260&lt;=Controls!$C$6),"Yes","No"))</f>
        <v/>
      </c>
      <c r="J278" s="31" t="str">
        <f aca="false">IF($A278="","",IF($K278="","OK",$K278))</f>
        <v/>
      </c>
      <c r="K278" s="0" t="str">
        <f aca="false">IF($A278="","",IF(NOT(ISNUMBER('SC Change Orders'!$B260)),"PO not numeric — row is invisible to the tracker; ","")&amp;IF(NOT(ISNUMBER('SC Change Orders'!$C260)),"Date missing or text — row excluded; ",  IF(OR('SC Change Orders'!$C260&lt;Controls!$C$5,'SC Change Orders'!$C260&gt;Controls!$C$6),"Dated outside the FY window — excluded; ",""))&amp;IF(AND('SC Change Orders'!$E260&lt;&gt;"",NOT(ISNUMBER('SC Change Orders'!$E260))),"Original Amount held as text — ignored by MINIFS; ","")&amp;IF(AND('SC Change Orders'!$F260&lt;&gt;"",NOT(ISNUMBER('SC Change Orders'!$F260))),"Amount Added held as text — ignored by SUMIFS; ","")&amp;IF(ISNUMBER('SC Change Orders'!$E260),IF(ISNUMBER('SC Change Orders'!$F260),IF(ISNUMBER('SC Change Orders'!$G260),  IF('SC Change Orders'!$G260&gt;0,IF(ROUND('SC Change Orders'!$E260+'SC Change Orders'!$F260,2)&lt;&gt;ROUND('SC Change Orders'!$G260,2),  "Original + Added &lt;&gt; Total Line Cost Allotted; ",""),""),""),""),"")&amp;IF(AND(ISNUMBER('SC Change Orders'!$B260),COUNTIFS('SC Change Orders'!$B$2:$B$501,'SC Change Orders'!$B260,'SC Change Orders'!$C$2:$C$501,'SC Change Orders'!$C260,'SC Change Orders'!$D$2:$D$501,'SC Change Orders'!$D260,'SC Change Orders'!$F$2:$F$501,'SC Change Orders'!$F260,'SC Change Orders'!$E$2:$E$501,'SC Change Orders'!$E260)&gt;1),"Duplicate of another row — funds counted twice; ","")&amp;IF(ISNUMBER('SC Change Orders'!$F260),IF('SC Change Orders'!$F260&lt;&gt;0,IF(AND(ISNUMBER('SC Change Orders'!$B260),NOT(COUNTIFS('SC Change Orders'!$B$2:$B$501,'SC Change Orders'!$B260,'SC Change Orders'!$C$2:$C$501,'SC Change Orders'!$C260,'SC Change Orders'!$D$2:$D$501,'SC Change Orders'!$D260,'SC Change Orders'!$F$2:$F$501,'SC Change Orders'!$F260,'SC Change Orders'!$E$2:$E$501,'SC Change Orders'!$E260)&gt;1),COUNTIFS('SC Change Orders'!$B$2:$B$501,'SC Change Orders'!$B260,'SC Change Orders'!$F$2:$F$501,'SC Change Orders'!$F260)&gt;1),  "Same PO and Amount Added as another row — check for a restatement counted twice; ",""),""),""))</f>
        <v/>
      </c>
    </row>
    <row r="279" customFormat="false" ht="15" hidden="false" customHeight="false" outlineLevel="0" collapsed="false">
      <c r="A279" s="18" t="str">
        <f aca="false">IF(AND('SC Change Orders'!$A261="",'SC Change Orders'!$B261="",'SC Change Orders'!$C261=""),"",261)</f>
        <v/>
      </c>
      <c r="B279" s="31" t="str">
        <f aca="false">IF($A279="","",'SC Change Orders'!$A261)</f>
        <v/>
      </c>
      <c r="C279" s="18" t="str">
        <f aca="false">IF($A279="","",'SC Change Orders'!$B261)</f>
        <v/>
      </c>
      <c r="D279" s="32" t="str">
        <f aca="false">IF($A279="","",'SC Change Orders'!$C261)</f>
        <v/>
      </c>
      <c r="E279" s="31" t="str">
        <f aca="false">IF($A279="","",'SC Change Orders'!$D261)</f>
        <v/>
      </c>
      <c r="F279" s="33" t="str">
        <f aca="false">IF($A279="","",'SC Change Orders'!$E261)</f>
        <v/>
      </c>
      <c r="G279" s="33" t="str">
        <f aca="false">IF($A279="","",'SC Change Orders'!$F261)</f>
        <v/>
      </c>
      <c r="H279" s="33" t="str">
        <f aca="false">IF($A279="","",'SC Change Orders'!$G261)</f>
        <v/>
      </c>
      <c r="I279" s="34" t="str">
        <f aca="false">IF($A279="","",IF(AND(ISNUMBER('SC Change Orders'!$C261),'SC Change Orders'!$C261&gt;=Controls!$C$5,'SC Change Orders'!$C261&lt;=Controls!$C$6),"Yes","No"))</f>
        <v/>
      </c>
      <c r="J279" s="31" t="str">
        <f aca="false">IF($A279="","",IF($K279="","OK",$K279))</f>
        <v/>
      </c>
      <c r="K279" s="0" t="str">
        <f aca="false">IF($A279="","",IF(NOT(ISNUMBER('SC Change Orders'!$B261)),"PO not numeric — row is invisible to the tracker; ","")&amp;IF(NOT(ISNUMBER('SC Change Orders'!$C261)),"Date missing or text — row excluded; ",  IF(OR('SC Change Orders'!$C261&lt;Controls!$C$5,'SC Change Orders'!$C261&gt;Controls!$C$6),"Dated outside the FY window — excluded; ",""))&amp;IF(AND('SC Change Orders'!$E261&lt;&gt;"",NOT(ISNUMBER('SC Change Orders'!$E261))),"Original Amount held as text — ignored by MINIFS; ","")&amp;IF(AND('SC Change Orders'!$F261&lt;&gt;"",NOT(ISNUMBER('SC Change Orders'!$F261))),"Amount Added held as text — ignored by SUMIFS; ","")&amp;IF(ISNUMBER('SC Change Orders'!$E261),IF(ISNUMBER('SC Change Orders'!$F261),IF(ISNUMBER('SC Change Orders'!$G261),  IF('SC Change Orders'!$G261&gt;0,IF(ROUND('SC Change Orders'!$E261+'SC Change Orders'!$F261,2)&lt;&gt;ROUND('SC Change Orders'!$G261,2),  "Original + Added &lt;&gt; Total Line Cost Allotted; ",""),""),""),""),"")&amp;IF(AND(ISNUMBER('SC Change Orders'!$B261),COUNTIFS('SC Change Orders'!$B$2:$B$501,'SC Change Orders'!$B261,'SC Change Orders'!$C$2:$C$501,'SC Change Orders'!$C261,'SC Change Orders'!$D$2:$D$501,'SC Change Orders'!$D261,'SC Change Orders'!$F$2:$F$501,'SC Change Orders'!$F261,'SC Change Orders'!$E$2:$E$501,'SC Change Orders'!$E261)&gt;1),"Duplicate of another row — funds counted twice; ","")&amp;IF(ISNUMBER('SC Change Orders'!$F261),IF('SC Change Orders'!$F261&lt;&gt;0,IF(AND(ISNUMBER('SC Change Orders'!$B261),NOT(COUNTIFS('SC Change Orders'!$B$2:$B$501,'SC Change Orders'!$B261,'SC Change Orders'!$C$2:$C$501,'SC Change Orders'!$C261,'SC Change Orders'!$D$2:$D$501,'SC Change Orders'!$D261,'SC Change Orders'!$F$2:$F$501,'SC Change Orders'!$F261,'SC Change Orders'!$E$2:$E$501,'SC Change Orders'!$E261)&gt;1),COUNTIFS('SC Change Orders'!$B$2:$B$501,'SC Change Orders'!$B261,'SC Change Orders'!$F$2:$F$501,'SC Change Orders'!$F261)&gt;1),  "Same PO and Amount Added as another row — check for a restatement counted twice; ",""),""),""))</f>
        <v/>
      </c>
    </row>
    <row r="280" customFormat="false" ht="15" hidden="false" customHeight="false" outlineLevel="0" collapsed="false">
      <c r="A280" s="18" t="str">
        <f aca="false">IF(AND('SC Change Orders'!$A262="",'SC Change Orders'!$B262="",'SC Change Orders'!$C262=""),"",262)</f>
        <v/>
      </c>
      <c r="B280" s="31" t="str">
        <f aca="false">IF($A280="","",'SC Change Orders'!$A262)</f>
        <v/>
      </c>
      <c r="C280" s="18" t="str">
        <f aca="false">IF($A280="","",'SC Change Orders'!$B262)</f>
        <v/>
      </c>
      <c r="D280" s="32" t="str">
        <f aca="false">IF($A280="","",'SC Change Orders'!$C262)</f>
        <v/>
      </c>
      <c r="E280" s="31" t="str">
        <f aca="false">IF($A280="","",'SC Change Orders'!$D262)</f>
        <v/>
      </c>
      <c r="F280" s="33" t="str">
        <f aca="false">IF($A280="","",'SC Change Orders'!$E262)</f>
        <v/>
      </c>
      <c r="G280" s="33" t="str">
        <f aca="false">IF($A280="","",'SC Change Orders'!$F262)</f>
        <v/>
      </c>
      <c r="H280" s="33" t="str">
        <f aca="false">IF($A280="","",'SC Change Orders'!$G262)</f>
        <v/>
      </c>
      <c r="I280" s="34" t="str">
        <f aca="false">IF($A280="","",IF(AND(ISNUMBER('SC Change Orders'!$C262),'SC Change Orders'!$C262&gt;=Controls!$C$5,'SC Change Orders'!$C262&lt;=Controls!$C$6),"Yes","No"))</f>
        <v/>
      </c>
      <c r="J280" s="31" t="str">
        <f aca="false">IF($A280="","",IF($K280="","OK",$K280))</f>
        <v/>
      </c>
      <c r="K280" s="0" t="str">
        <f aca="false">IF($A280="","",IF(NOT(ISNUMBER('SC Change Orders'!$B262)),"PO not numeric — row is invisible to the tracker; ","")&amp;IF(NOT(ISNUMBER('SC Change Orders'!$C262)),"Date missing or text — row excluded; ",  IF(OR('SC Change Orders'!$C262&lt;Controls!$C$5,'SC Change Orders'!$C262&gt;Controls!$C$6),"Dated outside the FY window — excluded; ",""))&amp;IF(AND('SC Change Orders'!$E262&lt;&gt;"",NOT(ISNUMBER('SC Change Orders'!$E262))),"Original Amount held as text — ignored by MINIFS; ","")&amp;IF(AND('SC Change Orders'!$F262&lt;&gt;"",NOT(ISNUMBER('SC Change Orders'!$F262))),"Amount Added held as text — ignored by SUMIFS; ","")&amp;IF(ISNUMBER('SC Change Orders'!$E262),IF(ISNUMBER('SC Change Orders'!$F262),IF(ISNUMBER('SC Change Orders'!$G262),  IF('SC Change Orders'!$G262&gt;0,IF(ROUND('SC Change Orders'!$E262+'SC Change Orders'!$F262,2)&lt;&gt;ROUND('SC Change Orders'!$G262,2),  "Original + Added &lt;&gt; Total Line Cost Allotted; ",""),""),""),""),"")&amp;IF(AND(ISNUMBER('SC Change Orders'!$B262),COUNTIFS('SC Change Orders'!$B$2:$B$501,'SC Change Orders'!$B262,'SC Change Orders'!$C$2:$C$501,'SC Change Orders'!$C262,'SC Change Orders'!$D$2:$D$501,'SC Change Orders'!$D262,'SC Change Orders'!$F$2:$F$501,'SC Change Orders'!$F262,'SC Change Orders'!$E$2:$E$501,'SC Change Orders'!$E262)&gt;1),"Duplicate of another row — funds counted twice; ","")&amp;IF(ISNUMBER('SC Change Orders'!$F262),IF('SC Change Orders'!$F262&lt;&gt;0,IF(AND(ISNUMBER('SC Change Orders'!$B262),NOT(COUNTIFS('SC Change Orders'!$B$2:$B$501,'SC Change Orders'!$B262,'SC Change Orders'!$C$2:$C$501,'SC Change Orders'!$C262,'SC Change Orders'!$D$2:$D$501,'SC Change Orders'!$D262,'SC Change Orders'!$F$2:$F$501,'SC Change Orders'!$F262,'SC Change Orders'!$E$2:$E$501,'SC Change Orders'!$E262)&gt;1),COUNTIFS('SC Change Orders'!$B$2:$B$501,'SC Change Orders'!$B262,'SC Change Orders'!$F$2:$F$501,'SC Change Orders'!$F262)&gt;1),  "Same PO and Amount Added as another row — check for a restatement counted twice; ",""),""),""))</f>
        <v/>
      </c>
    </row>
    <row r="281" customFormat="false" ht="15" hidden="false" customHeight="false" outlineLevel="0" collapsed="false">
      <c r="A281" s="18" t="str">
        <f aca="false">IF(AND('SC Change Orders'!$A263="",'SC Change Orders'!$B263="",'SC Change Orders'!$C263=""),"",263)</f>
        <v/>
      </c>
      <c r="B281" s="31" t="str">
        <f aca="false">IF($A281="","",'SC Change Orders'!$A263)</f>
        <v/>
      </c>
      <c r="C281" s="18" t="str">
        <f aca="false">IF($A281="","",'SC Change Orders'!$B263)</f>
        <v/>
      </c>
      <c r="D281" s="32" t="str">
        <f aca="false">IF($A281="","",'SC Change Orders'!$C263)</f>
        <v/>
      </c>
      <c r="E281" s="31" t="str">
        <f aca="false">IF($A281="","",'SC Change Orders'!$D263)</f>
        <v/>
      </c>
      <c r="F281" s="33" t="str">
        <f aca="false">IF($A281="","",'SC Change Orders'!$E263)</f>
        <v/>
      </c>
      <c r="G281" s="33" t="str">
        <f aca="false">IF($A281="","",'SC Change Orders'!$F263)</f>
        <v/>
      </c>
      <c r="H281" s="33" t="str">
        <f aca="false">IF($A281="","",'SC Change Orders'!$G263)</f>
        <v/>
      </c>
      <c r="I281" s="34" t="str">
        <f aca="false">IF($A281="","",IF(AND(ISNUMBER('SC Change Orders'!$C263),'SC Change Orders'!$C263&gt;=Controls!$C$5,'SC Change Orders'!$C263&lt;=Controls!$C$6),"Yes","No"))</f>
        <v/>
      </c>
      <c r="J281" s="31" t="str">
        <f aca="false">IF($A281="","",IF($K281="","OK",$K281))</f>
        <v/>
      </c>
      <c r="K281" s="0" t="str">
        <f aca="false">IF($A281="","",IF(NOT(ISNUMBER('SC Change Orders'!$B263)),"PO not numeric — row is invisible to the tracker; ","")&amp;IF(NOT(ISNUMBER('SC Change Orders'!$C263)),"Date missing or text — row excluded; ",  IF(OR('SC Change Orders'!$C263&lt;Controls!$C$5,'SC Change Orders'!$C263&gt;Controls!$C$6),"Dated outside the FY window — excluded; ",""))&amp;IF(AND('SC Change Orders'!$E263&lt;&gt;"",NOT(ISNUMBER('SC Change Orders'!$E263))),"Original Amount held as text — ignored by MINIFS; ","")&amp;IF(AND('SC Change Orders'!$F263&lt;&gt;"",NOT(ISNUMBER('SC Change Orders'!$F263))),"Amount Added held as text — ignored by SUMIFS; ","")&amp;IF(ISNUMBER('SC Change Orders'!$E263),IF(ISNUMBER('SC Change Orders'!$F263),IF(ISNUMBER('SC Change Orders'!$G263),  IF('SC Change Orders'!$G263&gt;0,IF(ROUND('SC Change Orders'!$E263+'SC Change Orders'!$F263,2)&lt;&gt;ROUND('SC Change Orders'!$G263,2),  "Original + Added &lt;&gt; Total Line Cost Allotted; ",""),""),""),""),"")&amp;IF(AND(ISNUMBER('SC Change Orders'!$B263),COUNTIFS('SC Change Orders'!$B$2:$B$501,'SC Change Orders'!$B263,'SC Change Orders'!$C$2:$C$501,'SC Change Orders'!$C263,'SC Change Orders'!$D$2:$D$501,'SC Change Orders'!$D263,'SC Change Orders'!$F$2:$F$501,'SC Change Orders'!$F263,'SC Change Orders'!$E$2:$E$501,'SC Change Orders'!$E263)&gt;1),"Duplicate of another row — funds counted twice; ","")&amp;IF(ISNUMBER('SC Change Orders'!$F263),IF('SC Change Orders'!$F263&lt;&gt;0,IF(AND(ISNUMBER('SC Change Orders'!$B263),NOT(COUNTIFS('SC Change Orders'!$B$2:$B$501,'SC Change Orders'!$B263,'SC Change Orders'!$C$2:$C$501,'SC Change Orders'!$C263,'SC Change Orders'!$D$2:$D$501,'SC Change Orders'!$D263,'SC Change Orders'!$F$2:$F$501,'SC Change Orders'!$F263,'SC Change Orders'!$E$2:$E$501,'SC Change Orders'!$E263)&gt;1),COUNTIFS('SC Change Orders'!$B$2:$B$501,'SC Change Orders'!$B263,'SC Change Orders'!$F$2:$F$501,'SC Change Orders'!$F263)&gt;1),  "Same PO and Amount Added as another row — check for a restatement counted twice; ",""),""),""))</f>
        <v/>
      </c>
    </row>
    <row r="282" customFormat="false" ht="15" hidden="false" customHeight="false" outlineLevel="0" collapsed="false">
      <c r="A282" s="18" t="str">
        <f aca="false">IF(AND('SC Change Orders'!$A264="",'SC Change Orders'!$B264="",'SC Change Orders'!$C264=""),"",264)</f>
        <v/>
      </c>
      <c r="B282" s="31" t="str">
        <f aca="false">IF($A282="","",'SC Change Orders'!$A264)</f>
        <v/>
      </c>
      <c r="C282" s="18" t="str">
        <f aca="false">IF($A282="","",'SC Change Orders'!$B264)</f>
        <v/>
      </c>
      <c r="D282" s="32" t="str">
        <f aca="false">IF($A282="","",'SC Change Orders'!$C264)</f>
        <v/>
      </c>
      <c r="E282" s="31" t="str">
        <f aca="false">IF($A282="","",'SC Change Orders'!$D264)</f>
        <v/>
      </c>
      <c r="F282" s="33" t="str">
        <f aca="false">IF($A282="","",'SC Change Orders'!$E264)</f>
        <v/>
      </c>
      <c r="G282" s="33" t="str">
        <f aca="false">IF($A282="","",'SC Change Orders'!$F264)</f>
        <v/>
      </c>
      <c r="H282" s="33" t="str">
        <f aca="false">IF($A282="","",'SC Change Orders'!$G264)</f>
        <v/>
      </c>
      <c r="I282" s="34" t="str">
        <f aca="false">IF($A282="","",IF(AND(ISNUMBER('SC Change Orders'!$C264),'SC Change Orders'!$C264&gt;=Controls!$C$5,'SC Change Orders'!$C264&lt;=Controls!$C$6),"Yes","No"))</f>
        <v/>
      </c>
      <c r="J282" s="31" t="str">
        <f aca="false">IF($A282="","",IF($K282="","OK",$K282))</f>
        <v/>
      </c>
      <c r="K282" s="0" t="str">
        <f aca="false">IF($A282="","",IF(NOT(ISNUMBER('SC Change Orders'!$B264)),"PO not numeric — row is invisible to the tracker; ","")&amp;IF(NOT(ISNUMBER('SC Change Orders'!$C264)),"Date missing or text — row excluded; ",  IF(OR('SC Change Orders'!$C264&lt;Controls!$C$5,'SC Change Orders'!$C264&gt;Controls!$C$6),"Dated outside the FY window — excluded; ",""))&amp;IF(AND('SC Change Orders'!$E264&lt;&gt;"",NOT(ISNUMBER('SC Change Orders'!$E264))),"Original Amount held as text — ignored by MINIFS; ","")&amp;IF(AND('SC Change Orders'!$F264&lt;&gt;"",NOT(ISNUMBER('SC Change Orders'!$F264))),"Amount Added held as text — ignored by SUMIFS; ","")&amp;IF(ISNUMBER('SC Change Orders'!$E264),IF(ISNUMBER('SC Change Orders'!$F264),IF(ISNUMBER('SC Change Orders'!$G264),  IF('SC Change Orders'!$G264&gt;0,IF(ROUND('SC Change Orders'!$E264+'SC Change Orders'!$F264,2)&lt;&gt;ROUND('SC Change Orders'!$G264,2),  "Original + Added &lt;&gt; Total Line Cost Allotted; ",""),""),""),""),"")&amp;IF(AND(ISNUMBER('SC Change Orders'!$B264),COUNTIFS('SC Change Orders'!$B$2:$B$501,'SC Change Orders'!$B264,'SC Change Orders'!$C$2:$C$501,'SC Change Orders'!$C264,'SC Change Orders'!$D$2:$D$501,'SC Change Orders'!$D264,'SC Change Orders'!$F$2:$F$501,'SC Change Orders'!$F264,'SC Change Orders'!$E$2:$E$501,'SC Change Orders'!$E264)&gt;1),"Duplicate of another row — funds counted twice; ","")&amp;IF(ISNUMBER('SC Change Orders'!$F264),IF('SC Change Orders'!$F264&lt;&gt;0,IF(AND(ISNUMBER('SC Change Orders'!$B264),NOT(COUNTIFS('SC Change Orders'!$B$2:$B$501,'SC Change Orders'!$B264,'SC Change Orders'!$C$2:$C$501,'SC Change Orders'!$C264,'SC Change Orders'!$D$2:$D$501,'SC Change Orders'!$D264,'SC Change Orders'!$F$2:$F$501,'SC Change Orders'!$F264,'SC Change Orders'!$E$2:$E$501,'SC Change Orders'!$E264)&gt;1),COUNTIFS('SC Change Orders'!$B$2:$B$501,'SC Change Orders'!$B264,'SC Change Orders'!$F$2:$F$501,'SC Change Orders'!$F264)&gt;1),  "Same PO and Amount Added as another row — check for a restatement counted twice; ",""),""),""))</f>
        <v/>
      </c>
    </row>
    <row r="283" customFormat="false" ht="15" hidden="false" customHeight="false" outlineLevel="0" collapsed="false">
      <c r="A283" s="18" t="str">
        <f aca="false">IF(AND('SC Change Orders'!$A265="",'SC Change Orders'!$B265="",'SC Change Orders'!$C265=""),"",265)</f>
        <v/>
      </c>
      <c r="B283" s="31" t="str">
        <f aca="false">IF($A283="","",'SC Change Orders'!$A265)</f>
        <v/>
      </c>
      <c r="C283" s="18" t="str">
        <f aca="false">IF($A283="","",'SC Change Orders'!$B265)</f>
        <v/>
      </c>
      <c r="D283" s="32" t="str">
        <f aca="false">IF($A283="","",'SC Change Orders'!$C265)</f>
        <v/>
      </c>
      <c r="E283" s="31" t="str">
        <f aca="false">IF($A283="","",'SC Change Orders'!$D265)</f>
        <v/>
      </c>
      <c r="F283" s="33" t="str">
        <f aca="false">IF($A283="","",'SC Change Orders'!$E265)</f>
        <v/>
      </c>
      <c r="G283" s="33" t="str">
        <f aca="false">IF($A283="","",'SC Change Orders'!$F265)</f>
        <v/>
      </c>
      <c r="H283" s="33" t="str">
        <f aca="false">IF($A283="","",'SC Change Orders'!$G265)</f>
        <v/>
      </c>
      <c r="I283" s="34" t="str">
        <f aca="false">IF($A283="","",IF(AND(ISNUMBER('SC Change Orders'!$C265),'SC Change Orders'!$C265&gt;=Controls!$C$5,'SC Change Orders'!$C265&lt;=Controls!$C$6),"Yes","No"))</f>
        <v/>
      </c>
      <c r="J283" s="31" t="str">
        <f aca="false">IF($A283="","",IF($K283="","OK",$K283))</f>
        <v/>
      </c>
      <c r="K283" s="0" t="str">
        <f aca="false">IF($A283="","",IF(NOT(ISNUMBER('SC Change Orders'!$B265)),"PO not numeric — row is invisible to the tracker; ","")&amp;IF(NOT(ISNUMBER('SC Change Orders'!$C265)),"Date missing or text — row excluded; ",  IF(OR('SC Change Orders'!$C265&lt;Controls!$C$5,'SC Change Orders'!$C265&gt;Controls!$C$6),"Dated outside the FY window — excluded; ",""))&amp;IF(AND('SC Change Orders'!$E265&lt;&gt;"",NOT(ISNUMBER('SC Change Orders'!$E265))),"Original Amount held as text — ignored by MINIFS; ","")&amp;IF(AND('SC Change Orders'!$F265&lt;&gt;"",NOT(ISNUMBER('SC Change Orders'!$F265))),"Amount Added held as text — ignored by SUMIFS; ","")&amp;IF(ISNUMBER('SC Change Orders'!$E265),IF(ISNUMBER('SC Change Orders'!$F265),IF(ISNUMBER('SC Change Orders'!$G265),  IF('SC Change Orders'!$G265&gt;0,IF(ROUND('SC Change Orders'!$E265+'SC Change Orders'!$F265,2)&lt;&gt;ROUND('SC Change Orders'!$G265,2),  "Original + Added &lt;&gt; Total Line Cost Allotted; ",""),""),""),""),"")&amp;IF(AND(ISNUMBER('SC Change Orders'!$B265),COUNTIFS('SC Change Orders'!$B$2:$B$501,'SC Change Orders'!$B265,'SC Change Orders'!$C$2:$C$501,'SC Change Orders'!$C265,'SC Change Orders'!$D$2:$D$501,'SC Change Orders'!$D265,'SC Change Orders'!$F$2:$F$501,'SC Change Orders'!$F265,'SC Change Orders'!$E$2:$E$501,'SC Change Orders'!$E265)&gt;1),"Duplicate of another row — funds counted twice; ","")&amp;IF(ISNUMBER('SC Change Orders'!$F265),IF('SC Change Orders'!$F265&lt;&gt;0,IF(AND(ISNUMBER('SC Change Orders'!$B265),NOT(COUNTIFS('SC Change Orders'!$B$2:$B$501,'SC Change Orders'!$B265,'SC Change Orders'!$C$2:$C$501,'SC Change Orders'!$C265,'SC Change Orders'!$D$2:$D$501,'SC Change Orders'!$D265,'SC Change Orders'!$F$2:$F$501,'SC Change Orders'!$F265,'SC Change Orders'!$E$2:$E$501,'SC Change Orders'!$E265)&gt;1),COUNTIFS('SC Change Orders'!$B$2:$B$501,'SC Change Orders'!$B265,'SC Change Orders'!$F$2:$F$501,'SC Change Orders'!$F265)&gt;1),  "Same PO and Amount Added as another row — check for a restatement counted twice; ",""),""),""))</f>
        <v/>
      </c>
    </row>
    <row r="284" customFormat="false" ht="15" hidden="false" customHeight="false" outlineLevel="0" collapsed="false">
      <c r="A284" s="18" t="str">
        <f aca="false">IF(AND('SC Change Orders'!$A266="",'SC Change Orders'!$B266="",'SC Change Orders'!$C266=""),"",266)</f>
        <v/>
      </c>
      <c r="B284" s="31" t="str">
        <f aca="false">IF($A284="","",'SC Change Orders'!$A266)</f>
        <v/>
      </c>
      <c r="C284" s="18" t="str">
        <f aca="false">IF($A284="","",'SC Change Orders'!$B266)</f>
        <v/>
      </c>
      <c r="D284" s="32" t="str">
        <f aca="false">IF($A284="","",'SC Change Orders'!$C266)</f>
        <v/>
      </c>
      <c r="E284" s="31" t="str">
        <f aca="false">IF($A284="","",'SC Change Orders'!$D266)</f>
        <v/>
      </c>
      <c r="F284" s="33" t="str">
        <f aca="false">IF($A284="","",'SC Change Orders'!$E266)</f>
        <v/>
      </c>
      <c r="G284" s="33" t="str">
        <f aca="false">IF($A284="","",'SC Change Orders'!$F266)</f>
        <v/>
      </c>
      <c r="H284" s="33" t="str">
        <f aca="false">IF($A284="","",'SC Change Orders'!$G266)</f>
        <v/>
      </c>
      <c r="I284" s="34" t="str">
        <f aca="false">IF($A284="","",IF(AND(ISNUMBER('SC Change Orders'!$C266),'SC Change Orders'!$C266&gt;=Controls!$C$5,'SC Change Orders'!$C266&lt;=Controls!$C$6),"Yes","No"))</f>
        <v/>
      </c>
      <c r="J284" s="31" t="str">
        <f aca="false">IF($A284="","",IF($K284="","OK",$K284))</f>
        <v/>
      </c>
      <c r="K284" s="0" t="str">
        <f aca="false">IF($A284="","",IF(NOT(ISNUMBER('SC Change Orders'!$B266)),"PO not numeric — row is invisible to the tracker; ","")&amp;IF(NOT(ISNUMBER('SC Change Orders'!$C266)),"Date missing or text — row excluded; ",  IF(OR('SC Change Orders'!$C266&lt;Controls!$C$5,'SC Change Orders'!$C266&gt;Controls!$C$6),"Dated outside the FY window — excluded; ",""))&amp;IF(AND('SC Change Orders'!$E266&lt;&gt;"",NOT(ISNUMBER('SC Change Orders'!$E266))),"Original Amount held as text — ignored by MINIFS; ","")&amp;IF(AND('SC Change Orders'!$F266&lt;&gt;"",NOT(ISNUMBER('SC Change Orders'!$F266))),"Amount Added held as text — ignored by SUMIFS; ","")&amp;IF(ISNUMBER('SC Change Orders'!$E266),IF(ISNUMBER('SC Change Orders'!$F266),IF(ISNUMBER('SC Change Orders'!$G266),  IF('SC Change Orders'!$G266&gt;0,IF(ROUND('SC Change Orders'!$E266+'SC Change Orders'!$F266,2)&lt;&gt;ROUND('SC Change Orders'!$G266,2),  "Original + Added &lt;&gt; Total Line Cost Allotted; ",""),""),""),""),"")&amp;IF(AND(ISNUMBER('SC Change Orders'!$B266),COUNTIFS('SC Change Orders'!$B$2:$B$501,'SC Change Orders'!$B266,'SC Change Orders'!$C$2:$C$501,'SC Change Orders'!$C266,'SC Change Orders'!$D$2:$D$501,'SC Change Orders'!$D266,'SC Change Orders'!$F$2:$F$501,'SC Change Orders'!$F266,'SC Change Orders'!$E$2:$E$501,'SC Change Orders'!$E266)&gt;1),"Duplicate of another row — funds counted twice; ","")&amp;IF(ISNUMBER('SC Change Orders'!$F266),IF('SC Change Orders'!$F266&lt;&gt;0,IF(AND(ISNUMBER('SC Change Orders'!$B266),NOT(COUNTIFS('SC Change Orders'!$B$2:$B$501,'SC Change Orders'!$B266,'SC Change Orders'!$C$2:$C$501,'SC Change Orders'!$C266,'SC Change Orders'!$D$2:$D$501,'SC Change Orders'!$D266,'SC Change Orders'!$F$2:$F$501,'SC Change Orders'!$F266,'SC Change Orders'!$E$2:$E$501,'SC Change Orders'!$E266)&gt;1),COUNTIFS('SC Change Orders'!$B$2:$B$501,'SC Change Orders'!$B266,'SC Change Orders'!$F$2:$F$501,'SC Change Orders'!$F266)&gt;1),  "Same PO and Amount Added as another row — check for a restatement counted twice; ",""),""),""))</f>
        <v/>
      </c>
    </row>
    <row r="285" customFormat="false" ht="15" hidden="false" customHeight="false" outlineLevel="0" collapsed="false">
      <c r="A285" s="18" t="str">
        <f aca="false">IF(AND('SC Change Orders'!$A267="",'SC Change Orders'!$B267="",'SC Change Orders'!$C267=""),"",267)</f>
        <v/>
      </c>
      <c r="B285" s="31" t="str">
        <f aca="false">IF($A285="","",'SC Change Orders'!$A267)</f>
        <v/>
      </c>
      <c r="C285" s="18" t="str">
        <f aca="false">IF($A285="","",'SC Change Orders'!$B267)</f>
        <v/>
      </c>
      <c r="D285" s="32" t="str">
        <f aca="false">IF($A285="","",'SC Change Orders'!$C267)</f>
        <v/>
      </c>
      <c r="E285" s="31" t="str">
        <f aca="false">IF($A285="","",'SC Change Orders'!$D267)</f>
        <v/>
      </c>
      <c r="F285" s="33" t="str">
        <f aca="false">IF($A285="","",'SC Change Orders'!$E267)</f>
        <v/>
      </c>
      <c r="G285" s="33" t="str">
        <f aca="false">IF($A285="","",'SC Change Orders'!$F267)</f>
        <v/>
      </c>
      <c r="H285" s="33" t="str">
        <f aca="false">IF($A285="","",'SC Change Orders'!$G267)</f>
        <v/>
      </c>
      <c r="I285" s="34" t="str">
        <f aca="false">IF($A285="","",IF(AND(ISNUMBER('SC Change Orders'!$C267),'SC Change Orders'!$C267&gt;=Controls!$C$5,'SC Change Orders'!$C267&lt;=Controls!$C$6),"Yes","No"))</f>
        <v/>
      </c>
      <c r="J285" s="31" t="str">
        <f aca="false">IF($A285="","",IF($K285="","OK",$K285))</f>
        <v/>
      </c>
      <c r="K285" s="0" t="str">
        <f aca="false">IF($A285="","",IF(NOT(ISNUMBER('SC Change Orders'!$B267)),"PO not numeric — row is invisible to the tracker; ","")&amp;IF(NOT(ISNUMBER('SC Change Orders'!$C267)),"Date missing or text — row excluded; ",  IF(OR('SC Change Orders'!$C267&lt;Controls!$C$5,'SC Change Orders'!$C267&gt;Controls!$C$6),"Dated outside the FY window — excluded; ",""))&amp;IF(AND('SC Change Orders'!$E267&lt;&gt;"",NOT(ISNUMBER('SC Change Orders'!$E267))),"Original Amount held as text — ignored by MINIFS; ","")&amp;IF(AND('SC Change Orders'!$F267&lt;&gt;"",NOT(ISNUMBER('SC Change Orders'!$F267))),"Amount Added held as text — ignored by SUMIFS; ","")&amp;IF(ISNUMBER('SC Change Orders'!$E267),IF(ISNUMBER('SC Change Orders'!$F267),IF(ISNUMBER('SC Change Orders'!$G267),  IF('SC Change Orders'!$G267&gt;0,IF(ROUND('SC Change Orders'!$E267+'SC Change Orders'!$F267,2)&lt;&gt;ROUND('SC Change Orders'!$G267,2),  "Original + Added &lt;&gt; Total Line Cost Allotted; ",""),""),""),""),"")&amp;IF(AND(ISNUMBER('SC Change Orders'!$B267),COUNTIFS('SC Change Orders'!$B$2:$B$501,'SC Change Orders'!$B267,'SC Change Orders'!$C$2:$C$501,'SC Change Orders'!$C267,'SC Change Orders'!$D$2:$D$501,'SC Change Orders'!$D267,'SC Change Orders'!$F$2:$F$501,'SC Change Orders'!$F267,'SC Change Orders'!$E$2:$E$501,'SC Change Orders'!$E267)&gt;1),"Duplicate of another row — funds counted twice; ","")&amp;IF(ISNUMBER('SC Change Orders'!$F267),IF('SC Change Orders'!$F267&lt;&gt;0,IF(AND(ISNUMBER('SC Change Orders'!$B267),NOT(COUNTIFS('SC Change Orders'!$B$2:$B$501,'SC Change Orders'!$B267,'SC Change Orders'!$C$2:$C$501,'SC Change Orders'!$C267,'SC Change Orders'!$D$2:$D$501,'SC Change Orders'!$D267,'SC Change Orders'!$F$2:$F$501,'SC Change Orders'!$F267,'SC Change Orders'!$E$2:$E$501,'SC Change Orders'!$E267)&gt;1),COUNTIFS('SC Change Orders'!$B$2:$B$501,'SC Change Orders'!$B267,'SC Change Orders'!$F$2:$F$501,'SC Change Orders'!$F267)&gt;1),  "Same PO and Amount Added as another row — check for a restatement counted twice; ",""),""),""))</f>
        <v/>
      </c>
    </row>
    <row r="286" customFormat="false" ht="15" hidden="false" customHeight="false" outlineLevel="0" collapsed="false">
      <c r="A286" s="18" t="str">
        <f aca="false">IF(AND('SC Change Orders'!$A268="",'SC Change Orders'!$B268="",'SC Change Orders'!$C268=""),"",268)</f>
        <v/>
      </c>
      <c r="B286" s="31" t="str">
        <f aca="false">IF($A286="","",'SC Change Orders'!$A268)</f>
        <v/>
      </c>
      <c r="C286" s="18" t="str">
        <f aca="false">IF($A286="","",'SC Change Orders'!$B268)</f>
        <v/>
      </c>
      <c r="D286" s="32" t="str">
        <f aca="false">IF($A286="","",'SC Change Orders'!$C268)</f>
        <v/>
      </c>
      <c r="E286" s="31" t="str">
        <f aca="false">IF($A286="","",'SC Change Orders'!$D268)</f>
        <v/>
      </c>
      <c r="F286" s="33" t="str">
        <f aca="false">IF($A286="","",'SC Change Orders'!$E268)</f>
        <v/>
      </c>
      <c r="G286" s="33" t="str">
        <f aca="false">IF($A286="","",'SC Change Orders'!$F268)</f>
        <v/>
      </c>
      <c r="H286" s="33" t="str">
        <f aca="false">IF($A286="","",'SC Change Orders'!$G268)</f>
        <v/>
      </c>
      <c r="I286" s="34" t="str">
        <f aca="false">IF($A286="","",IF(AND(ISNUMBER('SC Change Orders'!$C268),'SC Change Orders'!$C268&gt;=Controls!$C$5,'SC Change Orders'!$C268&lt;=Controls!$C$6),"Yes","No"))</f>
        <v/>
      </c>
      <c r="J286" s="31" t="str">
        <f aca="false">IF($A286="","",IF($K286="","OK",$K286))</f>
        <v/>
      </c>
      <c r="K286" s="0" t="str">
        <f aca="false">IF($A286="","",IF(NOT(ISNUMBER('SC Change Orders'!$B268)),"PO not numeric — row is invisible to the tracker; ","")&amp;IF(NOT(ISNUMBER('SC Change Orders'!$C268)),"Date missing or text — row excluded; ",  IF(OR('SC Change Orders'!$C268&lt;Controls!$C$5,'SC Change Orders'!$C268&gt;Controls!$C$6),"Dated outside the FY window — excluded; ",""))&amp;IF(AND('SC Change Orders'!$E268&lt;&gt;"",NOT(ISNUMBER('SC Change Orders'!$E268))),"Original Amount held as text — ignored by MINIFS; ","")&amp;IF(AND('SC Change Orders'!$F268&lt;&gt;"",NOT(ISNUMBER('SC Change Orders'!$F268))),"Amount Added held as text — ignored by SUMIFS; ","")&amp;IF(ISNUMBER('SC Change Orders'!$E268),IF(ISNUMBER('SC Change Orders'!$F268),IF(ISNUMBER('SC Change Orders'!$G268),  IF('SC Change Orders'!$G268&gt;0,IF(ROUND('SC Change Orders'!$E268+'SC Change Orders'!$F268,2)&lt;&gt;ROUND('SC Change Orders'!$G268,2),  "Original + Added &lt;&gt; Total Line Cost Allotted; ",""),""),""),""),"")&amp;IF(AND(ISNUMBER('SC Change Orders'!$B268),COUNTIFS('SC Change Orders'!$B$2:$B$501,'SC Change Orders'!$B268,'SC Change Orders'!$C$2:$C$501,'SC Change Orders'!$C268,'SC Change Orders'!$D$2:$D$501,'SC Change Orders'!$D268,'SC Change Orders'!$F$2:$F$501,'SC Change Orders'!$F268,'SC Change Orders'!$E$2:$E$501,'SC Change Orders'!$E268)&gt;1),"Duplicate of another row — funds counted twice; ","")&amp;IF(ISNUMBER('SC Change Orders'!$F268),IF('SC Change Orders'!$F268&lt;&gt;0,IF(AND(ISNUMBER('SC Change Orders'!$B268),NOT(COUNTIFS('SC Change Orders'!$B$2:$B$501,'SC Change Orders'!$B268,'SC Change Orders'!$C$2:$C$501,'SC Change Orders'!$C268,'SC Change Orders'!$D$2:$D$501,'SC Change Orders'!$D268,'SC Change Orders'!$F$2:$F$501,'SC Change Orders'!$F268,'SC Change Orders'!$E$2:$E$501,'SC Change Orders'!$E268)&gt;1),COUNTIFS('SC Change Orders'!$B$2:$B$501,'SC Change Orders'!$B268,'SC Change Orders'!$F$2:$F$501,'SC Change Orders'!$F268)&gt;1),  "Same PO and Amount Added as another row — check for a restatement counted twice; ",""),""),""))</f>
        <v/>
      </c>
    </row>
    <row r="287" customFormat="false" ht="15" hidden="false" customHeight="false" outlineLevel="0" collapsed="false">
      <c r="A287" s="18" t="str">
        <f aca="false">IF(AND('SC Change Orders'!$A269="",'SC Change Orders'!$B269="",'SC Change Orders'!$C269=""),"",269)</f>
        <v/>
      </c>
      <c r="B287" s="31" t="str">
        <f aca="false">IF($A287="","",'SC Change Orders'!$A269)</f>
        <v/>
      </c>
      <c r="C287" s="18" t="str">
        <f aca="false">IF($A287="","",'SC Change Orders'!$B269)</f>
        <v/>
      </c>
      <c r="D287" s="32" t="str">
        <f aca="false">IF($A287="","",'SC Change Orders'!$C269)</f>
        <v/>
      </c>
      <c r="E287" s="31" t="str">
        <f aca="false">IF($A287="","",'SC Change Orders'!$D269)</f>
        <v/>
      </c>
      <c r="F287" s="33" t="str">
        <f aca="false">IF($A287="","",'SC Change Orders'!$E269)</f>
        <v/>
      </c>
      <c r="G287" s="33" t="str">
        <f aca="false">IF($A287="","",'SC Change Orders'!$F269)</f>
        <v/>
      </c>
      <c r="H287" s="33" t="str">
        <f aca="false">IF($A287="","",'SC Change Orders'!$G269)</f>
        <v/>
      </c>
      <c r="I287" s="34" t="str">
        <f aca="false">IF($A287="","",IF(AND(ISNUMBER('SC Change Orders'!$C269),'SC Change Orders'!$C269&gt;=Controls!$C$5,'SC Change Orders'!$C269&lt;=Controls!$C$6),"Yes","No"))</f>
        <v/>
      </c>
      <c r="J287" s="31" t="str">
        <f aca="false">IF($A287="","",IF($K287="","OK",$K287))</f>
        <v/>
      </c>
      <c r="K287" s="0" t="str">
        <f aca="false">IF($A287="","",IF(NOT(ISNUMBER('SC Change Orders'!$B269)),"PO not numeric — row is invisible to the tracker; ","")&amp;IF(NOT(ISNUMBER('SC Change Orders'!$C269)),"Date missing or text — row excluded; ",  IF(OR('SC Change Orders'!$C269&lt;Controls!$C$5,'SC Change Orders'!$C269&gt;Controls!$C$6),"Dated outside the FY window — excluded; ",""))&amp;IF(AND('SC Change Orders'!$E269&lt;&gt;"",NOT(ISNUMBER('SC Change Orders'!$E269))),"Original Amount held as text — ignored by MINIFS; ","")&amp;IF(AND('SC Change Orders'!$F269&lt;&gt;"",NOT(ISNUMBER('SC Change Orders'!$F269))),"Amount Added held as text — ignored by SUMIFS; ","")&amp;IF(ISNUMBER('SC Change Orders'!$E269),IF(ISNUMBER('SC Change Orders'!$F269),IF(ISNUMBER('SC Change Orders'!$G269),  IF('SC Change Orders'!$G269&gt;0,IF(ROUND('SC Change Orders'!$E269+'SC Change Orders'!$F269,2)&lt;&gt;ROUND('SC Change Orders'!$G269,2),  "Original + Added &lt;&gt; Total Line Cost Allotted; ",""),""),""),""),"")&amp;IF(AND(ISNUMBER('SC Change Orders'!$B269),COUNTIFS('SC Change Orders'!$B$2:$B$501,'SC Change Orders'!$B269,'SC Change Orders'!$C$2:$C$501,'SC Change Orders'!$C269,'SC Change Orders'!$D$2:$D$501,'SC Change Orders'!$D269,'SC Change Orders'!$F$2:$F$501,'SC Change Orders'!$F269,'SC Change Orders'!$E$2:$E$501,'SC Change Orders'!$E269)&gt;1),"Duplicate of another row — funds counted twice; ","")&amp;IF(ISNUMBER('SC Change Orders'!$F269),IF('SC Change Orders'!$F269&lt;&gt;0,IF(AND(ISNUMBER('SC Change Orders'!$B269),NOT(COUNTIFS('SC Change Orders'!$B$2:$B$501,'SC Change Orders'!$B269,'SC Change Orders'!$C$2:$C$501,'SC Change Orders'!$C269,'SC Change Orders'!$D$2:$D$501,'SC Change Orders'!$D269,'SC Change Orders'!$F$2:$F$501,'SC Change Orders'!$F269,'SC Change Orders'!$E$2:$E$501,'SC Change Orders'!$E269)&gt;1),COUNTIFS('SC Change Orders'!$B$2:$B$501,'SC Change Orders'!$B269,'SC Change Orders'!$F$2:$F$501,'SC Change Orders'!$F269)&gt;1),  "Same PO and Amount Added as another row — check for a restatement counted twice; ",""),""),""))</f>
        <v/>
      </c>
    </row>
    <row r="288" customFormat="false" ht="15" hidden="false" customHeight="false" outlineLevel="0" collapsed="false">
      <c r="A288" s="18" t="str">
        <f aca="false">IF(AND('SC Change Orders'!$A270="",'SC Change Orders'!$B270="",'SC Change Orders'!$C270=""),"",270)</f>
        <v/>
      </c>
      <c r="B288" s="31" t="str">
        <f aca="false">IF($A288="","",'SC Change Orders'!$A270)</f>
        <v/>
      </c>
      <c r="C288" s="18" t="str">
        <f aca="false">IF($A288="","",'SC Change Orders'!$B270)</f>
        <v/>
      </c>
      <c r="D288" s="32" t="str">
        <f aca="false">IF($A288="","",'SC Change Orders'!$C270)</f>
        <v/>
      </c>
      <c r="E288" s="31" t="str">
        <f aca="false">IF($A288="","",'SC Change Orders'!$D270)</f>
        <v/>
      </c>
      <c r="F288" s="33" t="str">
        <f aca="false">IF($A288="","",'SC Change Orders'!$E270)</f>
        <v/>
      </c>
      <c r="G288" s="33" t="str">
        <f aca="false">IF($A288="","",'SC Change Orders'!$F270)</f>
        <v/>
      </c>
      <c r="H288" s="33" t="str">
        <f aca="false">IF($A288="","",'SC Change Orders'!$G270)</f>
        <v/>
      </c>
      <c r="I288" s="34" t="str">
        <f aca="false">IF($A288="","",IF(AND(ISNUMBER('SC Change Orders'!$C270),'SC Change Orders'!$C270&gt;=Controls!$C$5,'SC Change Orders'!$C270&lt;=Controls!$C$6),"Yes","No"))</f>
        <v/>
      </c>
      <c r="J288" s="31" t="str">
        <f aca="false">IF($A288="","",IF($K288="","OK",$K288))</f>
        <v/>
      </c>
      <c r="K288" s="0" t="str">
        <f aca="false">IF($A288="","",IF(NOT(ISNUMBER('SC Change Orders'!$B270)),"PO not numeric — row is invisible to the tracker; ","")&amp;IF(NOT(ISNUMBER('SC Change Orders'!$C270)),"Date missing or text — row excluded; ",  IF(OR('SC Change Orders'!$C270&lt;Controls!$C$5,'SC Change Orders'!$C270&gt;Controls!$C$6),"Dated outside the FY window — excluded; ",""))&amp;IF(AND('SC Change Orders'!$E270&lt;&gt;"",NOT(ISNUMBER('SC Change Orders'!$E270))),"Original Amount held as text — ignored by MINIFS; ","")&amp;IF(AND('SC Change Orders'!$F270&lt;&gt;"",NOT(ISNUMBER('SC Change Orders'!$F270))),"Amount Added held as text — ignored by SUMIFS; ","")&amp;IF(ISNUMBER('SC Change Orders'!$E270),IF(ISNUMBER('SC Change Orders'!$F270),IF(ISNUMBER('SC Change Orders'!$G270),  IF('SC Change Orders'!$G270&gt;0,IF(ROUND('SC Change Orders'!$E270+'SC Change Orders'!$F270,2)&lt;&gt;ROUND('SC Change Orders'!$G270,2),  "Original + Added &lt;&gt; Total Line Cost Allotted; ",""),""),""),""),"")&amp;IF(AND(ISNUMBER('SC Change Orders'!$B270),COUNTIFS('SC Change Orders'!$B$2:$B$501,'SC Change Orders'!$B270,'SC Change Orders'!$C$2:$C$501,'SC Change Orders'!$C270,'SC Change Orders'!$D$2:$D$501,'SC Change Orders'!$D270,'SC Change Orders'!$F$2:$F$501,'SC Change Orders'!$F270,'SC Change Orders'!$E$2:$E$501,'SC Change Orders'!$E270)&gt;1),"Duplicate of another row — funds counted twice; ","")&amp;IF(ISNUMBER('SC Change Orders'!$F270),IF('SC Change Orders'!$F270&lt;&gt;0,IF(AND(ISNUMBER('SC Change Orders'!$B270),NOT(COUNTIFS('SC Change Orders'!$B$2:$B$501,'SC Change Orders'!$B270,'SC Change Orders'!$C$2:$C$501,'SC Change Orders'!$C270,'SC Change Orders'!$D$2:$D$501,'SC Change Orders'!$D270,'SC Change Orders'!$F$2:$F$501,'SC Change Orders'!$F270,'SC Change Orders'!$E$2:$E$501,'SC Change Orders'!$E270)&gt;1),COUNTIFS('SC Change Orders'!$B$2:$B$501,'SC Change Orders'!$B270,'SC Change Orders'!$F$2:$F$501,'SC Change Orders'!$F270)&gt;1),  "Same PO and Amount Added as another row — check for a restatement counted twice; ",""),""),""))</f>
        <v/>
      </c>
    </row>
    <row r="289" customFormat="false" ht="15" hidden="false" customHeight="false" outlineLevel="0" collapsed="false">
      <c r="A289" s="18" t="str">
        <f aca="false">IF(AND('SC Change Orders'!$A271="",'SC Change Orders'!$B271="",'SC Change Orders'!$C271=""),"",271)</f>
        <v/>
      </c>
      <c r="B289" s="31" t="str">
        <f aca="false">IF($A289="","",'SC Change Orders'!$A271)</f>
        <v/>
      </c>
      <c r="C289" s="18" t="str">
        <f aca="false">IF($A289="","",'SC Change Orders'!$B271)</f>
        <v/>
      </c>
      <c r="D289" s="32" t="str">
        <f aca="false">IF($A289="","",'SC Change Orders'!$C271)</f>
        <v/>
      </c>
      <c r="E289" s="31" t="str">
        <f aca="false">IF($A289="","",'SC Change Orders'!$D271)</f>
        <v/>
      </c>
      <c r="F289" s="33" t="str">
        <f aca="false">IF($A289="","",'SC Change Orders'!$E271)</f>
        <v/>
      </c>
      <c r="G289" s="33" t="str">
        <f aca="false">IF($A289="","",'SC Change Orders'!$F271)</f>
        <v/>
      </c>
      <c r="H289" s="33" t="str">
        <f aca="false">IF($A289="","",'SC Change Orders'!$G271)</f>
        <v/>
      </c>
      <c r="I289" s="34" t="str">
        <f aca="false">IF($A289="","",IF(AND(ISNUMBER('SC Change Orders'!$C271),'SC Change Orders'!$C271&gt;=Controls!$C$5,'SC Change Orders'!$C271&lt;=Controls!$C$6),"Yes","No"))</f>
        <v/>
      </c>
      <c r="J289" s="31" t="str">
        <f aca="false">IF($A289="","",IF($K289="","OK",$K289))</f>
        <v/>
      </c>
      <c r="K289" s="0" t="str">
        <f aca="false">IF($A289="","",IF(NOT(ISNUMBER('SC Change Orders'!$B271)),"PO not numeric — row is invisible to the tracker; ","")&amp;IF(NOT(ISNUMBER('SC Change Orders'!$C271)),"Date missing or text — row excluded; ",  IF(OR('SC Change Orders'!$C271&lt;Controls!$C$5,'SC Change Orders'!$C271&gt;Controls!$C$6),"Dated outside the FY window — excluded; ",""))&amp;IF(AND('SC Change Orders'!$E271&lt;&gt;"",NOT(ISNUMBER('SC Change Orders'!$E271))),"Original Amount held as text — ignored by MINIFS; ","")&amp;IF(AND('SC Change Orders'!$F271&lt;&gt;"",NOT(ISNUMBER('SC Change Orders'!$F271))),"Amount Added held as text — ignored by SUMIFS; ","")&amp;IF(ISNUMBER('SC Change Orders'!$E271),IF(ISNUMBER('SC Change Orders'!$F271),IF(ISNUMBER('SC Change Orders'!$G271),  IF('SC Change Orders'!$G271&gt;0,IF(ROUND('SC Change Orders'!$E271+'SC Change Orders'!$F271,2)&lt;&gt;ROUND('SC Change Orders'!$G271,2),  "Original + Added &lt;&gt; Total Line Cost Allotted; ",""),""),""),""),"")&amp;IF(AND(ISNUMBER('SC Change Orders'!$B271),COUNTIFS('SC Change Orders'!$B$2:$B$501,'SC Change Orders'!$B271,'SC Change Orders'!$C$2:$C$501,'SC Change Orders'!$C271,'SC Change Orders'!$D$2:$D$501,'SC Change Orders'!$D271,'SC Change Orders'!$F$2:$F$501,'SC Change Orders'!$F271,'SC Change Orders'!$E$2:$E$501,'SC Change Orders'!$E271)&gt;1),"Duplicate of another row — funds counted twice; ","")&amp;IF(ISNUMBER('SC Change Orders'!$F271),IF('SC Change Orders'!$F271&lt;&gt;0,IF(AND(ISNUMBER('SC Change Orders'!$B271),NOT(COUNTIFS('SC Change Orders'!$B$2:$B$501,'SC Change Orders'!$B271,'SC Change Orders'!$C$2:$C$501,'SC Change Orders'!$C271,'SC Change Orders'!$D$2:$D$501,'SC Change Orders'!$D271,'SC Change Orders'!$F$2:$F$501,'SC Change Orders'!$F271,'SC Change Orders'!$E$2:$E$501,'SC Change Orders'!$E271)&gt;1),COUNTIFS('SC Change Orders'!$B$2:$B$501,'SC Change Orders'!$B271,'SC Change Orders'!$F$2:$F$501,'SC Change Orders'!$F271)&gt;1),  "Same PO and Amount Added as another row — check for a restatement counted twice; ",""),""),""))</f>
        <v/>
      </c>
    </row>
    <row r="290" customFormat="false" ht="15" hidden="false" customHeight="false" outlineLevel="0" collapsed="false">
      <c r="A290" s="18" t="str">
        <f aca="false">IF(AND('SC Change Orders'!$A272="",'SC Change Orders'!$B272="",'SC Change Orders'!$C272=""),"",272)</f>
        <v/>
      </c>
      <c r="B290" s="31" t="str">
        <f aca="false">IF($A290="","",'SC Change Orders'!$A272)</f>
        <v/>
      </c>
      <c r="C290" s="18" t="str">
        <f aca="false">IF($A290="","",'SC Change Orders'!$B272)</f>
        <v/>
      </c>
      <c r="D290" s="32" t="str">
        <f aca="false">IF($A290="","",'SC Change Orders'!$C272)</f>
        <v/>
      </c>
      <c r="E290" s="31" t="str">
        <f aca="false">IF($A290="","",'SC Change Orders'!$D272)</f>
        <v/>
      </c>
      <c r="F290" s="33" t="str">
        <f aca="false">IF($A290="","",'SC Change Orders'!$E272)</f>
        <v/>
      </c>
      <c r="G290" s="33" t="str">
        <f aca="false">IF($A290="","",'SC Change Orders'!$F272)</f>
        <v/>
      </c>
      <c r="H290" s="33" t="str">
        <f aca="false">IF($A290="","",'SC Change Orders'!$G272)</f>
        <v/>
      </c>
      <c r="I290" s="34" t="str">
        <f aca="false">IF($A290="","",IF(AND(ISNUMBER('SC Change Orders'!$C272),'SC Change Orders'!$C272&gt;=Controls!$C$5,'SC Change Orders'!$C272&lt;=Controls!$C$6),"Yes","No"))</f>
        <v/>
      </c>
      <c r="J290" s="31" t="str">
        <f aca="false">IF($A290="","",IF($K290="","OK",$K290))</f>
        <v/>
      </c>
      <c r="K290" s="0" t="str">
        <f aca="false">IF($A290="","",IF(NOT(ISNUMBER('SC Change Orders'!$B272)),"PO not numeric — row is invisible to the tracker; ","")&amp;IF(NOT(ISNUMBER('SC Change Orders'!$C272)),"Date missing or text — row excluded; ",  IF(OR('SC Change Orders'!$C272&lt;Controls!$C$5,'SC Change Orders'!$C272&gt;Controls!$C$6),"Dated outside the FY window — excluded; ",""))&amp;IF(AND('SC Change Orders'!$E272&lt;&gt;"",NOT(ISNUMBER('SC Change Orders'!$E272))),"Original Amount held as text — ignored by MINIFS; ","")&amp;IF(AND('SC Change Orders'!$F272&lt;&gt;"",NOT(ISNUMBER('SC Change Orders'!$F272))),"Amount Added held as text — ignored by SUMIFS; ","")&amp;IF(ISNUMBER('SC Change Orders'!$E272),IF(ISNUMBER('SC Change Orders'!$F272),IF(ISNUMBER('SC Change Orders'!$G272),  IF('SC Change Orders'!$G272&gt;0,IF(ROUND('SC Change Orders'!$E272+'SC Change Orders'!$F272,2)&lt;&gt;ROUND('SC Change Orders'!$G272,2),  "Original + Added &lt;&gt; Total Line Cost Allotted; ",""),""),""),""),"")&amp;IF(AND(ISNUMBER('SC Change Orders'!$B272),COUNTIFS('SC Change Orders'!$B$2:$B$501,'SC Change Orders'!$B272,'SC Change Orders'!$C$2:$C$501,'SC Change Orders'!$C272,'SC Change Orders'!$D$2:$D$501,'SC Change Orders'!$D272,'SC Change Orders'!$F$2:$F$501,'SC Change Orders'!$F272,'SC Change Orders'!$E$2:$E$501,'SC Change Orders'!$E272)&gt;1),"Duplicate of another row — funds counted twice; ","")&amp;IF(ISNUMBER('SC Change Orders'!$F272),IF('SC Change Orders'!$F272&lt;&gt;0,IF(AND(ISNUMBER('SC Change Orders'!$B272),NOT(COUNTIFS('SC Change Orders'!$B$2:$B$501,'SC Change Orders'!$B272,'SC Change Orders'!$C$2:$C$501,'SC Change Orders'!$C272,'SC Change Orders'!$D$2:$D$501,'SC Change Orders'!$D272,'SC Change Orders'!$F$2:$F$501,'SC Change Orders'!$F272,'SC Change Orders'!$E$2:$E$501,'SC Change Orders'!$E272)&gt;1),COUNTIFS('SC Change Orders'!$B$2:$B$501,'SC Change Orders'!$B272,'SC Change Orders'!$F$2:$F$501,'SC Change Orders'!$F272)&gt;1),  "Same PO and Amount Added as another row — check for a restatement counted twice; ",""),""),""))</f>
        <v/>
      </c>
    </row>
    <row r="291" customFormat="false" ht="15" hidden="false" customHeight="false" outlineLevel="0" collapsed="false">
      <c r="A291" s="18" t="str">
        <f aca="false">IF(AND('SC Change Orders'!$A273="",'SC Change Orders'!$B273="",'SC Change Orders'!$C273=""),"",273)</f>
        <v/>
      </c>
      <c r="B291" s="31" t="str">
        <f aca="false">IF($A291="","",'SC Change Orders'!$A273)</f>
        <v/>
      </c>
      <c r="C291" s="18" t="str">
        <f aca="false">IF($A291="","",'SC Change Orders'!$B273)</f>
        <v/>
      </c>
      <c r="D291" s="32" t="str">
        <f aca="false">IF($A291="","",'SC Change Orders'!$C273)</f>
        <v/>
      </c>
      <c r="E291" s="31" t="str">
        <f aca="false">IF($A291="","",'SC Change Orders'!$D273)</f>
        <v/>
      </c>
      <c r="F291" s="33" t="str">
        <f aca="false">IF($A291="","",'SC Change Orders'!$E273)</f>
        <v/>
      </c>
      <c r="G291" s="33" t="str">
        <f aca="false">IF($A291="","",'SC Change Orders'!$F273)</f>
        <v/>
      </c>
      <c r="H291" s="33" t="str">
        <f aca="false">IF($A291="","",'SC Change Orders'!$G273)</f>
        <v/>
      </c>
      <c r="I291" s="34" t="str">
        <f aca="false">IF($A291="","",IF(AND(ISNUMBER('SC Change Orders'!$C273),'SC Change Orders'!$C273&gt;=Controls!$C$5,'SC Change Orders'!$C273&lt;=Controls!$C$6),"Yes","No"))</f>
        <v/>
      </c>
      <c r="J291" s="31" t="str">
        <f aca="false">IF($A291="","",IF($K291="","OK",$K291))</f>
        <v/>
      </c>
      <c r="K291" s="0" t="str">
        <f aca="false">IF($A291="","",IF(NOT(ISNUMBER('SC Change Orders'!$B273)),"PO not numeric — row is invisible to the tracker; ","")&amp;IF(NOT(ISNUMBER('SC Change Orders'!$C273)),"Date missing or text — row excluded; ",  IF(OR('SC Change Orders'!$C273&lt;Controls!$C$5,'SC Change Orders'!$C273&gt;Controls!$C$6),"Dated outside the FY window — excluded; ",""))&amp;IF(AND('SC Change Orders'!$E273&lt;&gt;"",NOT(ISNUMBER('SC Change Orders'!$E273))),"Original Amount held as text — ignored by MINIFS; ","")&amp;IF(AND('SC Change Orders'!$F273&lt;&gt;"",NOT(ISNUMBER('SC Change Orders'!$F273))),"Amount Added held as text — ignored by SUMIFS; ","")&amp;IF(ISNUMBER('SC Change Orders'!$E273),IF(ISNUMBER('SC Change Orders'!$F273),IF(ISNUMBER('SC Change Orders'!$G273),  IF('SC Change Orders'!$G273&gt;0,IF(ROUND('SC Change Orders'!$E273+'SC Change Orders'!$F273,2)&lt;&gt;ROUND('SC Change Orders'!$G273,2),  "Original + Added &lt;&gt; Total Line Cost Allotted; ",""),""),""),""),"")&amp;IF(AND(ISNUMBER('SC Change Orders'!$B273),COUNTIFS('SC Change Orders'!$B$2:$B$501,'SC Change Orders'!$B273,'SC Change Orders'!$C$2:$C$501,'SC Change Orders'!$C273,'SC Change Orders'!$D$2:$D$501,'SC Change Orders'!$D273,'SC Change Orders'!$F$2:$F$501,'SC Change Orders'!$F273,'SC Change Orders'!$E$2:$E$501,'SC Change Orders'!$E273)&gt;1),"Duplicate of another row — funds counted twice; ","")&amp;IF(ISNUMBER('SC Change Orders'!$F273),IF('SC Change Orders'!$F273&lt;&gt;0,IF(AND(ISNUMBER('SC Change Orders'!$B273),NOT(COUNTIFS('SC Change Orders'!$B$2:$B$501,'SC Change Orders'!$B273,'SC Change Orders'!$C$2:$C$501,'SC Change Orders'!$C273,'SC Change Orders'!$D$2:$D$501,'SC Change Orders'!$D273,'SC Change Orders'!$F$2:$F$501,'SC Change Orders'!$F273,'SC Change Orders'!$E$2:$E$501,'SC Change Orders'!$E273)&gt;1),COUNTIFS('SC Change Orders'!$B$2:$B$501,'SC Change Orders'!$B273,'SC Change Orders'!$F$2:$F$501,'SC Change Orders'!$F273)&gt;1),  "Same PO and Amount Added as another row — check for a restatement counted twice; ",""),""),""))</f>
        <v/>
      </c>
    </row>
    <row r="292" customFormat="false" ht="15" hidden="false" customHeight="false" outlineLevel="0" collapsed="false">
      <c r="A292" s="18" t="str">
        <f aca="false">IF(AND('SC Change Orders'!$A274="",'SC Change Orders'!$B274="",'SC Change Orders'!$C274=""),"",274)</f>
        <v/>
      </c>
      <c r="B292" s="31" t="str">
        <f aca="false">IF($A292="","",'SC Change Orders'!$A274)</f>
        <v/>
      </c>
      <c r="C292" s="18" t="str">
        <f aca="false">IF($A292="","",'SC Change Orders'!$B274)</f>
        <v/>
      </c>
      <c r="D292" s="32" t="str">
        <f aca="false">IF($A292="","",'SC Change Orders'!$C274)</f>
        <v/>
      </c>
      <c r="E292" s="31" t="str">
        <f aca="false">IF($A292="","",'SC Change Orders'!$D274)</f>
        <v/>
      </c>
      <c r="F292" s="33" t="str">
        <f aca="false">IF($A292="","",'SC Change Orders'!$E274)</f>
        <v/>
      </c>
      <c r="G292" s="33" t="str">
        <f aca="false">IF($A292="","",'SC Change Orders'!$F274)</f>
        <v/>
      </c>
      <c r="H292" s="33" t="str">
        <f aca="false">IF($A292="","",'SC Change Orders'!$G274)</f>
        <v/>
      </c>
      <c r="I292" s="34" t="str">
        <f aca="false">IF($A292="","",IF(AND(ISNUMBER('SC Change Orders'!$C274),'SC Change Orders'!$C274&gt;=Controls!$C$5,'SC Change Orders'!$C274&lt;=Controls!$C$6),"Yes","No"))</f>
        <v/>
      </c>
      <c r="J292" s="31" t="str">
        <f aca="false">IF($A292="","",IF($K292="","OK",$K292))</f>
        <v/>
      </c>
      <c r="K292" s="0" t="str">
        <f aca="false">IF($A292="","",IF(NOT(ISNUMBER('SC Change Orders'!$B274)),"PO not numeric — row is invisible to the tracker; ","")&amp;IF(NOT(ISNUMBER('SC Change Orders'!$C274)),"Date missing or text — row excluded; ",  IF(OR('SC Change Orders'!$C274&lt;Controls!$C$5,'SC Change Orders'!$C274&gt;Controls!$C$6),"Dated outside the FY window — excluded; ",""))&amp;IF(AND('SC Change Orders'!$E274&lt;&gt;"",NOT(ISNUMBER('SC Change Orders'!$E274))),"Original Amount held as text — ignored by MINIFS; ","")&amp;IF(AND('SC Change Orders'!$F274&lt;&gt;"",NOT(ISNUMBER('SC Change Orders'!$F274))),"Amount Added held as text — ignored by SUMIFS; ","")&amp;IF(ISNUMBER('SC Change Orders'!$E274),IF(ISNUMBER('SC Change Orders'!$F274),IF(ISNUMBER('SC Change Orders'!$G274),  IF('SC Change Orders'!$G274&gt;0,IF(ROUND('SC Change Orders'!$E274+'SC Change Orders'!$F274,2)&lt;&gt;ROUND('SC Change Orders'!$G274,2),  "Original + Added &lt;&gt; Total Line Cost Allotted; ",""),""),""),""),"")&amp;IF(AND(ISNUMBER('SC Change Orders'!$B274),COUNTIFS('SC Change Orders'!$B$2:$B$501,'SC Change Orders'!$B274,'SC Change Orders'!$C$2:$C$501,'SC Change Orders'!$C274,'SC Change Orders'!$D$2:$D$501,'SC Change Orders'!$D274,'SC Change Orders'!$F$2:$F$501,'SC Change Orders'!$F274,'SC Change Orders'!$E$2:$E$501,'SC Change Orders'!$E274)&gt;1),"Duplicate of another row — funds counted twice; ","")&amp;IF(ISNUMBER('SC Change Orders'!$F274),IF('SC Change Orders'!$F274&lt;&gt;0,IF(AND(ISNUMBER('SC Change Orders'!$B274),NOT(COUNTIFS('SC Change Orders'!$B$2:$B$501,'SC Change Orders'!$B274,'SC Change Orders'!$C$2:$C$501,'SC Change Orders'!$C274,'SC Change Orders'!$D$2:$D$501,'SC Change Orders'!$D274,'SC Change Orders'!$F$2:$F$501,'SC Change Orders'!$F274,'SC Change Orders'!$E$2:$E$501,'SC Change Orders'!$E274)&gt;1),COUNTIFS('SC Change Orders'!$B$2:$B$501,'SC Change Orders'!$B274,'SC Change Orders'!$F$2:$F$501,'SC Change Orders'!$F274)&gt;1),  "Same PO and Amount Added as another row — check for a restatement counted twice; ",""),""),""))</f>
        <v/>
      </c>
    </row>
    <row r="293" customFormat="false" ht="15" hidden="false" customHeight="false" outlineLevel="0" collapsed="false">
      <c r="A293" s="18" t="str">
        <f aca="false">IF(AND('SC Change Orders'!$A275="",'SC Change Orders'!$B275="",'SC Change Orders'!$C275=""),"",275)</f>
        <v/>
      </c>
      <c r="B293" s="31" t="str">
        <f aca="false">IF($A293="","",'SC Change Orders'!$A275)</f>
        <v/>
      </c>
      <c r="C293" s="18" t="str">
        <f aca="false">IF($A293="","",'SC Change Orders'!$B275)</f>
        <v/>
      </c>
      <c r="D293" s="32" t="str">
        <f aca="false">IF($A293="","",'SC Change Orders'!$C275)</f>
        <v/>
      </c>
      <c r="E293" s="31" t="str">
        <f aca="false">IF($A293="","",'SC Change Orders'!$D275)</f>
        <v/>
      </c>
      <c r="F293" s="33" t="str">
        <f aca="false">IF($A293="","",'SC Change Orders'!$E275)</f>
        <v/>
      </c>
      <c r="G293" s="33" t="str">
        <f aca="false">IF($A293="","",'SC Change Orders'!$F275)</f>
        <v/>
      </c>
      <c r="H293" s="33" t="str">
        <f aca="false">IF($A293="","",'SC Change Orders'!$G275)</f>
        <v/>
      </c>
      <c r="I293" s="34" t="str">
        <f aca="false">IF($A293="","",IF(AND(ISNUMBER('SC Change Orders'!$C275),'SC Change Orders'!$C275&gt;=Controls!$C$5,'SC Change Orders'!$C275&lt;=Controls!$C$6),"Yes","No"))</f>
        <v/>
      </c>
      <c r="J293" s="31" t="str">
        <f aca="false">IF($A293="","",IF($K293="","OK",$K293))</f>
        <v/>
      </c>
      <c r="K293" s="0" t="str">
        <f aca="false">IF($A293="","",IF(NOT(ISNUMBER('SC Change Orders'!$B275)),"PO not numeric — row is invisible to the tracker; ","")&amp;IF(NOT(ISNUMBER('SC Change Orders'!$C275)),"Date missing or text — row excluded; ",  IF(OR('SC Change Orders'!$C275&lt;Controls!$C$5,'SC Change Orders'!$C275&gt;Controls!$C$6),"Dated outside the FY window — excluded; ",""))&amp;IF(AND('SC Change Orders'!$E275&lt;&gt;"",NOT(ISNUMBER('SC Change Orders'!$E275))),"Original Amount held as text — ignored by MINIFS; ","")&amp;IF(AND('SC Change Orders'!$F275&lt;&gt;"",NOT(ISNUMBER('SC Change Orders'!$F275))),"Amount Added held as text — ignored by SUMIFS; ","")&amp;IF(ISNUMBER('SC Change Orders'!$E275),IF(ISNUMBER('SC Change Orders'!$F275),IF(ISNUMBER('SC Change Orders'!$G275),  IF('SC Change Orders'!$G275&gt;0,IF(ROUND('SC Change Orders'!$E275+'SC Change Orders'!$F275,2)&lt;&gt;ROUND('SC Change Orders'!$G275,2),  "Original + Added &lt;&gt; Total Line Cost Allotted; ",""),""),""),""),"")&amp;IF(AND(ISNUMBER('SC Change Orders'!$B275),COUNTIFS('SC Change Orders'!$B$2:$B$501,'SC Change Orders'!$B275,'SC Change Orders'!$C$2:$C$501,'SC Change Orders'!$C275,'SC Change Orders'!$D$2:$D$501,'SC Change Orders'!$D275,'SC Change Orders'!$F$2:$F$501,'SC Change Orders'!$F275,'SC Change Orders'!$E$2:$E$501,'SC Change Orders'!$E275)&gt;1),"Duplicate of another row — funds counted twice; ","")&amp;IF(ISNUMBER('SC Change Orders'!$F275),IF('SC Change Orders'!$F275&lt;&gt;0,IF(AND(ISNUMBER('SC Change Orders'!$B275),NOT(COUNTIFS('SC Change Orders'!$B$2:$B$501,'SC Change Orders'!$B275,'SC Change Orders'!$C$2:$C$501,'SC Change Orders'!$C275,'SC Change Orders'!$D$2:$D$501,'SC Change Orders'!$D275,'SC Change Orders'!$F$2:$F$501,'SC Change Orders'!$F275,'SC Change Orders'!$E$2:$E$501,'SC Change Orders'!$E275)&gt;1),COUNTIFS('SC Change Orders'!$B$2:$B$501,'SC Change Orders'!$B275,'SC Change Orders'!$F$2:$F$501,'SC Change Orders'!$F275)&gt;1),  "Same PO and Amount Added as another row — check for a restatement counted twice; ",""),""),""))</f>
        <v/>
      </c>
    </row>
    <row r="294" customFormat="false" ht="15" hidden="false" customHeight="false" outlineLevel="0" collapsed="false">
      <c r="A294" s="18" t="str">
        <f aca="false">IF(AND('SC Change Orders'!$A276="",'SC Change Orders'!$B276="",'SC Change Orders'!$C276=""),"",276)</f>
        <v/>
      </c>
      <c r="B294" s="31" t="str">
        <f aca="false">IF($A294="","",'SC Change Orders'!$A276)</f>
        <v/>
      </c>
      <c r="C294" s="18" t="str">
        <f aca="false">IF($A294="","",'SC Change Orders'!$B276)</f>
        <v/>
      </c>
      <c r="D294" s="32" t="str">
        <f aca="false">IF($A294="","",'SC Change Orders'!$C276)</f>
        <v/>
      </c>
      <c r="E294" s="31" t="str">
        <f aca="false">IF($A294="","",'SC Change Orders'!$D276)</f>
        <v/>
      </c>
      <c r="F294" s="33" t="str">
        <f aca="false">IF($A294="","",'SC Change Orders'!$E276)</f>
        <v/>
      </c>
      <c r="G294" s="33" t="str">
        <f aca="false">IF($A294="","",'SC Change Orders'!$F276)</f>
        <v/>
      </c>
      <c r="H294" s="33" t="str">
        <f aca="false">IF($A294="","",'SC Change Orders'!$G276)</f>
        <v/>
      </c>
      <c r="I294" s="34" t="str">
        <f aca="false">IF($A294="","",IF(AND(ISNUMBER('SC Change Orders'!$C276),'SC Change Orders'!$C276&gt;=Controls!$C$5,'SC Change Orders'!$C276&lt;=Controls!$C$6),"Yes","No"))</f>
        <v/>
      </c>
      <c r="J294" s="31" t="str">
        <f aca="false">IF($A294="","",IF($K294="","OK",$K294))</f>
        <v/>
      </c>
      <c r="K294" s="0" t="str">
        <f aca="false">IF($A294="","",IF(NOT(ISNUMBER('SC Change Orders'!$B276)),"PO not numeric — row is invisible to the tracker; ","")&amp;IF(NOT(ISNUMBER('SC Change Orders'!$C276)),"Date missing or text — row excluded; ",  IF(OR('SC Change Orders'!$C276&lt;Controls!$C$5,'SC Change Orders'!$C276&gt;Controls!$C$6),"Dated outside the FY window — excluded; ",""))&amp;IF(AND('SC Change Orders'!$E276&lt;&gt;"",NOT(ISNUMBER('SC Change Orders'!$E276))),"Original Amount held as text — ignored by MINIFS; ","")&amp;IF(AND('SC Change Orders'!$F276&lt;&gt;"",NOT(ISNUMBER('SC Change Orders'!$F276))),"Amount Added held as text — ignored by SUMIFS; ","")&amp;IF(ISNUMBER('SC Change Orders'!$E276),IF(ISNUMBER('SC Change Orders'!$F276),IF(ISNUMBER('SC Change Orders'!$G276),  IF('SC Change Orders'!$G276&gt;0,IF(ROUND('SC Change Orders'!$E276+'SC Change Orders'!$F276,2)&lt;&gt;ROUND('SC Change Orders'!$G276,2),  "Original + Added &lt;&gt; Total Line Cost Allotted; ",""),""),""),""),"")&amp;IF(AND(ISNUMBER('SC Change Orders'!$B276),COUNTIFS('SC Change Orders'!$B$2:$B$501,'SC Change Orders'!$B276,'SC Change Orders'!$C$2:$C$501,'SC Change Orders'!$C276,'SC Change Orders'!$D$2:$D$501,'SC Change Orders'!$D276,'SC Change Orders'!$F$2:$F$501,'SC Change Orders'!$F276,'SC Change Orders'!$E$2:$E$501,'SC Change Orders'!$E276)&gt;1),"Duplicate of another row — funds counted twice; ","")&amp;IF(ISNUMBER('SC Change Orders'!$F276),IF('SC Change Orders'!$F276&lt;&gt;0,IF(AND(ISNUMBER('SC Change Orders'!$B276),NOT(COUNTIFS('SC Change Orders'!$B$2:$B$501,'SC Change Orders'!$B276,'SC Change Orders'!$C$2:$C$501,'SC Change Orders'!$C276,'SC Change Orders'!$D$2:$D$501,'SC Change Orders'!$D276,'SC Change Orders'!$F$2:$F$501,'SC Change Orders'!$F276,'SC Change Orders'!$E$2:$E$501,'SC Change Orders'!$E276)&gt;1),COUNTIFS('SC Change Orders'!$B$2:$B$501,'SC Change Orders'!$B276,'SC Change Orders'!$F$2:$F$501,'SC Change Orders'!$F276)&gt;1),  "Same PO and Amount Added as another row — check for a restatement counted twice; ",""),""),""))</f>
        <v/>
      </c>
    </row>
    <row r="295" customFormat="false" ht="15" hidden="false" customHeight="false" outlineLevel="0" collapsed="false">
      <c r="A295" s="18" t="str">
        <f aca="false">IF(AND('SC Change Orders'!$A277="",'SC Change Orders'!$B277="",'SC Change Orders'!$C277=""),"",277)</f>
        <v/>
      </c>
      <c r="B295" s="31" t="str">
        <f aca="false">IF($A295="","",'SC Change Orders'!$A277)</f>
        <v/>
      </c>
      <c r="C295" s="18" t="str">
        <f aca="false">IF($A295="","",'SC Change Orders'!$B277)</f>
        <v/>
      </c>
      <c r="D295" s="32" t="str">
        <f aca="false">IF($A295="","",'SC Change Orders'!$C277)</f>
        <v/>
      </c>
      <c r="E295" s="31" t="str">
        <f aca="false">IF($A295="","",'SC Change Orders'!$D277)</f>
        <v/>
      </c>
      <c r="F295" s="33" t="str">
        <f aca="false">IF($A295="","",'SC Change Orders'!$E277)</f>
        <v/>
      </c>
      <c r="G295" s="33" t="str">
        <f aca="false">IF($A295="","",'SC Change Orders'!$F277)</f>
        <v/>
      </c>
      <c r="H295" s="33" t="str">
        <f aca="false">IF($A295="","",'SC Change Orders'!$G277)</f>
        <v/>
      </c>
      <c r="I295" s="34" t="str">
        <f aca="false">IF($A295="","",IF(AND(ISNUMBER('SC Change Orders'!$C277),'SC Change Orders'!$C277&gt;=Controls!$C$5,'SC Change Orders'!$C277&lt;=Controls!$C$6),"Yes","No"))</f>
        <v/>
      </c>
      <c r="J295" s="31" t="str">
        <f aca="false">IF($A295="","",IF($K295="","OK",$K295))</f>
        <v/>
      </c>
      <c r="K295" s="0" t="str">
        <f aca="false">IF($A295="","",IF(NOT(ISNUMBER('SC Change Orders'!$B277)),"PO not numeric — row is invisible to the tracker; ","")&amp;IF(NOT(ISNUMBER('SC Change Orders'!$C277)),"Date missing or text — row excluded; ",  IF(OR('SC Change Orders'!$C277&lt;Controls!$C$5,'SC Change Orders'!$C277&gt;Controls!$C$6),"Dated outside the FY window — excluded; ",""))&amp;IF(AND('SC Change Orders'!$E277&lt;&gt;"",NOT(ISNUMBER('SC Change Orders'!$E277))),"Original Amount held as text — ignored by MINIFS; ","")&amp;IF(AND('SC Change Orders'!$F277&lt;&gt;"",NOT(ISNUMBER('SC Change Orders'!$F277))),"Amount Added held as text — ignored by SUMIFS; ","")&amp;IF(ISNUMBER('SC Change Orders'!$E277),IF(ISNUMBER('SC Change Orders'!$F277),IF(ISNUMBER('SC Change Orders'!$G277),  IF('SC Change Orders'!$G277&gt;0,IF(ROUND('SC Change Orders'!$E277+'SC Change Orders'!$F277,2)&lt;&gt;ROUND('SC Change Orders'!$G277,2),  "Original + Added &lt;&gt; Total Line Cost Allotted; ",""),""),""),""),"")&amp;IF(AND(ISNUMBER('SC Change Orders'!$B277),COUNTIFS('SC Change Orders'!$B$2:$B$501,'SC Change Orders'!$B277,'SC Change Orders'!$C$2:$C$501,'SC Change Orders'!$C277,'SC Change Orders'!$D$2:$D$501,'SC Change Orders'!$D277,'SC Change Orders'!$F$2:$F$501,'SC Change Orders'!$F277,'SC Change Orders'!$E$2:$E$501,'SC Change Orders'!$E277)&gt;1),"Duplicate of another row — funds counted twice; ","")&amp;IF(ISNUMBER('SC Change Orders'!$F277),IF('SC Change Orders'!$F277&lt;&gt;0,IF(AND(ISNUMBER('SC Change Orders'!$B277),NOT(COUNTIFS('SC Change Orders'!$B$2:$B$501,'SC Change Orders'!$B277,'SC Change Orders'!$C$2:$C$501,'SC Change Orders'!$C277,'SC Change Orders'!$D$2:$D$501,'SC Change Orders'!$D277,'SC Change Orders'!$F$2:$F$501,'SC Change Orders'!$F277,'SC Change Orders'!$E$2:$E$501,'SC Change Orders'!$E277)&gt;1),COUNTIFS('SC Change Orders'!$B$2:$B$501,'SC Change Orders'!$B277,'SC Change Orders'!$F$2:$F$501,'SC Change Orders'!$F277)&gt;1),  "Same PO and Amount Added as another row — check for a restatement counted twice; ",""),""),""))</f>
        <v/>
      </c>
    </row>
    <row r="296" customFormat="false" ht="15" hidden="false" customHeight="false" outlineLevel="0" collapsed="false">
      <c r="A296" s="18" t="str">
        <f aca="false">IF(AND('SC Change Orders'!$A278="",'SC Change Orders'!$B278="",'SC Change Orders'!$C278=""),"",278)</f>
        <v/>
      </c>
      <c r="B296" s="31" t="str">
        <f aca="false">IF($A296="","",'SC Change Orders'!$A278)</f>
        <v/>
      </c>
      <c r="C296" s="18" t="str">
        <f aca="false">IF($A296="","",'SC Change Orders'!$B278)</f>
        <v/>
      </c>
      <c r="D296" s="32" t="str">
        <f aca="false">IF($A296="","",'SC Change Orders'!$C278)</f>
        <v/>
      </c>
      <c r="E296" s="31" t="str">
        <f aca="false">IF($A296="","",'SC Change Orders'!$D278)</f>
        <v/>
      </c>
      <c r="F296" s="33" t="str">
        <f aca="false">IF($A296="","",'SC Change Orders'!$E278)</f>
        <v/>
      </c>
      <c r="G296" s="33" t="str">
        <f aca="false">IF($A296="","",'SC Change Orders'!$F278)</f>
        <v/>
      </c>
      <c r="H296" s="33" t="str">
        <f aca="false">IF($A296="","",'SC Change Orders'!$G278)</f>
        <v/>
      </c>
      <c r="I296" s="34" t="str">
        <f aca="false">IF($A296="","",IF(AND(ISNUMBER('SC Change Orders'!$C278),'SC Change Orders'!$C278&gt;=Controls!$C$5,'SC Change Orders'!$C278&lt;=Controls!$C$6),"Yes","No"))</f>
        <v/>
      </c>
      <c r="J296" s="31" t="str">
        <f aca="false">IF($A296="","",IF($K296="","OK",$K296))</f>
        <v/>
      </c>
      <c r="K296" s="0" t="str">
        <f aca="false">IF($A296="","",IF(NOT(ISNUMBER('SC Change Orders'!$B278)),"PO not numeric — row is invisible to the tracker; ","")&amp;IF(NOT(ISNUMBER('SC Change Orders'!$C278)),"Date missing or text — row excluded; ",  IF(OR('SC Change Orders'!$C278&lt;Controls!$C$5,'SC Change Orders'!$C278&gt;Controls!$C$6),"Dated outside the FY window — excluded; ",""))&amp;IF(AND('SC Change Orders'!$E278&lt;&gt;"",NOT(ISNUMBER('SC Change Orders'!$E278))),"Original Amount held as text — ignored by MINIFS; ","")&amp;IF(AND('SC Change Orders'!$F278&lt;&gt;"",NOT(ISNUMBER('SC Change Orders'!$F278))),"Amount Added held as text — ignored by SUMIFS; ","")&amp;IF(ISNUMBER('SC Change Orders'!$E278),IF(ISNUMBER('SC Change Orders'!$F278),IF(ISNUMBER('SC Change Orders'!$G278),  IF('SC Change Orders'!$G278&gt;0,IF(ROUND('SC Change Orders'!$E278+'SC Change Orders'!$F278,2)&lt;&gt;ROUND('SC Change Orders'!$G278,2),  "Original + Added &lt;&gt; Total Line Cost Allotted; ",""),""),""),""),"")&amp;IF(AND(ISNUMBER('SC Change Orders'!$B278),COUNTIFS('SC Change Orders'!$B$2:$B$501,'SC Change Orders'!$B278,'SC Change Orders'!$C$2:$C$501,'SC Change Orders'!$C278,'SC Change Orders'!$D$2:$D$501,'SC Change Orders'!$D278,'SC Change Orders'!$F$2:$F$501,'SC Change Orders'!$F278,'SC Change Orders'!$E$2:$E$501,'SC Change Orders'!$E278)&gt;1),"Duplicate of another row — funds counted twice; ","")&amp;IF(ISNUMBER('SC Change Orders'!$F278),IF('SC Change Orders'!$F278&lt;&gt;0,IF(AND(ISNUMBER('SC Change Orders'!$B278),NOT(COUNTIFS('SC Change Orders'!$B$2:$B$501,'SC Change Orders'!$B278,'SC Change Orders'!$C$2:$C$501,'SC Change Orders'!$C278,'SC Change Orders'!$D$2:$D$501,'SC Change Orders'!$D278,'SC Change Orders'!$F$2:$F$501,'SC Change Orders'!$F278,'SC Change Orders'!$E$2:$E$501,'SC Change Orders'!$E278)&gt;1),COUNTIFS('SC Change Orders'!$B$2:$B$501,'SC Change Orders'!$B278,'SC Change Orders'!$F$2:$F$501,'SC Change Orders'!$F278)&gt;1),  "Same PO and Amount Added as another row — check for a restatement counted twice; ",""),""),""))</f>
        <v/>
      </c>
    </row>
    <row r="297" customFormat="false" ht="15" hidden="false" customHeight="false" outlineLevel="0" collapsed="false">
      <c r="A297" s="18" t="str">
        <f aca="false">IF(AND('SC Change Orders'!$A279="",'SC Change Orders'!$B279="",'SC Change Orders'!$C279=""),"",279)</f>
        <v/>
      </c>
      <c r="B297" s="31" t="str">
        <f aca="false">IF($A297="","",'SC Change Orders'!$A279)</f>
        <v/>
      </c>
      <c r="C297" s="18" t="str">
        <f aca="false">IF($A297="","",'SC Change Orders'!$B279)</f>
        <v/>
      </c>
      <c r="D297" s="32" t="str">
        <f aca="false">IF($A297="","",'SC Change Orders'!$C279)</f>
        <v/>
      </c>
      <c r="E297" s="31" t="str">
        <f aca="false">IF($A297="","",'SC Change Orders'!$D279)</f>
        <v/>
      </c>
      <c r="F297" s="33" t="str">
        <f aca="false">IF($A297="","",'SC Change Orders'!$E279)</f>
        <v/>
      </c>
      <c r="G297" s="33" t="str">
        <f aca="false">IF($A297="","",'SC Change Orders'!$F279)</f>
        <v/>
      </c>
      <c r="H297" s="33" t="str">
        <f aca="false">IF($A297="","",'SC Change Orders'!$G279)</f>
        <v/>
      </c>
      <c r="I297" s="34" t="str">
        <f aca="false">IF($A297="","",IF(AND(ISNUMBER('SC Change Orders'!$C279),'SC Change Orders'!$C279&gt;=Controls!$C$5,'SC Change Orders'!$C279&lt;=Controls!$C$6),"Yes","No"))</f>
        <v/>
      </c>
      <c r="J297" s="31" t="str">
        <f aca="false">IF($A297="","",IF($K297="","OK",$K297))</f>
        <v/>
      </c>
      <c r="K297" s="0" t="str">
        <f aca="false">IF($A297="","",IF(NOT(ISNUMBER('SC Change Orders'!$B279)),"PO not numeric — row is invisible to the tracker; ","")&amp;IF(NOT(ISNUMBER('SC Change Orders'!$C279)),"Date missing or text — row excluded; ",  IF(OR('SC Change Orders'!$C279&lt;Controls!$C$5,'SC Change Orders'!$C279&gt;Controls!$C$6),"Dated outside the FY window — excluded; ",""))&amp;IF(AND('SC Change Orders'!$E279&lt;&gt;"",NOT(ISNUMBER('SC Change Orders'!$E279))),"Original Amount held as text — ignored by MINIFS; ","")&amp;IF(AND('SC Change Orders'!$F279&lt;&gt;"",NOT(ISNUMBER('SC Change Orders'!$F279))),"Amount Added held as text — ignored by SUMIFS; ","")&amp;IF(ISNUMBER('SC Change Orders'!$E279),IF(ISNUMBER('SC Change Orders'!$F279),IF(ISNUMBER('SC Change Orders'!$G279),  IF('SC Change Orders'!$G279&gt;0,IF(ROUND('SC Change Orders'!$E279+'SC Change Orders'!$F279,2)&lt;&gt;ROUND('SC Change Orders'!$G279,2),  "Original + Added &lt;&gt; Total Line Cost Allotted; ",""),""),""),""),"")&amp;IF(AND(ISNUMBER('SC Change Orders'!$B279),COUNTIFS('SC Change Orders'!$B$2:$B$501,'SC Change Orders'!$B279,'SC Change Orders'!$C$2:$C$501,'SC Change Orders'!$C279,'SC Change Orders'!$D$2:$D$501,'SC Change Orders'!$D279,'SC Change Orders'!$F$2:$F$501,'SC Change Orders'!$F279,'SC Change Orders'!$E$2:$E$501,'SC Change Orders'!$E279)&gt;1),"Duplicate of another row — funds counted twice; ","")&amp;IF(ISNUMBER('SC Change Orders'!$F279),IF('SC Change Orders'!$F279&lt;&gt;0,IF(AND(ISNUMBER('SC Change Orders'!$B279),NOT(COUNTIFS('SC Change Orders'!$B$2:$B$501,'SC Change Orders'!$B279,'SC Change Orders'!$C$2:$C$501,'SC Change Orders'!$C279,'SC Change Orders'!$D$2:$D$501,'SC Change Orders'!$D279,'SC Change Orders'!$F$2:$F$501,'SC Change Orders'!$F279,'SC Change Orders'!$E$2:$E$501,'SC Change Orders'!$E279)&gt;1),COUNTIFS('SC Change Orders'!$B$2:$B$501,'SC Change Orders'!$B279,'SC Change Orders'!$F$2:$F$501,'SC Change Orders'!$F279)&gt;1),  "Same PO and Amount Added as another row — check for a restatement counted twice; ",""),""),""))</f>
        <v/>
      </c>
    </row>
    <row r="298" customFormat="false" ht="15" hidden="false" customHeight="false" outlineLevel="0" collapsed="false">
      <c r="A298" s="18" t="str">
        <f aca="false">IF(AND('SC Change Orders'!$A280="",'SC Change Orders'!$B280="",'SC Change Orders'!$C280=""),"",280)</f>
        <v/>
      </c>
      <c r="B298" s="31" t="str">
        <f aca="false">IF($A298="","",'SC Change Orders'!$A280)</f>
        <v/>
      </c>
      <c r="C298" s="18" t="str">
        <f aca="false">IF($A298="","",'SC Change Orders'!$B280)</f>
        <v/>
      </c>
      <c r="D298" s="32" t="str">
        <f aca="false">IF($A298="","",'SC Change Orders'!$C280)</f>
        <v/>
      </c>
      <c r="E298" s="31" t="str">
        <f aca="false">IF($A298="","",'SC Change Orders'!$D280)</f>
        <v/>
      </c>
      <c r="F298" s="33" t="str">
        <f aca="false">IF($A298="","",'SC Change Orders'!$E280)</f>
        <v/>
      </c>
      <c r="G298" s="33" t="str">
        <f aca="false">IF($A298="","",'SC Change Orders'!$F280)</f>
        <v/>
      </c>
      <c r="H298" s="33" t="str">
        <f aca="false">IF($A298="","",'SC Change Orders'!$G280)</f>
        <v/>
      </c>
      <c r="I298" s="34" t="str">
        <f aca="false">IF($A298="","",IF(AND(ISNUMBER('SC Change Orders'!$C280),'SC Change Orders'!$C280&gt;=Controls!$C$5,'SC Change Orders'!$C280&lt;=Controls!$C$6),"Yes","No"))</f>
        <v/>
      </c>
      <c r="J298" s="31" t="str">
        <f aca="false">IF($A298="","",IF($K298="","OK",$K298))</f>
        <v/>
      </c>
      <c r="K298" s="0" t="str">
        <f aca="false">IF($A298="","",IF(NOT(ISNUMBER('SC Change Orders'!$B280)),"PO not numeric — row is invisible to the tracker; ","")&amp;IF(NOT(ISNUMBER('SC Change Orders'!$C280)),"Date missing or text — row excluded; ",  IF(OR('SC Change Orders'!$C280&lt;Controls!$C$5,'SC Change Orders'!$C280&gt;Controls!$C$6),"Dated outside the FY window — excluded; ",""))&amp;IF(AND('SC Change Orders'!$E280&lt;&gt;"",NOT(ISNUMBER('SC Change Orders'!$E280))),"Original Amount held as text — ignored by MINIFS; ","")&amp;IF(AND('SC Change Orders'!$F280&lt;&gt;"",NOT(ISNUMBER('SC Change Orders'!$F280))),"Amount Added held as text — ignored by SUMIFS; ","")&amp;IF(ISNUMBER('SC Change Orders'!$E280),IF(ISNUMBER('SC Change Orders'!$F280),IF(ISNUMBER('SC Change Orders'!$G280),  IF('SC Change Orders'!$G280&gt;0,IF(ROUND('SC Change Orders'!$E280+'SC Change Orders'!$F280,2)&lt;&gt;ROUND('SC Change Orders'!$G280,2),  "Original + Added &lt;&gt; Total Line Cost Allotted; ",""),""),""),""),"")&amp;IF(AND(ISNUMBER('SC Change Orders'!$B280),COUNTIFS('SC Change Orders'!$B$2:$B$501,'SC Change Orders'!$B280,'SC Change Orders'!$C$2:$C$501,'SC Change Orders'!$C280,'SC Change Orders'!$D$2:$D$501,'SC Change Orders'!$D280,'SC Change Orders'!$F$2:$F$501,'SC Change Orders'!$F280,'SC Change Orders'!$E$2:$E$501,'SC Change Orders'!$E280)&gt;1),"Duplicate of another row — funds counted twice; ","")&amp;IF(ISNUMBER('SC Change Orders'!$F280),IF('SC Change Orders'!$F280&lt;&gt;0,IF(AND(ISNUMBER('SC Change Orders'!$B280),NOT(COUNTIFS('SC Change Orders'!$B$2:$B$501,'SC Change Orders'!$B280,'SC Change Orders'!$C$2:$C$501,'SC Change Orders'!$C280,'SC Change Orders'!$D$2:$D$501,'SC Change Orders'!$D280,'SC Change Orders'!$F$2:$F$501,'SC Change Orders'!$F280,'SC Change Orders'!$E$2:$E$501,'SC Change Orders'!$E280)&gt;1),COUNTIFS('SC Change Orders'!$B$2:$B$501,'SC Change Orders'!$B280,'SC Change Orders'!$F$2:$F$501,'SC Change Orders'!$F280)&gt;1),  "Same PO and Amount Added as another row — check for a restatement counted twice; ",""),""),""))</f>
        <v/>
      </c>
    </row>
    <row r="299" customFormat="false" ht="15" hidden="false" customHeight="false" outlineLevel="0" collapsed="false">
      <c r="A299" s="18" t="str">
        <f aca="false">IF(AND('SC Change Orders'!$A281="",'SC Change Orders'!$B281="",'SC Change Orders'!$C281=""),"",281)</f>
        <v/>
      </c>
      <c r="B299" s="31" t="str">
        <f aca="false">IF($A299="","",'SC Change Orders'!$A281)</f>
        <v/>
      </c>
      <c r="C299" s="18" t="str">
        <f aca="false">IF($A299="","",'SC Change Orders'!$B281)</f>
        <v/>
      </c>
      <c r="D299" s="32" t="str">
        <f aca="false">IF($A299="","",'SC Change Orders'!$C281)</f>
        <v/>
      </c>
      <c r="E299" s="31" t="str">
        <f aca="false">IF($A299="","",'SC Change Orders'!$D281)</f>
        <v/>
      </c>
      <c r="F299" s="33" t="str">
        <f aca="false">IF($A299="","",'SC Change Orders'!$E281)</f>
        <v/>
      </c>
      <c r="G299" s="33" t="str">
        <f aca="false">IF($A299="","",'SC Change Orders'!$F281)</f>
        <v/>
      </c>
      <c r="H299" s="33" t="str">
        <f aca="false">IF($A299="","",'SC Change Orders'!$G281)</f>
        <v/>
      </c>
      <c r="I299" s="34" t="str">
        <f aca="false">IF($A299="","",IF(AND(ISNUMBER('SC Change Orders'!$C281),'SC Change Orders'!$C281&gt;=Controls!$C$5,'SC Change Orders'!$C281&lt;=Controls!$C$6),"Yes","No"))</f>
        <v/>
      </c>
      <c r="J299" s="31" t="str">
        <f aca="false">IF($A299="","",IF($K299="","OK",$K299))</f>
        <v/>
      </c>
      <c r="K299" s="0" t="str">
        <f aca="false">IF($A299="","",IF(NOT(ISNUMBER('SC Change Orders'!$B281)),"PO not numeric — row is invisible to the tracker; ","")&amp;IF(NOT(ISNUMBER('SC Change Orders'!$C281)),"Date missing or text — row excluded; ",  IF(OR('SC Change Orders'!$C281&lt;Controls!$C$5,'SC Change Orders'!$C281&gt;Controls!$C$6),"Dated outside the FY window — excluded; ",""))&amp;IF(AND('SC Change Orders'!$E281&lt;&gt;"",NOT(ISNUMBER('SC Change Orders'!$E281))),"Original Amount held as text — ignored by MINIFS; ","")&amp;IF(AND('SC Change Orders'!$F281&lt;&gt;"",NOT(ISNUMBER('SC Change Orders'!$F281))),"Amount Added held as text — ignored by SUMIFS; ","")&amp;IF(ISNUMBER('SC Change Orders'!$E281),IF(ISNUMBER('SC Change Orders'!$F281),IF(ISNUMBER('SC Change Orders'!$G281),  IF('SC Change Orders'!$G281&gt;0,IF(ROUND('SC Change Orders'!$E281+'SC Change Orders'!$F281,2)&lt;&gt;ROUND('SC Change Orders'!$G281,2),  "Original + Added &lt;&gt; Total Line Cost Allotted; ",""),""),""),""),"")&amp;IF(AND(ISNUMBER('SC Change Orders'!$B281),COUNTIFS('SC Change Orders'!$B$2:$B$501,'SC Change Orders'!$B281,'SC Change Orders'!$C$2:$C$501,'SC Change Orders'!$C281,'SC Change Orders'!$D$2:$D$501,'SC Change Orders'!$D281,'SC Change Orders'!$F$2:$F$501,'SC Change Orders'!$F281,'SC Change Orders'!$E$2:$E$501,'SC Change Orders'!$E281)&gt;1),"Duplicate of another row — funds counted twice; ","")&amp;IF(ISNUMBER('SC Change Orders'!$F281),IF('SC Change Orders'!$F281&lt;&gt;0,IF(AND(ISNUMBER('SC Change Orders'!$B281),NOT(COUNTIFS('SC Change Orders'!$B$2:$B$501,'SC Change Orders'!$B281,'SC Change Orders'!$C$2:$C$501,'SC Change Orders'!$C281,'SC Change Orders'!$D$2:$D$501,'SC Change Orders'!$D281,'SC Change Orders'!$F$2:$F$501,'SC Change Orders'!$F281,'SC Change Orders'!$E$2:$E$501,'SC Change Orders'!$E281)&gt;1),COUNTIFS('SC Change Orders'!$B$2:$B$501,'SC Change Orders'!$B281,'SC Change Orders'!$F$2:$F$501,'SC Change Orders'!$F281)&gt;1),  "Same PO and Amount Added as another row — check for a restatement counted twice; ",""),""),""))</f>
        <v/>
      </c>
    </row>
    <row r="300" customFormat="false" ht="15" hidden="false" customHeight="false" outlineLevel="0" collapsed="false">
      <c r="A300" s="18" t="str">
        <f aca="false">IF(AND('SC Change Orders'!$A282="",'SC Change Orders'!$B282="",'SC Change Orders'!$C282=""),"",282)</f>
        <v/>
      </c>
      <c r="B300" s="31" t="str">
        <f aca="false">IF($A300="","",'SC Change Orders'!$A282)</f>
        <v/>
      </c>
      <c r="C300" s="18" t="str">
        <f aca="false">IF($A300="","",'SC Change Orders'!$B282)</f>
        <v/>
      </c>
      <c r="D300" s="32" t="str">
        <f aca="false">IF($A300="","",'SC Change Orders'!$C282)</f>
        <v/>
      </c>
      <c r="E300" s="31" t="str">
        <f aca="false">IF($A300="","",'SC Change Orders'!$D282)</f>
        <v/>
      </c>
      <c r="F300" s="33" t="str">
        <f aca="false">IF($A300="","",'SC Change Orders'!$E282)</f>
        <v/>
      </c>
      <c r="G300" s="33" t="str">
        <f aca="false">IF($A300="","",'SC Change Orders'!$F282)</f>
        <v/>
      </c>
      <c r="H300" s="33" t="str">
        <f aca="false">IF($A300="","",'SC Change Orders'!$G282)</f>
        <v/>
      </c>
      <c r="I300" s="34" t="str">
        <f aca="false">IF($A300="","",IF(AND(ISNUMBER('SC Change Orders'!$C282),'SC Change Orders'!$C282&gt;=Controls!$C$5,'SC Change Orders'!$C282&lt;=Controls!$C$6),"Yes","No"))</f>
        <v/>
      </c>
      <c r="J300" s="31" t="str">
        <f aca="false">IF($A300="","",IF($K300="","OK",$K300))</f>
        <v/>
      </c>
      <c r="K300" s="0" t="str">
        <f aca="false">IF($A300="","",IF(NOT(ISNUMBER('SC Change Orders'!$B282)),"PO not numeric — row is invisible to the tracker; ","")&amp;IF(NOT(ISNUMBER('SC Change Orders'!$C282)),"Date missing or text — row excluded; ",  IF(OR('SC Change Orders'!$C282&lt;Controls!$C$5,'SC Change Orders'!$C282&gt;Controls!$C$6),"Dated outside the FY window — excluded; ",""))&amp;IF(AND('SC Change Orders'!$E282&lt;&gt;"",NOT(ISNUMBER('SC Change Orders'!$E282))),"Original Amount held as text — ignored by MINIFS; ","")&amp;IF(AND('SC Change Orders'!$F282&lt;&gt;"",NOT(ISNUMBER('SC Change Orders'!$F282))),"Amount Added held as text — ignored by SUMIFS; ","")&amp;IF(ISNUMBER('SC Change Orders'!$E282),IF(ISNUMBER('SC Change Orders'!$F282),IF(ISNUMBER('SC Change Orders'!$G282),  IF('SC Change Orders'!$G282&gt;0,IF(ROUND('SC Change Orders'!$E282+'SC Change Orders'!$F282,2)&lt;&gt;ROUND('SC Change Orders'!$G282,2),  "Original + Added &lt;&gt; Total Line Cost Allotted; ",""),""),""),""),"")&amp;IF(AND(ISNUMBER('SC Change Orders'!$B282),COUNTIFS('SC Change Orders'!$B$2:$B$501,'SC Change Orders'!$B282,'SC Change Orders'!$C$2:$C$501,'SC Change Orders'!$C282,'SC Change Orders'!$D$2:$D$501,'SC Change Orders'!$D282,'SC Change Orders'!$F$2:$F$501,'SC Change Orders'!$F282,'SC Change Orders'!$E$2:$E$501,'SC Change Orders'!$E282)&gt;1),"Duplicate of another row — funds counted twice; ","")&amp;IF(ISNUMBER('SC Change Orders'!$F282),IF('SC Change Orders'!$F282&lt;&gt;0,IF(AND(ISNUMBER('SC Change Orders'!$B282),NOT(COUNTIFS('SC Change Orders'!$B$2:$B$501,'SC Change Orders'!$B282,'SC Change Orders'!$C$2:$C$501,'SC Change Orders'!$C282,'SC Change Orders'!$D$2:$D$501,'SC Change Orders'!$D282,'SC Change Orders'!$F$2:$F$501,'SC Change Orders'!$F282,'SC Change Orders'!$E$2:$E$501,'SC Change Orders'!$E282)&gt;1),COUNTIFS('SC Change Orders'!$B$2:$B$501,'SC Change Orders'!$B282,'SC Change Orders'!$F$2:$F$501,'SC Change Orders'!$F282)&gt;1),  "Same PO and Amount Added as another row — check for a restatement counted twice; ",""),""),""))</f>
        <v/>
      </c>
    </row>
    <row r="301" customFormat="false" ht="15" hidden="false" customHeight="false" outlineLevel="0" collapsed="false">
      <c r="A301" s="18" t="str">
        <f aca="false">IF(AND('SC Change Orders'!$A283="",'SC Change Orders'!$B283="",'SC Change Orders'!$C283=""),"",283)</f>
        <v/>
      </c>
      <c r="B301" s="31" t="str">
        <f aca="false">IF($A301="","",'SC Change Orders'!$A283)</f>
        <v/>
      </c>
      <c r="C301" s="18" t="str">
        <f aca="false">IF($A301="","",'SC Change Orders'!$B283)</f>
        <v/>
      </c>
      <c r="D301" s="32" t="str">
        <f aca="false">IF($A301="","",'SC Change Orders'!$C283)</f>
        <v/>
      </c>
      <c r="E301" s="31" t="str">
        <f aca="false">IF($A301="","",'SC Change Orders'!$D283)</f>
        <v/>
      </c>
      <c r="F301" s="33" t="str">
        <f aca="false">IF($A301="","",'SC Change Orders'!$E283)</f>
        <v/>
      </c>
      <c r="G301" s="33" t="str">
        <f aca="false">IF($A301="","",'SC Change Orders'!$F283)</f>
        <v/>
      </c>
      <c r="H301" s="33" t="str">
        <f aca="false">IF($A301="","",'SC Change Orders'!$G283)</f>
        <v/>
      </c>
      <c r="I301" s="34" t="str">
        <f aca="false">IF($A301="","",IF(AND(ISNUMBER('SC Change Orders'!$C283),'SC Change Orders'!$C283&gt;=Controls!$C$5,'SC Change Orders'!$C283&lt;=Controls!$C$6),"Yes","No"))</f>
        <v/>
      </c>
      <c r="J301" s="31" t="str">
        <f aca="false">IF($A301="","",IF($K301="","OK",$K301))</f>
        <v/>
      </c>
      <c r="K301" s="0" t="str">
        <f aca="false">IF($A301="","",IF(NOT(ISNUMBER('SC Change Orders'!$B283)),"PO not numeric — row is invisible to the tracker; ","")&amp;IF(NOT(ISNUMBER('SC Change Orders'!$C283)),"Date missing or text — row excluded; ",  IF(OR('SC Change Orders'!$C283&lt;Controls!$C$5,'SC Change Orders'!$C283&gt;Controls!$C$6),"Dated outside the FY window — excluded; ",""))&amp;IF(AND('SC Change Orders'!$E283&lt;&gt;"",NOT(ISNUMBER('SC Change Orders'!$E283))),"Original Amount held as text — ignored by MINIFS; ","")&amp;IF(AND('SC Change Orders'!$F283&lt;&gt;"",NOT(ISNUMBER('SC Change Orders'!$F283))),"Amount Added held as text — ignored by SUMIFS; ","")&amp;IF(ISNUMBER('SC Change Orders'!$E283),IF(ISNUMBER('SC Change Orders'!$F283),IF(ISNUMBER('SC Change Orders'!$G283),  IF('SC Change Orders'!$G283&gt;0,IF(ROUND('SC Change Orders'!$E283+'SC Change Orders'!$F283,2)&lt;&gt;ROUND('SC Change Orders'!$G283,2),  "Original + Added &lt;&gt; Total Line Cost Allotted; ",""),""),""),""),"")&amp;IF(AND(ISNUMBER('SC Change Orders'!$B283),COUNTIFS('SC Change Orders'!$B$2:$B$501,'SC Change Orders'!$B283,'SC Change Orders'!$C$2:$C$501,'SC Change Orders'!$C283,'SC Change Orders'!$D$2:$D$501,'SC Change Orders'!$D283,'SC Change Orders'!$F$2:$F$501,'SC Change Orders'!$F283,'SC Change Orders'!$E$2:$E$501,'SC Change Orders'!$E283)&gt;1),"Duplicate of another row — funds counted twice; ","")&amp;IF(ISNUMBER('SC Change Orders'!$F283),IF('SC Change Orders'!$F283&lt;&gt;0,IF(AND(ISNUMBER('SC Change Orders'!$B283),NOT(COUNTIFS('SC Change Orders'!$B$2:$B$501,'SC Change Orders'!$B283,'SC Change Orders'!$C$2:$C$501,'SC Change Orders'!$C283,'SC Change Orders'!$D$2:$D$501,'SC Change Orders'!$D283,'SC Change Orders'!$F$2:$F$501,'SC Change Orders'!$F283,'SC Change Orders'!$E$2:$E$501,'SC Change Orders'!$E283)&gt;1),COUNTIFS('SC Change Orders'!$B$2:$B$501,'SC Change Orders'!$B283,'SC Change Orders'!$F$2:$F$501,'SC Change Orders'!$F283)&gt;1),  "Same PO and Amount Added as another row — check for a restatement counted twice; ",""),""),""))</f>
        <v/>
      </c>
    </row>
    <row r="302" customFormat="false" ht="15" hidden="false" customHeight="false" outlineLevel="0" collapsed="false">
      <c r="A302" s="18" t="str">
        <f aca="false">IF(AND('SC Change Orders'!$A284="",'SC Change Orders'!$B284="",'SC Change Orders'!$C284=""),"",284)</f>
        <v/>
      </c>
      <c r="B302" s="31" t="str">
        <f aca="false">IF($A302="","",'SC Change Orders'!$A284)</f>
        <v/>
      </c>
      <c r="C302" s="18" t="str">
        <f aca="false">IF($A302="","",'SC Change Orders'!$B284)</f>
        <v/>
      </c>
      <c r="D302" s="32" t="str">
        <f aca="false">IF($A302="","",'SC Change Orders'!$C284)</f>
        <v/>
      </c>
      <c r="E302" s="31" t="str">
        <f aca="false">IF($A302="","",'SC Change Orders'!$D284)</f>
        <v/>
      </c>
      <c r="F302" s="33" t="str">
        <f aca="false">IF($A302="","",'SC Change Orders'!$E284)</f>
        <v/>
      </c>
      <c r="G302" s="33" t="str">
        <f aca="false">IF($A302="","",'SC Change Orders'!$F284)</f>
        <v/>
      </c>
      <c r="H302" s="33" t="str">
        <f aca="false">IF($A302="","",'SC Change Orders'!$G284)</f>
        <v/>
      </c>
      <c r="I302" s="34" t="str">
        <f aca="false">IF($A302="","",IF(AND(ISNUMBER('SC Change Orders'!$C284),'SC Change Orders'!$C284&gt;=Controls!$C$5,'SC Change Orders'!$C284&lt;=Controls!$C$6),"Yes","No"))</f>
        <v/>
      </c>
      <c r="J302" s="31" t="str">
        <f aca="false">IF($A302="","",IF($K302="","OK",$K302))</f>
        <v/>
      </c>
      <c r="K302" s="0" t="str">
        <f aca="false">IF($A302="","",IF(NOT(ISNUMBER('SC Change Orders'!$B284)),"PO not numeric — row is invisible to the tracker; ","")&amp;IF(NOT(ISNUMBER('SC Change Orders'!$C284)),"Date missing or text — row excluded; ",  IF(OR('SC Change Orders'!$C284&lt;Controls!$C$5,'SC Change Orders'!$C284&gt;Controls!$C$6),"Dated outside the FY window — excluded; ",""))&amp;IF(AND('SC Change Orders'!$E284&lt;&gt;"",NOT(ISNUMBER('SC Change Orders'!$E284))),"Original Amount held as text — ignored by MINIFS; ","")&amp;IF(AND('SC Change Orders'!$F284&lt;&gt;"",NOT(ISNUMBER('SC Change Orders'!$F284))),"Amount Added held as text — ignored by SUMIFS; ","")&amp;IF(ISNUMBER('SC Change Orders'!$E284),IF(ISNUMBER('SC Change Orders'!$F284),IF(ISNUMBER('SC Change Orders'!$G284),  IF('SC Change Orders'!$G284&gt;0,IF(ROUND('SC Change Orders'!$E284+'SC Change Orders'!$F284,2)&lt;&gt;ROUND('SC Change Orders'!$G284,2),  "Original + Added &lt;&gt; Total Line Cost Allotted; ",""),""),""),""),"")&amp;IF(AND(ISNUMBER('SC Change Orders'!$B284),COUNTIFS('SC Change Orders'!$B$2:$B$501,'SC Change Orders'!$B284,'SC Change Orders'!$C$2:$C$501,'SC Change Orders'!$C284,'SC Change Orders'!$D$2:$D$501,'SC Change Orders'!$D284,'SC Change Orders'!$F$2:$F$501,'SC Change Orders'!$F284,'SC Change Orders'!$E$2:$E$501,'SC Change Orders'!$E284)&gt;1),"Duplicate of another row — funds counted twice; ","")&amp;IF(ISNUMBER('SC Change Orders'!$F284),IF('SC Change Orders'!$F284&lt;&gt;0,IF(AND(ISNUMBER('SC Change Orders'!$B284),NOT(COUNTIFS('SC Change Orders'!$B$2:$B$501,'SC Change Orders'!$B284,'SC Change Orders'!$C$2:$C$501,'SC Change Orders'!$C284,'SC Change Orders'!$D$2:$D$501,'SC Change Orders'!$D284,'SC Change Orders'!$F$2:$F$501,'SC Change Orders'!$F284,'SC Change Orders'!$E$2:$E$501,'SC Change Orders'!$E284)&gt;1),COUNTIFS('SC Change Orders'!$B$2:$B$501,'SC Change Orders'!$B284,'SC Change Orders'!$F$2:$F$501,'SC Change Orders'!$F284)&gt;1),  "Same PO and Amount Added as another row — check for a restatement counted twice; ",""),""),""))</f>
        <v/>
      </c>
    </row>
    <row r="303" customFormat="false" ht="15" hidden="false" customHeight="false" outlineLevel="0" collapsed="false">
      <c r="A303" s="18" t="str">
        <f aca="false">IF(AND('SC Change Orders'!$A285="",'SC Change Orders'!$B285="",'SC Change Orders'!$C285=""),"",285)</f>
        <v/>
      </c>
      <c r="B303" s="31" t="str">
        <f aca="false">IF($A303="","",'SC Change Orders'!$A285)</f>
        <v/>
      </c>
      <c r="C303" s="18" t="str">
        <f aca="false">IF($A303="","",'SC Change Orders'!$B285)</f>
        <v/>
      </c>
      <c r="D303" s="32" t="str">
        <f aca="false">IF($A303="","",'SC Change Orders'!$C285)</f>
        <v/>
      </c>
      <c r="E303" s="31" t="str">
        <f aca="false">IF($A303="","",'SC Change Orders'!$D285)</f>
        <v/>
      </c>
      <c r="F303" s="33" t="str">
        <f aca="false">IF($A303="","",'SC Change Orders'!$E285)</f>
        <v/>
      </c>
      <c r="G303" s="33" t="str">
        <f aca="false">IF($A303="","",'SC Change Orders'!$F285)</f>
        <v/>
      </c>
      <c r="H303" s="33" t="str">
        <f aca="false">IF($A303="","",'SC Change Orders'!$G285)</f>
        <v/>
      </c>
      <c r="I303" s="34" t="str">
        <f aca="false">IF($A303="","",IF(AND(ISNUMBER('SC Change Orders'!$C285),'SC Change Orders'!$C285&gt;=Controls!$C$5,'SC Change Orders'!$C285&lt;=Controls!$C$6),"Yes","No"))</f>
        <v/>
      </c>
      <c r="J303" s="31" t="str">
        <f aca="false">IF($A303="","",IF($K303="","OK",$K303))</f>
        <v/>
      </c>
      <c r="K303" s="0" t="str">
        <f aca="false">IF($A303="","",IF(NOT(ISNUMBER('SC Change Orders'!$B285)),"PO not numeric — row is invisible to the tracker; ","")&amp;IF(NOT(ISNUMBER('SC Change Orders'!$C285)),"Date missing or text — row excluded; ",  IF(OR('SC Change Orders'!$C285&lt;Controls!$C$5,'SC Change Orders'!$C285&gt;Controls!$C$6),"Dated outside the FY window — excluded; ",""))&amp;IF(AND('SC Change Orders'!$E285&lt;&gt;"",NOT(ISNUMBER('SC Change Orders'!$E285))),"Original Amount held as text — ignored by MINIFS; ","")&amp;IF(AND('SC Change Orders'!$F285&lt;&gt;"",NOT(ISNUMBER('SC Change Orders'!$F285))),"Amount Added held as text — ignored by SUMIFS; ","")&amp;IF(ISNUMBER('SC Change Orders'!$E285),IF(ISNUMBER('SC Change Orders'!$F285),IF(ISNUMBER('SC Change Orders'!$G285),  IF('SC Change Orders'!$G285&gt;0,IF(ROUND('SC Change Orders'!$E285+'SC Change Orders'!$F285,2)&lt;&gt;ROUND('SC Change Orders'!$G285,2),  "Original + Added &lt;&gt; Total Line Cost Allotted; ",""),""),""),""),"")&amp;IF(AND(ISNUMBER('SC Change Orders'!$B285),COUNTIFS('SC Change Orders'!$B$2:$B$501,'SC Change Orders'!$B285,'SC Change Orders'!$C$2:$C$501,'SC Change Orders'!$C285,'SC Change Orders'!$D$2:$D$501,'SC Change Orders'!$D285,'SC Change Orders'!$F$2:$F$501,'SC Change Orders'!$F285,'SC Change Orders'!$E$2:$E$501,'SC Change Orders'!$E285)&gt;1),"Duplicate of another row — funds counted twice; ","")&amp;IF(ISNUMBER('SC Change Orders'!$F285),IF('SC Change Orders'!$F285&lt;&gt;0,IF(AND(ISNUMBER('SC Change Orders'!$B285),NOT(COUNTIFS('SC Change Orders'!$B$2:$B$501,'SC Change Orders'!$B285,'SC Change Orders'!$C$2:$C$501,'SC Change Orders'!$C285,'SC Change Orders'!$D$2:$D$501,'SC Change Orders'!$D285,'SC Change Orders'!$F$2:$F$501,'SC Change Orders'!$F285,'SC Change Orders'!$E$2:$E$501,'SC Change Orders'!$E285)&gt;1),COUNTIFS('SC Change Orders'!$B$2:$B$501,'SC Change Orders'!$B285,'SC Change Orders'!$F$2:$F$501,'SC Change Orders'!$F285)&gt;1),  "Same PO and Amount Added as another row — check for a restatement counted twice; ",""),""),""))</f>
        <v/>
      </c>
    </row>
    <row r="304" customFormat="false" ht="15" hidden="false" customHeight="false" outlineLevel="0" collapsed="false">
      <c r="A304" s="18" t="str">
        <f aca="false">IF(AND('SC Change Orders'!$A286="",'SC Change Orders'!$B286="",'SC Change Orders'!$C286=""),"",286)</f>
        <v/>
      </c>
      <c r="B304" s="31" t="str">
        <f aca="false">IF($A304="","",'SC Change Orders'!$A286)</f>
        <v/>
      </c>
      <c r="C304" s="18" t="str">
        <f aca="false">IF($A304="","",'SC Change Orders'!$B286)</f>
        <v/>
      </c>
      <c r="D304" s="32" t="str">
        <f aca="false">IF($A304="","",'SC Change Orders'!$C286)</f>
        <v/>
      </c>
      <c r="E304" s="31" t="str">
        <f aca="false">IF($A304="","",'SC Change Orders'!$D286)</f>
        <v/>
      </c>
      <c r="F304" s="33" t="str">
        <f aca="false">IF($A304="","",'SC Change Orders'!$E286)</f>
        <v/>
      </c>
      <c r="G304" s="33" t="str">
        <f aca="false">IF($A304="","",'SC Change Orders'!$F286)</f>
        <v/>
      </c>
      <c r="H304" s="33" t="str">
        <f aca="false">IF($A304="","",'SC Change Orders'!$G286)</f>
        <v/>
      </c>
      <c r="I304" s="34" t="str">
        <f aca="false">IF($A304="","",IF(AND(ISNUMBER('SC Change Orders'!$C286),'SC Change Orders'!$C286&gt;=Controls!$C$5,'SC Change Orders'!$C286&lt;=Controls!$C$6),"Yes","No"))</f>
        <v/>
      </c>
      <c r="J304" s="31" t="str">
        <f aca="false">IF($A304="","",IF($K304="","OK",$K304))</f>
        <v/>
      </c>
      <c r="K304" s="0" t="str">
        <f aca="false">IF($A304="","",IF(NOT(ISNUMBER('SC Change Orders'!$B286)),"PO not numeric — row is invisible to the tracker; ","")&amp;IF(NOT(ISNUMBER('SC Change Orders'!$C286)),"Date missing or text — row excluded; ",  IF(OR('SC Change Orders'!$C286&lt;Controls!$C$5,'SC Change Orders'!$C286&gt;Controls!$C$6),"Dated outside the FY window — excluded; ",""))&amp;IF(AND('SC Change Orders'!$E286&lt;&gt;"",NOT(ISNUMBER('SC Change Orders'!$E286))),"Original Amount held as text — ignored by MINIFS; ","")&amp;IF(AND('SC Change Orders'!$F286&lt;&gt;"",NOT(ISNUMBER('SC Change Orders'!$F286))),"Amount Added held as text — ignored by SUMIFS; ","")&amp;IF(ISNUMBER('SC Change Orders'!$E286),IF(ISNUMBER('SC Change Orders'!$F286),IF(ISNUMBER('SC Change Orders'!$G286),  IF('SC Change Orders'!$G286&gt;0,IF(ROUND('SC Change Orders'!$E286+'SC Change Orders'!$F286,2)&lt;&gt;ROUND('SC Change Orders'!$G286,2),  "Original + Added &lt;&gt; Total Line Cost Allotted; ",""),""),""),""),"")&amp;IF(AND(ISNUMBER('SC Change Orders'!$B286),COUNTIFS('SC Change Orders'!$B$2:$B$501,'SC Change Orders'!$B286,'SC Change Orders'!$C$2:$C$501,'SC Change Orders'!$C286,'SC Change Orders'!$D$2:$D$501,'SC Change Orders'!$D286,'SC Change Orders'!$F$2:$F$501,'SC Change Orders'!$F286,'SC Change Orders'!$E$2:$E$501,'SC Change Orders'!$E286)&gt;1),"Duplicate of another row — funds counted twice; ","")&amp;IF(ISNUMBER('SC Change Orders'!$F286),IF('SC Change Orders'!$F286&lt;&gt;0,IF(AND(ISNUMBER('SC Change Orders'!$B286),NOT(COUNTIFS('SC Change Orders'!$B$2:$B$501,'SC Change Orders'!$B286,'SC Change Orders'!$C$2:$C$501,'SC Change Orders'!$C286,'SC Change Orders'!$D$2:$D$501,'SC Change Orders'!$D286,'SC Change Orders'!$F$2:$F$501,'SC Change Orders'!$F286,'SC Change Orders'!$E$2:$E$501,'SC Change Orders'!$E286)&gt;1),COUNTIFS('SC Change Orders'!$B$2:$B$501,'SC Change Orders'!$B286,'SC Change Orders'!$F$2:$F$501,'SC Change Orders'!$F286)&gt;1),  "Same PO and Amount Added as another row — check for a restatement counted twice; ",""),""),""))</f>
        <v/>
      </c>
    </row>
    <row r="305" customFormat="false" ht="15" hidden="false" customHeight="false" outlineLevel="0" collapsed="false">
      <c r="A305" s="18" t="str">
        <f aca="false">IF(AND('SC Change Orders'!$A287="",'SC Change Orders'!$B287="",'SC Change Orders'!$C287=""),"",287)</f>
        <v/>
      </c>
      <c r="B305" s="31" t="str">
        <f aca="false">IF($A305="","",'SC Change Orders'!$A287)</f>
        <v/>
      </c>
      <c r="C305" s="18" t="str">
        <f aca="false">IF($A305="","",'SC Change Orders'!$B287)</f>
        <v/>
      </c>
      <c r="D305" s="32" t="str">
        <f aca="false">IF($A305="","",'SC Change Orders'!$C287)</f>
        <v/>
      </c>
      <c r="E305" s="31" t="str">
        <f aca="false">IF($A305="","",'SC Change Orders'!$D287)</f>
        <v/>
      </c>
      <c r="F305" s="33" t="str">
        <f aca="false">IF($A305="","",'SC Change Orders'!$E287)</f>
        <v/>
      </c>
      <c r="G305" s="33" t="str">
        <f aca="false">IF($A305="","",'SC Change Orders'!$F287)</f>
        <v/>
      </c>
      <c r="H305" s="33" t="str">
        <f aca="false">IF($A305="","",'SC Change Orders'!$G287)</f>
        <v/>
      </c>
      <c r="I305" s="34" t="str">
        <f aca="false">IF($A305="","",IF(AND(ISNUMBER('SC Change Orders'!$C287),'SC Change Orders'!$C287&gt;=Controls!$C$5,'SC Change Orders'!$C287&lt;=Controls!$C$6),"Yes","No"))</f>
        <v/>
      </c>
      <c r="J305" s="31" t="str">
        <f aca="false">IF($A305="","",IF($K305="","OK",$K305))</f>
        <v/>
      </c>
      <c r="K305" s="0" t="str">
        <f aca="false">IF($A305="","",IF(NOT(ISNUMBER('SC Change Orders'!$B287)),"PO not numeric — row is invisible to the tracker; ","")&amp;IF(NOT(ISNUMBER('SC Change Orders'!$C287)),"Date missing or text — row excluded; ",  IF(OR('SC Change Orders'!$C287&lt;Controls!$C$5,'SC Change Orders'!$C287&gt;Controls!$C$6),"Dated outside the FY window — excluded; ",""))&amp;IF(AND('SC Change Orders'!$E287&lt;&gt;"",NOT(ISNUMBER('SC Change Orders'!$E287))),"Original Amount held as text — ignored by MINIFS; ","")&amp;IF(AND('SC Change Orders'!$F287&lt;&gt;"",NOT(ISNUMBER('SC Change Orders'!$F287))),"Amount Added held as text — ignored by SUMIFS; ","")&amp;IF(ISNUMBER('SC Change Orders'!$E287),IF(ISNUMBER('SC Change Orders'!$F287),IF(ISNUMBER('SC Change Orders'!$G287),  IF('SC Change Orders'!$G287&gt;0,IF(ROUND('SC Change Orders'!$E287+'SC Change Orders'!$F287,2)&lt;&gt;ROUND('SC Change Orders'!$G287,2),  "Original + Added &lt;&gt; Total Line Cost Allotted; ",""),""),""),""),"")&amp;IF(AND(ISNUMBER('SC Change Orders'!$B287),COUNTIFS('SC Change Orders'!$B$2:$B$501,'SC Change Orders'!$B287,'SC Change Orders'!$C$2:$C$501,'SC Change Orders'!$C287,'SC Change Orders'!$D$2:$D$501,'SC Change Orders'!$D287,'SC Change Orders'!$F$2:$F$501,'SC Change Orders'!$F287,'SC Change Orders'!$E$2:$E$501,'SC Change Orders'!$E287)&gt;1),"Duplicate of another row — funds counted twice; ","")&amp;IF(ISNUMBER('SC Change Orders'!$F287),IF('SC Change Orders'!$F287&lt;&gt;0,IF(AND(ISNUMBER('SC Change Orders'!$B287),NOT(COUNTIFS('SC Change Orders'!$B$2:$B$501,'SC Change Orders'!$B287,'SC Change Orders'!$C$2:$C$501,'SC Change Orders'!$C287,'SC Change Orders'!$D$2:$D$501,'SC Change Orders'!$D287,'SC Change Orders'!$F$2:$F$501,'SC Change Orders'!$F287,'SC Change Orders'!$E$2:$E$501,'SC Change Orders'!$E287)&gt;1),COUNTIFS('SC Change Orders'!$B$2:$B$501,'SC Change Orders'!$B287,'SC Change Orders'!$F$2:$F$501,'SC Change Orders'!$F287)&gt;1),  "Same PO and Amount Added as another row — check for a restatement counted twice; ",""),""),""))</f>
        <v/>
      </c>
    </row>
    <row r="306" customFormat="false" ht="15" hidden="false" customHeight="false" outlineLevel="0" collapsed="false">
      <c r="A306" s="18" t="str">
        <f aca="false">IF(AND('SC Change Orders'!$A288="",'SC Change Orders'!$B288="",'SC Change Orders'!$C288=""),"",288)</f>
        <v/>
      </c>
      <c r="B306" s="31" t="str">
        <f aca="false">IF($A306="","",'SC Change Orders'!$A288)</f>
        <v/>
      </c>
      <c r="C306" s="18" t="str">
        <f aca="false">IF($A306="","",'SC Change Orders'!$B288)</f>
        <v/>
      </c>
      <c r="D306" s="32" t="str">
        <f aca="false">IF($A306="","",'SC Change Orders'!$C288)</f>
        <v/>
      </c>
      <c r="E306" s="31" t="str">
        <f aca="false">IF($A306="","",'SC Change Orders'!$D288)</f>
        <v/>
      </c>
      <c r="F306" s="33" t="str">
        <f aca="false">IF($A306="","",'SC Change Orders'!$E288)</f>
        <v/>
      </c>
      <c r="G306" s="33" t="str">
        <f aca="false">IF($A306="","",'SC Change Orders'!$F288)</f>
        <v/>
      </c>
      <c r="H306" s="33" t="str">
        <f aca="false">IF($A306="","",'SC Change Orders'!$G288)</f>
        <v/>
      </c>
      <c r="I306" s="34" t="str">
        <f aca="false">IF($A306="","",IF(AND(ISNUMBER('SC Change Orders'!$C288),'SC Change Orders'!$C288&gt;=Controls!$C$5,'SC Change Orders'!$C288&lt;=Controls!$C$6),"Yes","No"))</f>
        <v/>
      </c>
      <c r="J306" s="31" t="str">
        <f aca="false">IF($A306="","",IF($K306="","OK",$K306))</f>
        <v/>
      </c>
      <c r="K306" s="0" t="str">
        <f aca="false">IF($A306="","",IF(NOT(ISNUMBER('SC Change Orders'!$B288)),"PO not numeric — row is invisible to the tracker; ","")&amp;IF(NOT(ISNUMBER('SC Change Orders'!$C288)),"Date missing or text — row excluded; ",  IF(OR('SC Change Orders'!$C288&lt;Controls!$C$5,'SC Change Orders'!$C288&gt;Controls!$C$6),"Dated outside the FY window — excluded; ",""))&amp;IF(AND('SC Change Orders'!$E288&lt;&gt;"",NOT(ISNUMBER('SC Change Orders'!$E288))),"Original Amount held as text — ignored by MINIFS; ","")&amp;IF(AND('SC Change Orders'!$F288&lt;&gt;"",NOT(ISNUMBER('SC Change Orders'!$F288))),"Amount Added held as text — ignored by SUMIFS; ","")&amp;IF(ISNUMBER('SC Change Orders'!$E288),IF(ISNUMBER('SC Change Orders'!$F288),IF(ISNUMBER('SC Change Orders'!$G288),  IF('SC Change Orders'!$G288&gt;0,IF(ROUND('SC Change Orders'!$E288+'SC Change Orders'!$F288,2)&lt;&gt;ROUND('SC Change Orders'!$G288,2),  "Original + Added &lt;&gt; Total Line Cost Allotted; ",""),""),""),""),"")&amp;IF(AND(ISNUMBER('SC Change Orders'!$B288),COUNTIFS('SC Change Orders'!$B$2:$B$501,'SC Change Orders'!$B288,'SC Change Orders'!$C$2:$C$501,'SC Change Orders'!$C288,'SC Change Orders'!$D$2:$D$501,'SC Change Orders'!$D288,'SC Change Orders'!$F$2:$F$501,'SC Change Orders'!$F288,'SC Change Orders'!$E$2:$E$501,'SC Change Orders'!$E288)&gt;1),"Duplicate of another row — funds counted twice; ","")&amp;IF(ISNUMBER('SC Change Orders'!$F288),IF('SC Change Orders'!$F288&lt;&gt;0,IF(AND(ISNUMBER('SC Change Orders'!$B288),NOT(COUNTIFS('SC Change Orders'!$B$2:$B$501,'SC Change Orders'!$B288,'SC Change Orders'!$C$2:$C$501,'SC Change Orders'!$C288,'SC Change Orders'!$D$2:$D$501,'SC Change Orders'!$D288,'SC Change Orders'!$F$2:$F$501,'SC Change Orders'!$F288,'SC Change Orders'!$E$2:$E$501,'SC Change Orders'!$E288)&gt;1),COUNTIFS('SC Change Orders'!$B$2:$B$501,'SC Change Orders'!$B288,'SC Change Orders'!$F$2:$F$501,'SC Change Orders'!$F288)&gt;1),  "Same PO and Amount Added as another row — check for a restatement counted twice; ",""),""),""))</f>
        <v/>
      </c>
    </row>
    <row r="307" customFormat="false" ht="15" hidden="false" customHeight="false" outlineLevel="0" collapsed="false">
      <c r="A307" s="18" t="str">
        <f aca="false">IF(AND('SC Change Orders'!$A289="",'SC Change Orders'!$B289="",'SC Change Orders'!$C289=""),"",289)</f>
        <v/>
      </c>
      <c r="B307" s="31" t="str">
        <f aca="false">IF($A307="","",'SC Change Orders'!$A289)</f>
        <v/>
      </c>
      <c r="C307" s="18" t="str">
        <f aca="false">IF($A307="","",'SC Change Orders'!$B289)</f>
        <v/>
      </c>
      <c r="D307" s="32" t="str">
        <f aca="false">IF($A307="","",'SC Change Orders'!$C289)</f>
        <v/>
      </c>
      <c r="E307" s="31" t="str">
        <f aca="false">IF($A307="","",'SC Change Orders'!$D289)</f>
        <v/>
      </c>
      <c r="F307" s="33" t="str">
        <f aca="false">IF($A307="","",'SC Change Orders'!$E289)</f>
        <v/>
      </c>
      <c r="G307" s="33" t="str">
        <f aca="false">IF($A307="","",'SC Change Orders'!$F289)</f>
        <v/>
      </c>
      <c r="H307" s="33" t="str">
        <f aca="false">IF($A307="","",'SC Change Orders'!$G289)</f>
        <v/>
      </c>
      <c r="I307" s="34" t="str">
        <f aca="false">IF($A307="","",IF(AND(ISNUMBER('SC Change Orders'!$C289),'SC Change Orders'!$C289&gt;=Controls!$C$5,'SC Change Orders'!$C289&lt;=Controls!$C$6),"Yes","No"))</f>
        <v/>
      </c>
      <c r="J307" s="31" t="str">
        <f aca="false">IF($A307="","",IF($K307="","OK",$K307))</f>
        <v/>
      </c>
      <c r="K307" s="0" t="str">
        <f aca="false">IF($A307="","",IF(NOT(ISNUMBER('SC Change Orders'!$B289)),"PO not numeric — row is invisible to the tracker; ","")&amp;IF(NOT(ISNUMBER('SC Change Orders'!$C289)),"Date missing or text — row excluded; ",  IF(OR('SC Change Orders'!$C289&lt;Controls!$C$5,'SC Change Orders'!$C289&gt;Controls!$C$6),"Dated outside the FY window — excluded; ",""))&amp;IF(AND('SC Change Orders'!$E289&lt;&gt;"",NOT(ISNUMBER('SC Change Orders'!$E289))),"Original Amount held as text — ignored by MINIFS; ","")&amp;IF(AND('SC Change Orders'!$F289&lt;&gt;"",NOT(ISNUMBER('SC Change Orders'!$F289))),"Amount Added held as text — ignored by SUMIFS; ","")&amp;IF(ISNUMBER('SC Change Orders'!$E289),IF(ISNUMBER('SC Change Orders'!$F289),IF(ISNUMBER('SC Change Orders'!$G289),  IF('SC Change Orders'!$G289&gt;0,IF(ROUND('SC Change Orders'!$E289+'SC Change Orders'!$F289,2)&lt;&gt;ROUND('SC Change Orders'!$G289,2),  "Original + Added &lt;&gt; Total Line Cost Allotted; ",""),""),""),""),"")&amp;IF(AND(ISNUMBER('SC Change Orders'!$B289),COUNTIFS('SC Change Orders'!$B$2:$B$501,'SC Change Orders'!$B289,'SC Change Orders'!$C$2:$C$501,'SC Change Orders'!$C289,'SC Change Orders'!$D$2:$D$501,'SC Change Orders'!$D289,'SC Change Orders'!$F$2:$F$501,'SC Change Orders'!$F289,'SC Change Orders'!$E$2:$E$501,'SC Change Orders'!$E289)&gt;1),"Duplicate of another row — funds counted twice; ","")&amp;IF(ISNUMBER('SC Change Orders'!$F289),IF('SC Change Orders'!$F289&lt;&gt;0,IF(AND(ISNUMBER('SC Change Orders'!$B289),NOT(COUNTIFS('SC Change Orders'!$B$2:$B$501,'SC Change Orders'!$B289,'SC Change Orders'!$C$2:$C$501,'SC Change Orders'!$C289,'SC Change Orders'!$D$2:$D$501,'SC Change Orders'!$D289,'SC Change Orders'!$F$2:$F$501,'SC Change Orders'!$F289,'SC Change Orders'!$E$2:$E$501,'SC Change Orders'!$E289)&gt;1),COUNTIFS('SC Change Orders'!$B$2:$B$501,'SC Change Orders'!$B289,'SC Change Orders'!$F$2:$F$501,'SC Change Orders'!$F289)&gt;1),  "Same PO and Amount Added as another row — check for a restatement counted twice; ",""),""),""))</f>
        <v/>
      </c>
    </row>
    <row r="308" customFormat="false" ht="15" hidden="false" customHeight="false" outlineLevel="0" collapsed="false">
      <c r="A308" s="18" t="str">
        <f aca="false">IF(AND('SC Change Orders'!$A290="",'SC Change Orders'!$B290="",'SC Change Orders'!$C290=""),"",290)</f>
        <v/>
      </c>
      <c r="B308" s="31" t="str">
        <f aca="false">IF($A308="","",'SC Change Orders'!$A290)</f>
        <v/>
      </c>
      <c r="C308" s="18" t="str">
        <f aca="false">IF($A308="","",'SC Change Orders'!$B290)</f>
        <v/>
      </c>
      <c r="D308" s="32" t="str">
        <f aca="false">IF($A308="","",'SC Change Orders'!$C290)</f>
        <v/>
      </c>
      <c r="E308" s="31" t="str">
        <f aca="false">IF($A308="","",'SC Change Orders'!$D290)</f>
        <v/>
      </c>
      <c r="F308" s="33" t="str">
        <f aca="false">IF($A308="","",'SC Change Orders'!$E290)</f>
        <v/>
      </c>
      <c r="G308" s="33" t="str">
        <f aca="false">IF($A308="","",'SC Change Orders'!$F290)</f>
        <v/>
      </c>
      <c r="H308" s="33" t="str">
        <f aca="false">IF($A308="","",'SC Change Orders'!$G290)</f>
        <v/>
      </c>
      <c r="I308" s="34" t="str">
        <f aca="false">IF($A308="","",IF(AND(ISNUMBER('SC Change Orders'!$C290),'SC Change Orders'!$C290&gt;=Controls!$C$5,'SC Change Orders'!$C290&lt;=Controls!$C$6),"Yes","No"))</f>
        <v/>
      </c>
      <c r="J308" s="31" t="str">
        <f aca="false">IF($A308="","",IF($K308="","OK",$K308))</f>
        <v/>
      </c>
      <c r="K308" s="0" t="str">
        <f aca="false">IF($A308="","",IF(NOT(ISNUMBER('SC Change Orders'!$B290)),"PO not numeric — row is invisible to the tracker; ","")&amp;IF(NOT(ISNUMBER('SC Change Orders'!$C290)),"Date missing or text — row excluded; ",  IF(OR('SC Change Orders'!$C290&lt;Controls!$C$5,'SC Change Orders'!$C290&gt;Controls!$C$6),"Dated outside the FY window — excluded; ",""))&amp;IF(AND('SC Change Orders'!$E290&lt;&gt;"",NOT(ISNUMBER('SC Change Orders'!$E290))),"Original Amount held as text — ignored by MINIFS; ","")&amp;IF(AND('SC Change Orders'!$F290&lt;&gt;"",NOT(ISNUMBER('SC Change Orders'!$F290))),"Amount Added held as text — ignored by SUMIFS; ","")&amp;IF(ISNUMBER('SC Change Orders'!$E290),IF(ISNUMBER('SC Change Orders'!$F290),IF(ISNUMBER('SC Change Orders'!$G290),  IF('SC Change Orders'!$G290&gt;0,IF(ROUND('SC Change Orders'!$E290+'SC Change Orders'!$F290,2)&lt;&gt;ROUND('SC Change Orders'!$G290,2),  "Original + Added &lt;&gt; Total Line Cost Allotted; ",""),""),""),""),"")&amp;IF(AND(ISNUMBER('SC Change Orders'!$B290),COUNTIFS('SC Change Orders'!$B$2:$B$501,'SC Change Orders'!$B290,'SC Change Orders'!$C$2:$C$501,'SC Change Orders'!$C290,'SC Change Orders'!$D$2:$D$501,'SC Change Orders'!$D290,'SC Change Orders'!$F$2:$F$501,'SC Change Orders'!$F290,'SC Change Orders'!$E$2:$E$501,'SC Change Orders'!$E290)&gt;1),"Duplicate of another row — funds counted twice; ","")&amp;IF(ISNUMBER('SC Change Orders'!$F290),IF('SC Change Orders'!$F290&lt;&gt;0,IF(AND(ISNUMBER('SC Change Orders'!$B290),NOT(COUNTIFS('SC Change Orders'!$B$2:$B$501,'SC Change Orders'!$B290,'SC Change Orders'!$C$2:$C$501,'SC Change Orders'!$C290,'SC Change Orders'!$D$2:$D$501,'SC Change Orders'!$D290,'SC Change Orders'!$F$2:$F$501,'SC Change Orders'!$F290,'SC Change Orders'!$E$2:$E$501,'SC Change Orders'!$E290)&gt;1),COUNTIFS('SC Change Orders'!$B$2:$B$501,'SC Change Orders'!$B290,'SC Change Orders'!$F$2:$F$501,'SC Change Orders'!$F290)&gt;1),  "Same PO and Amount Added as another row — check for a restatement counted twice; ",""),""),""))</f>
        <v/>
      </c>
    </row>
    <row r="309" customFormat="false" ht="15" hidden="false" customHeight="false" outlineLevel="0" collapsed="false">
      <c r="A309" s="18" t="str">
        <f aca="false">IF(AND('SC Change Orders'!$A291="",'SC Change Orders'!$B291="",'SC Change Orders'!$C291=""),"",291)</f>
        <v/>
      </c>
      <c r="B309" s="31" t="str">
        <f aca="false">IF($A309="","",'SC Change Orders'!$A291)</f>
        <v/>
      </c>
      <c r="C309" s="18" t="str">
        <f aca="false">IF($A309="","",'SC Change Orders'!$B291)</f>
        <v/>
      </c>
      <c r="D309" s="32" t="str">
        <f aca="false">IF($A309="","",'SC Change Orders'!$C291)</f>
        <v/>
      </c>
      <c r="E309" s="31" t="str">
        <f aca="false">IF($A309="","",'SC Change Orders'!$D291)</f>
        <v/>
      </c>
      <c r="F309" s="33" t="str">
        <f aca="false">IF($A309="","",'SC Change Orders'!$E291)</f>
        <v/>
      </c>
      <c r="G309" s="33" t="str">
        <f aca="false">IF($A309="","",'SC Change Orders'!$F291)</f>
        <v/>
      </c>
      <c r="H309" s="33" t="str">
        <f aca="false">IF($A309="","",'SC Change Orders'!$G291)</f>
        <v/>
      </c>
      <c r="I309" s="34" t="str">
        <f aca="false">IF($A309="","",IF(AND(ISNUMBER('SC Change Orders'!$C291),'SC Change Orders'!$C291&gt;=Controls!$C$5,'SC Change Orders'!$C291&lt;=Controls!$C$6),"Yes","No"))</f>
        <v/>
      </c>
      <c r="J309" s="31" t="str">
        <f aca="false">IF($A309="","",IF($K309="","OK",$K309))</f>
        <v/>
      </c>
      <c r="K309" s="0" t="str">
        <f aca="false">IF($A309="","",IF(NOT(ISNUMBER('SC Change Orders'!$B291)),"PO not numeric — row is invisible to the tracker; ","")&amp;IF(NOT(ISNUMBER('SC Change Orders'!$C291)),"Date missing or text — row excluded; ",  IF(OR('SC Change Orders'!$C291&lt;Controls!$C$5,'SC Change Orders'!$C291&gt;Controls!$C$6),"Dated outside the FY window — excluded; ",""))&amp;IF(AND('SC Change Orders'!$E291&lt;&gt;"",NOT(ISNUMBER('SC Change Orders'!$E291))),"Original Amount held as text — ignored by MINIFS; ","")&amp;IF(AND('SC Change Orders'!$F291&lt;&gt;"",NOT(ISNUMBER('SC Change Orders'!$F291))),"Amount Added held as text — ignored by SUMIFS; ","")&amp;IF(ISNUMBER('SC Change Orders'!$E291),IF(ISNUMBER('SC Change Orders'!$F291),IF(ISNUMBER('SC Change Orders'!$G291),  IF('SC Change Orders'!$G291&gt;0,IF(ROUND('SC Change Orders'!$E291+'SC Change Orders'!$F291,2)&lt;&gt;ROUND('SC Change Orders'!$G291,2),  "Original + Added &lt;&gt; Total Line Cost Allotted; ",""),""),""),""),"")&amp;IF(AND(ISNUMBER('SC Change Orders'!$B291),COUNTIFS('SC Change Orders'!$B$2:$B$501,'SC Change Orders'!$B291,'SC Change Orders'!$C$2:$C$501,'SC Change Orders'!$C291,'SC Change Orders'!$D$2:$D$501,'SC Change Orders'!$D291,'SC Change Orders'!$F$2:$F$501,'SC Change Orders'!$F291,'SC Change Orders'!$E$2:$E$501,'SC Change Orders'!$E291)&gt;1),"Duplicate of another row — funds counted twice; ","")&amp;IF(ISNUMBER('SC Change Orders'!$F291),IF('SC Change Orders'!$F291&lt;&gt;0,IF(AND(ISNUMBER('SC Change Orders'!$B291),NOT(COUNTIFS('SC Change Orders'!$B$2:$B$501,'SC Change Orders'!$B291,'SC Change Orders'!$C$2:$C$501,'SC Change Orders'!$C291,'SC Change Orders'!$D$2:$D$501,'SC Change Orders'!$D291,'SC Change Orders'!$F$2:$F$501,'SC Change Orders'!$F291,'SC Change Orders'!$E$2:$E$501,'SC Change Orders'!$E291)&gt;1),COUNTIFS('SC Change Orders'!$B$2:$B$501,'SC Change Orders'!$B291,'SC Change Orders'!$F$2:$F$501,'SC Change Orders'!$F291)&gt;1),  "Same PO and Amount Added as another row — check for a restatement counted twice; ",""),""),""))</f>
        <v/>
      </c>
    </row>
    <row r="310" customFormat="false" ht="15" hidden="false" customHeight="false" outlineLevel="0" collapsed="false">
      <c r="A310" s="18" t="str">
        <f aca="false">IF(AND('SC Change Orders'!$A292="",'SC Change Orders'!$B292="",'SC Change Orders'!$C292=""),"",292)</f>
        <v/>
      </c>
      <c r="B310" s="31" t="str">
        <f aca="false">IF($A310="","",'SC Change Orders'!$A292)</f>
        <v/>
      </c>
      <c r="C310" s="18" t="str">
        <f aca="false">IF($A310="","",'SC Change Orders'!$B292)</f>
        <v/>
      </c>
      <c r="D310" s="32" t="str">
        <f aca="false">IF($A310="","",'SC Change Orders'!$C292)</f>
        <v/>
      </c>
      <c r="E310" s="31" t="str">
        <f aca="false">IF($A310="","",'SC Change Orders'!$D292)</f>
        <v/>
      </c>
      <c r="F310" s="33" t="str">
        <f aca="false">IF($A310="","",'SC Change Orders'!$E292)</f>
        <v/>
      </c>
      <c r="G310" s="33" t="str">
        <f aca="false">IF($A310="","",'SC Change Orders'!$F292)</f>
        <v/>
      </c>
      <c r="H310" s="33" t="str">
        <f aca="false">IF($A310="","",'SC Change Orders'!$G292)</f>
        <v/>
      </c>
      <c r="I310" s="34" t="str">
        <f aca="false">IF($A310="","",IF(AND(ISNUMBER('SC Change Orders'!$C292),'SC Change Orders'!$C292&gt;=Controls!$C$5,'SC Change Orders'!$C292&lt;=Controls!$C$6),"Yes","No"))</f>
        <v/>
      </c>
      <c r="J310" s="31" t="str">
        <f aca="false">IF($A310="","",IF($K310="","OK",$K310))</f>
        <v/>
      </c>
      <c r="K310" s="0" t="str">
        <f aca="false">IF($A310="","",IF(NOT(ISNUMBER('SC Change Orders'!$B292)),"PO not numeric — row is invisible to the tracker; ","")&amp;IF(NOT(ISNUMBER('SC Change Orders'!$C292)),"Date missing or text — row excluded; ",  IF(OR('SC Change Orders'!$C292&lt;Controls!$C$5,'SC Change Orders'!$C292&gt;Controls!$C$6),"Dated outside the FY window — excluded; ",""))&amp;IF(AND('SC Change Orders'!$E292&lt;&gt;"",NOT(ISNUMBER('SC Change Orders'!$E292))),"Original Amount held as text — ignored by MINIFS; ","")&amp;IF(AND('SC Change Orders'!$F292&lt;&gt;"",NOT(ISNUMBER('SC Change Orders'!$F292))),"Amount Added held as text — ignored by SUMIFS; ","")&amp;IF(ISNUMBER('SC Change Orders'!$E292),IF(ISNUMBER('SC Change Orders'!$F292),IF(ISNUMBER('SC Change Orders'!$G292),  IF('SC Change Orders'!$G292&gt;0,IF(ROUND('SC Change Orders'!$E292+'SC Change Orders'!$F292,2)&lt;&gt;ROUND('SC Change Orders'!$G292,2),  "Original + Added &lt;&gt; Total Line Cost Allotted; ",""),""),""),""),"")&amp;IF(AND(ISNUMBER('SC Change Orders'!$B292),COUNTIFS('SC Change Orders'!$B$2:$B$501,'SC Change Orders'!$B292,'SC Change Orders'!$C$2:$C$501,'SC Change Orders'!$C292,'SC Change Orders'!$D$2:$D$501,'SC Change Orders'!$D292,'SC Change Orders'!$F$2:$F$501,'SC Change Orders'!$F292,'SC Change Orders'!$E$2:$E$501,'SC Change Orders'!$E292)&gt;1),"Duplicate of another row — funds counted twice; ","")&amp;IF(ISNUMBER('SC Change Orders'!$F292),IF('SC Change Orders'!$F292&lt;&gt;0,IF(AND(ISNUMBER('SC Change Orders'!$B292),NOT(COUNTIFS('SC Change Orders'!$B$2:$B$501,'SC Change Orders'!$B292,'SC Change Orders'!$C$2:$C$501,'SC Change Orders'!$C292,'SC Change Orders'!$D$2:$D$501,'SC Change Orders'!$D292,'SC Change Orders'!$F$2:$F$501,'SC Change Orders'!$F292,'SC Change Orders'!$E$2:$E$501,'SC Change Orders'!$E292)&gt;1),COUNTIFS('SC Change Orders'!$B$2:$B$501,'SC Change Orders'!$B292,'SC Change Orders'!$F$2:$F$501,'SC Change Orders'!$F292)&gt;1),  "Same PO and Amount Added as another row — check for a restatement counted twice; ",""),""),""))</f>
        <v/>
      </c>
    </row>
    <row r="311" customFormat="false" ht="15" hidden="false" customHeight="false" outlineLevel="0" collapsed="false">
      <c r="A311" s="18" t="str">
        <f aca="false">IF(AND('SC Change Orders'!$A293="",'SC Change Orders'!$B293="",'SC Change Orders'!$C293=""),"",293)</f>
        <v/>
      </c>
      <c r="B311" s="31" t="str">
        <f aca="false">IF($A311="","",'SC Change Orders'!$A293)</f>
        <v/>
      </c>
      <c r="C311" s="18" t="str">
        <f aca="false">IF($A311="","",'SC Change Orders'!$B293)</f>
        <v/>
      </c>
      <c r="D311" s="32" t="str">
        <f aca="false">IF($A311="","",'SC Change Orders'!$C293)</f>
        <v/>
      </c>
      <c r="E311" s="31" t="str">
        <f aca="false">IF($A311="","",'SC Change Orders'!$D293)</f>
        <v/>
      </c>
      <c r="F311" s="33" t="str">
        <f aca="false">IF($A311="","",'SC Change Orders'!$E293)</f>
        <v/>
      </c>
      <c r="G311" s="33" t="str">
        <f aca="false">IF($A311="","",'SC Change Orders'!$F293)</f>
        <v/>
      </c>
      <c r="H311" s="33" t="str">
        <f aca="false">IF($A311="","",'SC Change Orders'!$G293)</f>
        <v/>
      </c>
      <c r="I311" s="34" t="str">
        <f aca="false">IF($A311="","",IF(AND(ISNUMBER('SC Change Orders'!$C293),'SC Change Orders'!$C293&gt;=Controls!$C$5,'SC Change Orders'!$C293&lt;=Controls!$C$6),"Yes","No"))</f>
        <v/>
      </c>
      <c r="J311" s="31" t="str">
        <f aca="false">IF($A311="","",IF($K311="","OK",$K311))</f>
        <v/>
      </c>
      <c r="K311" s="0" t="str">
        <f aca="false">IF($A311="","",IF(NOT(ISNUMBER('SC Change Orders'!$B293)),"PO not numeric — row is invisible to the tracker; ","")&amp;IF(NOT(ISNUMBER('SC Change Orders'!$C293)),"Date missing or text — row excluded; ",  IF(OR('SC Change Orders'!$C293&lt;Controls!$C$5,'SC Change Orders'!$C293&gt;Controls!$C$6),"Dated outside the FY window — excluded; ",""))&amp;IF(AND('SC Change Orders'!$E293&lt;&gt;"",NOT(ISNUMBER('SC Change Orders'!$E293))),"Original Amount held as text — ignored by MINIFS; ","")&amp;IF(AND('SC Change Orders'!$F293&lt;&gt;"",NOT(ISNUMBER('SC Change Orders'!$F293))),"Amount Added held as text — ignored by SUMIFS; ","")&amp;IF(ISNUMBER('SC Change Orders'!$E293),IF(ISNUMBER('SC Change Orders'!$F293),IF(ISNUMBER('SC Change Orders'!$G293),  IF('SC Change Orders'!$G293&gt;0,IF(ROUND('SC Change Orders'!$E293+'SC Change Orders'!$F293,2)&lt;&gt;ROUND('SC Change Orders'!$G293,2),  "Original + Added &lt;&gt; Total Line Cost Allotted; ",""),""),""),""),"")&amp;IF(AND(ISNUMBER('SC Change Orders'!$B293),COUNTIFS('SC Change Orders'!$B$2:$B$501,'SC Change Orders'!$B293,'SC Change Orders'!$C$2:$C$501,'SC Change Orders'!$C293,'SC Change Orders'!$D$2:$D$501,'SC Change Orders'!$D293,'SC Change Orders'!$F$2:$F$501,'SC Change Orders'!$F293,'SC Change Orders'!$E$2:$E$501,'SC Change Orders'!$E293)&gt;1),"Duplicate of another row — funds counted twice; ","")&amp;IF(ISNUMBER('SC Change Orders'!$F293),IF('SC Change Orders'!$F293&lt;&gt;0,IF(AND(ISNUMBER('SC Change Orders'!$B293),NOT(COUNTIFS('SC Change Orders'!$B$2:$B$501,'SC Change Orders'!$B293,'SC Change Orders'!$C$2:$C$501,'SC Change Orders'!$C293,'SC Change Orders'!$D$2:$D$501,'SC Change Orders'!$D293,'SC Change Orders'!$F$2:$F$501,'SC Change Orders'!$F293,'SC Change Orders'!$E$2:$E$501,'SC Change Orders'!$E293)&gt;1),COUNTIFS('SC Change Orders'!$B$2:$B$501,'SC Change Orders'!$B293,'SC Change Orders'!$F$2:$F$501,'SC Change Orders'!$F293)&gt;1),  "Same PO and Amount Added as another row — check for a restatement counted twice; ",""),""),""))</f>
        <v/>
      </c>
    </row>
    <row r="312" customFormat="false" ht="15" hidden="false" customHeight="false" outlineLevel="0" collapsed="false">
      <c r="A312" s="18" t="str">
        <f aca="false">IF(AND('SC Change Orders'!$A294="",'SC Change Orders'!$B294="",'SC Change Orders'!$C294=""),"",294)</f>
        <v/>
      </c>
      <c r="B312" s="31" t="str">
        <f aca="false">IF($A312="","",'SC Change Orders'!$A294)</f>
        <v/>
      </c>
      <c r="C312" s="18" t="str">
        <f aca="false">IF($A312="","",'SC Change Orders'!$B294)</f>
        <v/>
      </c>
      <c r="D312" s="32" t="str">
        <f aca="false">IF($A312="","",'SC Change Orders'!$C294)</f>
        <v/>
      </c>
      <c r="E312" s="31" t="str">
        <f aca="false">IF($A312="","",'SC Change Orders'!$D294)</f>
        <v/>
      </c>
      <c r="F312" s="33" t="str">
        <f aca="false">IF($A312="","",'SC Change Orders'!$E294)</f>
        <v/>
      </c>
      <c r="G312" s="33" t="str">
        <f aca="false">IF($A312="","",'SC Change Orders'!$F294)</f>
        <v/>
      </c>
      <c r="H312" s="33" t="str">
        <f aca="false">IF($A312="","",'SC Change Orders'!$G294)</f>
        <v/>
      </c>
      <c r="I312" s="34" t="str">
        <f aca="false">IF($A312="","",IF(AND(ISNUMBER('SC Change Orders'!$C294),'SC Change Orders'!$C294&gt;=Controls!$C$5,'SC Change Orders'!$C294&lt;=Controls!$C$6),"Yes","No"))</f>
        <v/>
      </c>
      <c r="J312" s="31" t="str">
        <f aca="false">IF($A312="","",IF($K312="","OK",$K312))</f>
        <v/>
      </c>
      <c r="K312" s="0" t="str">
        <f aca="false">IF($A312="","",IF(NOT(ISNUMBER('SC Change Orders'!$B294)),"PO not numeric — row is invisible to the tracker; ","")&amp;IF(NOT(ISNUMBER('SC Change Orders'!$C294)),"Date missing or text — row excluded; ",  IF(OR('SC Change Orders'!$C294&lt;Controls!$C$5,'SC Change Orders'!$C294&gt;Controls!$C$6),"Dated outside the FY window — excluded; ",""))&amp;IF(AND('SC Change Orders'!$E294&lt;&gt;"",NOT(ISNUMBER('SC Change Orders'!$E294))),"Original Amount held as text — ignored by MINIFS; ","")&amp;IF(AND('SC Change Orders'!$F294&lt;&gt;"",NOT(ISNUMBER('SC Change Orders'!$F294))),"Amount Added held as text — ignored by SUMIFS; ","")&amp;IF(ISNUMBER('SC Change Orders'!$E294),IF(ISNUMBER('SC Change Orders'!$F294),IF(ISNUMBER('SC Change Orders'!$G294),  IF('SC Change Orders'!$G294&gt;0,IF(ROUND('SC Change Orders'!$E294+'SC Change Orders'!$F294,2)&lt;&gt;ROUND('SC Change Orders'!$G294,2),  "Original + Added &lt;&gt; Total Line Cost Allotted; ",""),""),""),""),"")&amp;IF(AND(ISNUMBER('SC Change Orders'!$B294),COUNTIFS('SC Change Orders'!$B$2:$B$501,'SC Change Orders'!$B294,'SC Change Orders'!$C$2:$C$501,'SC Change Orders'!$C294,'SC Change Orders'!$D$2:$D$501,'SC Change Orders'!$D294,'SC Change Orders'!$F$2:$F$501,'SC Change Orders'!$F294,'SC Change Orders'!$E$2:$E$501,'SC Change Orders'!$E294)&gt;1),"Duplicate of another row — funds counted twice; ","")&amp;IF(ISNUMBER('SC Change Orders'!$F294),IF('SC Change Orders'!$F294&lt;&gt;0,IF(AND(ISNUMBER('SC Change Orders'!$B294),NOT(COUNTIFS('SC Change Orders'!$B$2:$B$501,'SC Change Orders'!$B294,'SC Change Orders'!$C$2:$C$501,'SC Change Orders'!$C294,'SC Change Orders'!$D$2:$D$501,'SC Change Orders'!$D294,'SC Change Orders'!$F$2:$F$501,'SC Change Orders'!$F294,'SC Change Orders'!$E$2:$E$501,'SC Change Orders'!$E294)&gt;1),COUNTIFS('SC Change Orders'!$B$2:$B$501,'SC Change Orders'!$B294,'SC Change Orders'!$F$2:$F$501,'SC Change Orders'!$F294)&gt;1),  "Same PO and Amount Added as another row — check for a restatement counted twice; ",""),""),""))</f>
        <v/>
      </c>
    </row>
    <row r="313" customFormat="false" ht="15" hidden="false" customHeight="false" outlineLevel="0" collapsed="false">
      <c r="A313" s="18" t="str">
        <f aca="false">IF(AND('SC Change Orders'!$A295="",'SC Change Orders'!$B295="",'SC Change Orders'!$C295=""),"",295)</f>
        <v/>
      </c>
      <c r="B313" s="31" t="str">
        <f aca="false">IF($A313="","",'SC Change Orders'!$A295)</f>
        <v/>
      </c>
      <c r="C313" s="18" t="str">
        <f aca="false">IF($A313="","",'SC Change Orders'!$B295)</f>
        <v/>
      </c>
      <c r="D313" s="32" t="str">
        <f aca="false">IF($A313="","",'SC Change Orders'!$C295)</f>
        <v/>
      </c>
      <c r="E313" s="31" t="str">
        <f aca="false">IF($A313="","",'SC Change Orders'!$D295)</f>
        <v/>
      </c>
      <c r="F313" s="33" t="str">
        <f aca="false">IF($A313="","",'SC Change Orders'!$E295)</f>
        <v/>
      </c>
      <c r="G313" s="33" t="str">
        <f aca="false">IF($A313="","",'SC Change Orders'!$F295)</f>
        <v/>
      </c>
      <c r="H313" s="33" t="str">
        <f aca="false">IF($A313="","",'SC Change Orders'!$G295)</f>
        <v/>
      </c>
      <c r="I313" s="34" t="str">
        <f aca="false">IF($A313="","",IF(AND(ISNUMBER('SC Change Orders'!$C295),'SC Change Orders'!$C295&gt;=Controls!$C$5,'SC Change Orders'!$C295&lt;=Controls!$C$6),"Yes","No"))</f>
        <v/>
      </c>
      <c r="J313" s="31" t="str">
        <f aca="false">IF($A313="","",IF($K313="","OK",$K313))</f>
        <v/>
      </c>
      <c r="K313" s="0" t="str">
        <f aca="false">IF($A313="","",IF(NOT(ISNUMBER('SC Change Orders'!$B295)),"PO not numeric — row is invisible to the tracker; ","")&amp;IF(NOT(ISNUMBER('SC Change Orders'!$C295)),"Date missing or text — row excluded; ",  IF(OR('SC Change Orders'!$C295&lt;Controls!$C$5,'SC Change Orders'!$C295&gt;Controls!$C$6),"Dated outside the FY window — excluded; ",""))&amp;IF(AND('SC Change Orders'!$E295&lt;&gt;"",NOT(ISNUMBER('SC Change Orders'!$E295))),"Original Amount held as text — ignored by MINIFS; ","")&amp;IF(AND('SC Change Orders'!$F295&lt;&gt;"",NOT(ISNUMBER('SC Change Orders'!$F295))),"Amount Added held as text — ignored by SUMIFS; ","")&amp;IF(ISNUMBER('SC Change Orders'!$E295),IF(ISNUMBER('SC Change Orders'!$F295),IF(ISNUMBER('SC Change Orders'!$G295),  IF('SC Change Orders'!$G295&gt;0,IF(ROUND('SC Change Orders'!$E295+'SC Change Orders'!$F295,2)&lt;&gt;ROUND('SC Change Orders'!$G295,2),  "Original + Added &lt;&gt; Total Line Cost Allotted; ",""),""),""),""),"")&amp;IF(AND(ISNUMBER('SC Change Orders'!$B295),COUNTIFS('SC Change Orders'!$B$2:$B$501,'SC Change Orders'!$B295,'SC Change Orders'!$C$2:$C$501,'SC Change Orders'!$C295,'SC Change Orders'!$D$2:$D$501,'SC Change Orders'!$D295,'SC Change Orders'!$F$2:$F$501,'SC Change Orders'!$F295,'SC Change Orders'!$E$2:$E$501,'SC Change Orders'!$E295)&gt;1),"Duplicate of another row — funds counted twice; ","")&amp;IF(ISNUMBER('SC Change Orders'!$F295),IF('SC Change Orders'!$F295&lt;&gt;0,IF(AND(ISNUMBER('SC Change Orders'!$B295),NOT(COUNTIFS('SC Change Orders'!$B$2:$B$501,'SC Change Orders'!$B295,'SC Change Orders'!$C$2:$C$501,'SC Change Orders'!$C295,'SC Change Orders'!$D$2:$D$501,'SC Change Orders'!$D295,'SC Change Orders'!$F$2:$F$501,'SC Change Orders'!$F295,'SC Change Orders'!$E$2:$E$501,'SC Change Orders'!$E295)&gt;1),COUNTIFS('SC Change Orders'!$B$2:$B$501,'SC Change Orders'!$B295,'SC Change Orders'!$F$2:$F$501,'SC Change Orders'!$F295)&gt;1),  "Same PO and Amount Added as another row — check for a restatement counted twice; ",""),""),""))</f>
        <v/>
      </c>
    </row>
    <row r="314" customFormat="false" ht="15" hidden="false" customHeight="false" outlineLevel="0" collapsed="false">
      <c r="A314" s="18" t="str">
        <f aca="false">IF(AND('SC Change Orders'!$A296="",'SC Change Orders'!$B296="",'SC Change Orders'!$C296=""),"",296)</f>
        <v/>
      </c>
      <c r="B314" s="31" t="str">
        <f aca="false">IF($A314="","",'SC Change Orders'!$A296)</f>
        <v/>
      </c>
      <c r="C314" s="18" t="str">
        <f aca="false">IF($A314="","",'SC Change Orders'!$B296)</f>
        <v/>
      </c>
      <c r="D314" s="32" t="str">
        <f aca="false">IF($A314="","",'SC Change Orders'!$C296)</f>
        <v/>
      </c>
      <c r="E314" s="31" t="str">
        <f aca="false">IF($A314="","",'SC Change Orders'!$D296)</f>
        <v/>
      </c>
      <c r="F314" s="33" t="str">
        <f aca="false">IF($A314="","",'SC Change Orders'!$E296)</f>
        <v/>
      </c>
      <c r="G314" s="33" t="str">
        <f aca="false">IF($A314="","",'SC Change Orders'!$F296)</f>
        <v/>
      </c>
      <c r="H314" s="33" t="str">
        <f aca="false">IF($A314="","",'SC Change Orders'!$G296)</f>
        <v/>
      </c>
      <c r="I314" s="34" t="str">
        <f aca="false">IF($A314="","",IF(AND(ISNUMBER('SC Change Orders'!$C296),'SC Change Orders'!$C296&gt;=Controls!$C$5,'SC Change Orders'!$C296&lt;=Controls!$C$6),"Yes","No"))</f>
        <v/>
      </c>
      <c r="J314" s="31" t="str">
        <f aca="false">IF($A314="","",IF($K314="","OK",$K314))</f>
        <v/>
      </c>
      <c r="K314" s="0" t="str">
        <f aca="false">IF($A314="","",IF(NOT(ISNUMBER('SC Change Orders'!$B296)),"PO not numeric — row is invisible to the tracker; ","")&amp;IF(NOT(ISNUMBER('SC Change Orders'!$C296)),"Date missing or text — row excluded; ",  IF(OR('SC Change Orders'!$C296&lt;Controls!$C$5,'SC Change Orders'!$C296&gt;Controls!$C$6),"Dated outside the FY window — excluded; ",""))&amp;IF(AND('SC Change Orders'!$E296&lt;&gt;"",NOT(ISNUMBER('SC Change Orders'!$E296))),"Original Amount held as text — ignored by MINIFS; ","")&amp;IF(AND('SC Change Orders'!$F296&lt;&gt;"",NOT(ISNUMBER('SC Change Orders'!$F296))),"Amount Added held as text — ignored by SUMIFS; ","")&amp;IF(ISNUMBER('SC Change Orders'!$E296),IF(ISNUMBER('SC Change Orders'!$F296),IF(ISNUMBER('SC Change Orders'!$G296),  IF('SC Change Orders'!$G296&gt;0,IF(ROUND('SC Change Orders'!$E296+'SC Change Orders'!$F296,2)&lt;&gt;ROUND('SC Change Orders'!$G296,2),  "Original + Added &lt;&gt; Total Line Cost Allotted; ",""),""),""),""),"")&amp;IF(AND(ISNUMBER('SC Change Orders'!$B296),COUNTIFS('SC Change Orders'!$B$2:$B$501,'SC Change Orders'!$B296,'SC Change Orders'!$C$2:$C$501,'SC Change Orders'!$C296,'SC Change Orders'!$D$2:$D$501,'SC Change Orders'!$D296,'SC Change Orders'!$F$2:$F$501,'SC Change Orders'!$F296,'SC Change Orders'!$E$2:$E$501,'SC Change Orders'!$E296)&gt;1),"Duplicate of another row — funds counted twice; ","")&amp;IF(ISNUMBER('SC Change Orders'!$F296),IF('SC Change Orders'!$F296&lt;&gt;0,IF(AND(ISNUMBER('SC Change Orders'!$B296),NOT(COUNTIFS('SC Change Orders'!$B$2:$B$501,'SC Change Orders'!$B296,'SC Change Orders'!$C$2:$C$501,'SC Change Orders'!$C296,'SC Change Orders'!$D$2:$D$501,'SC Change Orders'!$D296,'SC Change Orders'!$F$2:$F$501,'SC Change Orders'!$F296,'SC Change Orders'!$E$2:$E$501,'SC Change Orders'!$E296)&gt;1),COUNTIFS('SC Change Orders'!$B$2:$B$501,'SC Change Orders'!$B296,'SC Change Orders'!$F$2:$F$501,'SC Change Orders'!$F296)&gt;1),  "Same PO and Amount Added as another row — check for a restatement counted twice; ",""),""),""))</f>
        <v/>
      </c>
    </row>
    <row r="315" customFormat="false" ht="15" hidden="false" customHeight="false" outlineLevel="0" collapsed="false">
      <c r="A315" s="18" t="str">
        <f aca="false">IF(AND('SC Change Orders'!$A297="",'SC Change Orders'!$B297="",'SC Change Orders'!$C297=""),"",297)</f>
        <v/>
      </c>
      <c r="B315" s="31" t="str">
        <f aca="false">IF($A315="","",'SC Change Orders'!$A297)</f>
        <v/>
      </c>
      <c r="C315" s="18" t="str">
        <f aca="false">IF($A315="","",'SC Change Orders'!$B297)</f>
        <v/>
      </c>
      <c r="D315" s="32" t="str">
        <f aca="false">IF($A315="","",'SC Change Orders'!$C297)</f>
        <v/>
      </c>
      <c r="E315" s="31" t="str">
        <f aca="false">IF($A315="","",'SC Change Orders'!$D297)</f>
        <v/>
      </c>
      <c r="F315" s="33" t="str">
        <f aca="false">IF($A315="","",'SC Change Orders'!$E297)</f>
        <v/>
      </c>
      <c r="G315" s="33" t="str">
        <f aca="false">IF($A315="","",'SC Change Orders'!$F297)</f>
        <v/>
      </c>
      <c r="H315" s="33" t="str">
        <f aca="false">IF($A315="","",'SC Change Orders'!$G297)</f>
        <v/>
      </c>
      <c r="I315" s="34" t="str">
        <f aca="false">IF($A315="","",IF(AND(ISNUMBER('SC Change Orders'!$C297),'SC Change Orders'!$C297&gt;=Controls!$C$5,'SC Change Orders'!$C297&lt;=Controls!$C$6),"Yes","No"))</f>
        <v/>
      </c>
      <c r="J315" s="31" t="str">
        <f aca="false">IF($A315="","",IF($K315="","OK",$K315))</f>
        <v/>
      </c>
      <c r="K315" s="0" t="str">
        <f aca="false">IF($A315="","",IF(NOT(ISNUMBER('SC Change Orders'!$B297)),"PO not numeric — row is invisible to the tracker; ","")&amp;IF(NOT(ISNUMBER('SC Change Orders'!$C297)),"Date missing or text — row excluded; ",  IF(OR('SC Change Orders'!$C297&lt;Controls!$C$5,'SC Change Orders'!$C297&gt;Controls!$C$6),"Dated outside the FY window — excluded; ",""))&amp;IF(AND('SC Change Orders'!$E297&lt;&gt;"",NOT(ISNUMBER('SC Change Orders'!$E297))),"Original Amount held as text — ignored by MINIFS; ","")&amp;IF(AND('SC Change Orders'!$F297&lt;&gt;"",NOT(ISNUMBER('SC Change Orders'!$F297))),"Amount Added held as text — ignored by SUMIFS; ","")&amp;IF(ISNUMBER('SC Change Orders'!$E297),IF(ISNUMBER('SC Change Orders'!$F297),IF(ISNUMBER('SC Change Orders'!$G297),  IF('SC Change Orders'!$G297&gt;0,IF(ROUND('SC Change Orders'!$E297+'SC Change Orders'!$F297,2)&lt;&gt;ROUND('SC Change Orders'!$G297,2),  "Original + Added &lt;&gt; Total Line Cost Allotted; ",""),""),""),""),"")&amp;IF(AND(ISNUMBER('SC Change Orders'!$B297),COUNTIFS('SC Change Orders'!$B$2:$B$501,'SC Change Orders'!$B297,'SC Change Orders'!$C$2:$C$501,'SC Change Orders'!$C297,'SC Change Orders'!$D$2:$D$501,'SC Change Orders'!$D297,'SC Change Orders'!$F$2:$F$501,'SC Change Orders'!$F297,'SC Change Orders'!$E$2:$E$501,'SC Change Orders'!$E297)&gt;1),"Duplicate of another row — funds counted twice; ","")&amp;IF(ISNUMBER('SC Change Orders'!$F297),IF('SC Change Orders'!$F297&lt;&gt;0,IF(AND(ISNUMBER('SC Change Orders'!$B297),NOT(COUNTIFS('SC Change Orders'!$B$2:$B$501,'SC Change Orders'!$B297,'SC Change Orders'!$C$2:$C$501,'SC Change Orders'!$C297,'SC Change Orders'!$D$2:$D$501,'SC Change Orders'!$D297,'SC Change Orders'!$F$2:$F$501,'SC Change Orders'!$F297,'SC Change Orders'!$E$2:$E$501,'SC Change Orders'!$E297)&gt;1),COUNTIFS('SC Change Orders'!$B$2:$B$501,'SC Change Orders'!$B297,'SC Change Orders'!$F$2:$F$501,'SC Change Orders'!$F297)&gt;1),  "Same PO and Amount Added as another row — check for a restatement counted twice; ",""),""),""))</f>
        <v/>
      </c>
    </row>
    <row r="316" customFormat="false" ht="15" hidden="false" customHeight="false" outlineLevel="0" collapsed="false">
      <c r="A316" s="18" t="str">
        <f aca="false">IF(AND('SC Change Orders'!$A298="",'SC Change Orders'!$B298="",'SC Change Orders'!$C298=""),"",298)</f>
        <v/>
      </c>
      <c r="B316" s="31" t="str">
        <f aca="false">IF($A316="","",'SC Change Orders'!$A298)</f>
        <v/>
      </c>
      <c r="C316" s="18" t="str">
        <f aca="false">IF($A316="","",'SC Change Orders'!$B298)</f>
        <v/>
      </c>
      <c r="D316" s="32" t="str">
        <f aca="false">IF($A316="","",'SC Change Orders'!$C298)</f>
        <v/>
      </c>
      <c r="E316" s="31" t="str">
        <f aca="false">IF($A316="","",'SC Change Orders'!$D298)</f>
        <v/>
      </c>
      <c r="F316" s="33" t="str">
        <f aca="false">IF($A316="","",'SC Change Orders'!$E298)</f>
        <v/>
      </c>
      <c r="G316" s="33" t="str">
        <f aca="false">IF($A316="","",'SC Change Orders'!$F298)</f>
        <v/>
      </c>
      <c r="H316" s="33" t="str">
        <f aca="false">IF($A316="","",'SC Change Orders'!$G298)</f>
        <v/>
      </c>
      <c r="I316" s="34" t="str">
        <f aca="false">IF($A316="","",IF(AND(ISNUMBER('SC Change Orders'!$C298),'SC Change Orders'!$C298&gt;=Controls!$C$5,'SC Change Orders'!$C298&lt;=Controls!$C$6),"Yes","No"))</f>
        <v/>
      </c>
      <c r="J316" s="31" t="str">
        <f aca="false">IF($A316="","",IF($K316="","OK",$K316))</f>
        <v/>
      </c>
      <c r="K316" s="0" t="str">
        <f aca="false">IF($A316="","",IF(NOT(ISNUMBER('SC Change Orders'!$B298)),"PO not numeric — row is invisible to the tracker; ","")&amp;IF(NOT(ISNUMBER('SC Change Orders'!$C298)),"Date missing or text — row excluded; ",  IF(OR('SC Change Orders'!$C298&lt;Controls!$C$5,'SC Change Orders'!$C298&gt;Controls!$C$6),"Dated outside the FY window — excluded; ",""))&amp;IF(AND('SC Change Orders'!$E298&lt;&gt;"",NOT(ISNUMBER('SC Change Orders'!$E298))),"Original Amount held as text — ignored by MINIFS; ","")&amp;IF(AND('SC Change Orders'!$F298&lt;&gt;"",NOT(ISNUMBER('SC Change Orders'!$F298))),"Amount Added held as text — ignored by SUMIFS; ","")&amp;IF(ISNUMBER('SC Change Orders'!$E298),IF(ISNUMBER('SC Change Orders'!$F298),IF(ISNUMBER('SC Change Orders'!$G298),  IF('SC Change Orders'!$G298&gt;0,IF(ROUND('SC Change Orders'!$E298+'SC Change Orders'!$F298,2)&lt;&gt;ROUND('SC Change Orders'!$G298,2),  "Original + Added &lt;&gt; Total Line Cost Allotted; ",""),""),""),""),"")&amp;IF(AND(ISNUMBER('SC Change Orders'!$B298),COUNTIFS('SC Change Orders'!$B$2:$B$501,'SC Change Orders'!$B298,'SC Change Orders'!$C$2:$C$501,'SC Change Orders'!$C298,'SC Change Orders'!$D$2:$D$501,'SC Change Orders'!$D298,'SC Change Orders'!$F$2:$F$501,'SC Change Orders'!$F298,'SC Change Orders'!$E$2:$E$501,'SC Change Orders'!$E298)&gt;1),"Duplicate of another row — funds counted twice; ","")&amp;IF(ISNUMBER('SC Change Orders'!$F298),IF('SC Change Orders'!$F298&lt;&gt;0,IF(AND(ISNUMBER('SC Change Orders'!$B298),NOT(COUNTIFS('SC Change Orders'!$B$2:$B$501,'SC Change Orders'!$B298,'SC Change Orders'!$C$2:$C$501,'SC Change Orders'!$C298,'SC Change Orders'!$D$2:$D$501,'SC Change Orders'!$D298,'SC Change Orders'!$F$2:$F$501,'SC Change Orders'!$F298,'SC Change Orders'!$E$2:$E$501,'SC Change Orders'!$E298)&gt;1),COUNTIFS('SC Change Orders'!$B$2:$B$501,'SC Change Orders'!$B298,'SC Change Orders'!$F$2:$F$501,'SC Change Orders'!$F298)&gt;1),  "Same PO and Amount Added as another row — check for a restatement counted twice; ",""),""),""))</f>
        <v/>
      </c>
    </row>
    <row r="317" customFormat="false" ht="15" hidden="false" customHeight="false" outlineLevel="0" collapsed="false">
      <c r="A317" s="18" t="str">
        <f aca="false">IF(AND('SC Change Orders'!$A299="",'SC Change Orders'!$B299="",'SC Change Orders'!$C299=""),"",299)</f>
        <v/>
      </c>
      <c r="B317" s="31" t="str">
        <f aca="false">IF($A317="","",'SC Change Orders'!$A299)</f>
        <v/>
      </c>
      <c r="C317" s="18" t="str">
        <f aca="false">IF($A317="","",'SC Change Orders'!$B299)</f>
        <v/>
      </c>
      <c r="D317" s="32" t="str">
        <f aca="false">IF($A317="","",'SC Change Orders'!$C299)</f>
        <v/>
      </c>
      <c r="E317" s="31" t="str">
        <f aca="false">IF($A317="","",'SC Change Orders'!$D299)</f>
        <v/>
      </c>
      <c r="F317" s="33" t="str">
        <f aca="false">IF($A317="","",'SC Change Orders'!$E299)</f>
        <v/>
      </c>
      <c r="G317" s="33" t="str">
        <f aca="false">IF($A317="","",'SC Change Orders'!$F299)</f>
        <v/>
      </c>
      <c r="H317" s="33" t="str">
        <f aca="false">IF($A317="","",'SC Change Orders'!$G299)</f>
        <v/>
      </c>
      <c r="I317" s="34" t="str">
        <f aca="false">IF($A317="","",IF(AND(ISNUMBER('SC Change Orders'!$C299),'SC Change Orders'!$C299&gt;=Controls!$C$5,'SC Change Orders'!$C299&lt;=Controls!$C$6),"Yes","No"))</f>
        <v/>
      </c>
      <c r="J317" s="31" t="str">
        <f aca="false">IF($A317="","",IF($K317="","OK",$K317))</f>
        <v/>
      </c>
      <c r="K317" s="0" t="str">
        <f aca="false">IF($A317="","",IF(NOT(ISNUMBER('SC Change Orders'!$B299)),"PO not numeric — row is invisible to the tracker; ","")&amp;IF(NOT(ISNUMBER('SC Change Orders'!$C299)),"Date missing or text — row excluded; ",  IF(OR('SC Change Orders'!$C299&lt;Controls!$C$5,'SC Change Orders'!$C299&gt;Controls!$C$6),"Dated outside the FY window — excluded; ",""))&amp;IF(AND('SC Change Orders'!$E299&lt;&gt;"",NOT(ISNUMBER('SC Change Orders'!$E299))),"Original Amount held as text — ignored by MINIFS; ","")&amp;IF(AND('SC Change Orders'!$F299&lt;&gt;"",NOT(ISNUMBER('SC Change Orders'!$F299))),"Amount Added held as text — ignored by SUMIFS; ","")&amp;IF(ISNUMBER('SC Change Orders'!$E299),IF(ISNUMBER('SC Change Orders'!$F299),IF(ISNUMBER('SC Change Orders'!$G299),  IF('SC Change Orders'!$G299&gt;0,IF(ROUND('SC Change Orders'!$E299+'SC Change Orders'!$F299,2)&lt;&gt;ROUND('SC Change Orders'!$G299,2),  "Original + Added &lt;&gt; Total Line Cost Allotted; ",""),""),""),""),"")&amp;IF(AND(ISNUMBER('SC Change Orders'!$B299),COUNTIFS('SC Change Orders'!$B$2:$B$501,'SC Change Orders'!$B299,'SC Change Orders'!$C$2:$C$501,'SC Change Orders'!$C299,'SC Change Orders'!$D$2:$D$501,'SC Change Orders'!$D299,'SC Change Orders'!$F$2:$F$501,'SC Change Orders'!$F299,'SC Change Orders'!$E$2:$E$501,'SC Change Orders'!$E299)&gt;1),"Duplicate of another row — funds counted twice; ","")&amp;IF(ISNUMBER('SC Change Orders'!$F299),IF('SC Change Orders'!$F299&lt;&gt;0,IF(AND(ISNUMBER('SC Change Orders'!$B299),NOT(COUNTIFS('SC Change Orders'!$B$2:$B$501,'SC Change Orders'!$B299,'SC Change Orders'!$C$2:$C$501,'SC Change Orders'!$C299,'SC Change Orders'!$D$2:$D$501,'SC Change Orders'!$D299,'SC Change Orders'!$F$2:$F$501,'SC Change Orders'!$F299,'SC Change Orders'!$E$2:$E$501,'SC Change Orders'!$E299)&gt;1),COUNTIFS('SC Change Orders'!$B$2:$B$501,'SC Change Orders'!$B299,'SC Change Orders'!$F$2:$F$501,'SC Change Orders'!$F299)&gt;1),  "Same PO and Amount Added as another row — check for a restatement counted twice; ",""),""),""))</f>
        <v/>
      </c>
    </row>
    <row r="318" customFormat="false" ht="15" hidden="false" customHeight="false" outlineLevel="0" collapsed="false">
      <c r="A318" s="18" t="str">
        <f aca="false">IF(AND('SC Change Orders'!$A300="",'SC Change Orders'!$B300="",'SC Change Orders'!$C300=""),"",300)</f>
        <v/>
      </c>
      <c r="B318" s="31" t="str">
        <f aca="false">IF($A318="","",'SC Change Orders'!$A300)</f>
        <v/>
      </c>
      <c r="C318" s="18" t="str">
        <f aca="false">IF($A318="","",'SC Change Orders'!$B300)</f>
        <v/>
      </c>
      <c r="D318" s="32" t="str">
        <f aca="false">IF($A318="","",'SC Change Orders'!$C300)</f>
        <v/>
      </c>
      <c r="E318" s="31" t="str">
        <f aca="false">IF($A318="","",'SC Change Orders'!$D300)</f>
        <v/>
      </c>
      <c r="F318" s="33" t="str">
        <f aca="false">IF($A318="","",'SC Change Orders'!$E300)</f>
        <v/>
      </c>
      <c r="G318" s="33" t="str">
        <f aca="false">IF($A318="","",'SC Change Orders'!$F300)</f>
        <v/>
      </c>
      <c r="H318" s="33" t="str">
        <f aca="false">IF($A318="","",'SC Change Orders'!$G300)</f>
        <v/>
      </c>
      <c r="I318" s="34" t="str">
        <f aca="false">IF($A318="","",IF(AND(ISNUMBER('SC Change Orders'!$C300),'SC Change Orders'!$C300&gt;=Controls!$C$5,'SC Change Orders'!$C300&lt;=Controls!$C$6),"Yes","No"))</f>
        <v/>
      </c>
      <c r="J318" s="31" t="str">
        <f aca="false">IF($A318="","",IF($K318="","OK",$K318))</f>
        <v/>
      </c>
      <c r="K318" s="0" t="str">
        <f aca="false">IF($A318="","",IF(NOT(ISNUMBER('SC Change Orders'!$B300)),"PO not numeric — row is invisible to the tracker; ","")&amp;IF(NOT(ISNUMBER('SC Change Orders'!$C300)),"Date missing or text — row excluded; ",  IF(OR('SC Change Orders'!$C300&lt;Controls!$C$5,'SC Change Orders'!$C300&gt;Controls!$C$6),"Dated outside the FY window — excluded; ",""))&amp;IF(AND('SC Change Orders'!$E300&lt;&gt;"",NOT(ISNUMBER('SC Change Orders'!$E300))),"Original Amount held as text — ignored by MINIFS; ","")&amp;IF(AND('SC Change Orders'!$F300&lt;&gt;"",NOT(ISNUMBER('SC Change Orders'!$F300))),"Amount Added held as text — ignored by SUMIFS; ","")&amp;IF(ISNUMBER('SC Change Orders'!$E300),IF(ISNUMBER('SC Change Orders'!$F300),IF(ISNUMBER('SC Change Orders'!$G300),  IF('SC Change Orders'!$G300&gt;0,IF(ROUND('SC Change Orders'!$E300+'SC Change Orders'!$F300,2)&lt;&gt;ROUND('SC Change Orders'!$G300,2),  "Original + Added &lt;&gt; Total Line Cost Allotted; ",""),""),""),""),"")&amp;IF(AND(ISNUMBER('SC Change Orders'!$B300),COUNTIFS('SC Change Orders'!$B$2:$B$501,'SC Change Orders'!$B300,'SC Change Orders'!$C$2:$C$501,'SC Change Orders'!$C300,'SC Change Orders'!$D$2:$D$501,'SC Change Orders'!$D300,'SC Change Orders'!$F$2:$F$501,'SC Change Orders'!$F300,'SC Change Orders'!$E$2:$E$501,'SC Change Orders'!$E300)&gt;1),"Duplicate of another row — funds counted twice; ","")&amp;IF(ISNUMBER('SC Change Orders'!$F300),IF('SC Change Orders'!$F300&lt;&gt;0,IF(AND(ISNUMBER('SC Change Orders'!$B300),NOT(COUNTIFS('SC Change Orders'!$B$2:$B$501,'SC Change Orders'!$B300,'SC Change Orders'!$C$2:$C$501,'SC Change Orders'!$C300,'SC Change Orders'!$D$2:$D$501,'SC Change Orders'!$D300,'SC Change Orders'!$F$2:$F$501,'SC Change Orders'!$F300,'SC Change Orders'!$E$2:$E$501,'SC Change Orders'!$E300)&gt;1),COUNTIFS('SC Change Orders'!$B$2:$B$501,'SC Change Orders'!$B300,'SC Change Orders'!$F$2:$F$501,'SC Change Orders'!$F300)&gt;1),  "Same PO and Amount Added as another row — check for a restatement counted twice; ",""),""),""))</f>
        <v/>
      </c>
    </row>
    <row r="319" customFormat="false" ht="15" hidden="false" customHeight="false" outlineLevel="0" collapsed="false">
      <c r="A319" s="18" t="str">
        <f aca="false">IF(AND('SC Change Orders'!$A301="",'SC Change Orders'!$B301="",'SC Change Orders'!$C301=""),"",301)</f>
        <v/>
      </c>
      <c r="B319" s="31" t="str">
        <f aca="false">IF($A319="","",'SC Change Orders'!$A301)</f>
        <v/>
      </c>
      <c r="C319" s="18" t="str">
        <f aca="false">IF($A319="","",'SC Change Orders'!$B301)</f>
        <v/>
      </c>
      <c r="D319" s="32" t="str">
        <f aca="false">IF($A319="","",'SC Change Orders'!$C301)</f>
        <v/>
      </c>
      <c r="E319" s="31" t="str">
        <f aca="false">IF($A319="","",'SC Change Orders'!$D301)</f>
        <v/>
      </c>
      <c r="F319" s="33" t="str">
        <f aca="false">IF($A319="","",'SC Change Orders'!$E301)</f>
        <v/>
      </c>
      <c r="G319" s="33" t="str">
        <f aca="false">IF($A319="","",'SC Change Orders'!$F301)</f>
        <v/>
      </c>
      <c r="H319" s="33" t="str">
        <f aca="false">IF($A319="","",'SC Change Orders'!$G301)</f>
        <v/>
      </c>
      <c r="I319" s="34" t="str">
        <f aca="false">IF($A319="","",IF(AND(ISNUMBER('SC Change Orders'!$C301),'SC Change Orders'!$C301&gt;=Controls!$C$5,'SC Change Orders'!$C301&lt;=Controls!$C$6),"Yes","No"))</f>
        <v/>
      </c>
      <c r="J319" s="31" t="str">
        <f aca="false">IF($A319="","",IF($K319="","OK",$K319))</f>
        <v/>
      </c>
      <c r="K319" s="0" t="str">
        <f aca="false">IF($A319="","",IF(NOT(ISNUMBER('SC Change Orders'!$B301)),"PO not numeric — row is invisible to the tracker; ","")&amp;IF(NOT(ISNUMBER('SC Change Orders'!$C301)),"Date missing or text — row excluded; ",  IF(OR('SC Change Orders'!$C301&lt;Controls!$C$5,'SC Change Orders'!$C301&gt;Controls!$C$6),"Dated outside the FY window — excluded; ",""))&amp;IF(AND('SC Change Orders'!$E301&lt;&gt;"",NOT(ISNUMBER('SC Change Orders'!$E301))),"Original Amount held as text — ignored by MINIFS; ","")&amp;IF(AND('SC Change Orders'!$F301&lt;&gt;"",NOT(ISNUMBER('SC Change Orders'!$F301))),"Amount Added held as text — ignored by SUMIFS; ","")&amp;IF(ISNUMBER('SC Change Orders'!$E301),IF(ISNUMBER('SC Change Orders'!$F301),IF(ISNUMBER('SC Change Orders'!$G301),  IF('SC Change Orders'!$G301&gt;0,IF(ROUND('SC Change Orders'!$E301+'SC Change Orders'!$F301,2)&lt;&gt;ROUND('SC Change Orders'!$G301,2),  "Original + Added &lt;&gt; Total Line Cost Allotted; ",""),""),""),""),"")&amp;IF(AND(ISNUMBER('SC Change Orders'!$B301),COUNTIFS('SC Change Orders'!$B$2:$B$501,'SC Change Orders'!$B301,'SC Change Orders'!$C$2:$C$501,'SC Change Orders'!$C301,'SC Change Orders'!$D$2:$D$501,'SC Change Orders'!$D301,'SC Change Orders'!$F$2:$F$501,'SC Change Orders'!$F301,'SC Change Orders'!$E$2:$E$501,'SC Change Orders'!$E301)&gt;1),"Duplicate of another row — funds counted twice; ","")&amp;IF(ISNUMBER('SC Change Orders'!$F301),IF('SC Change Orders'!$F301&lt;&gt;0,IF(AND(ISNUMBER('SC Change Orders'!$B301),NOT(COUNTIFS('SC Change Orders'!$B$2:$B$501,'SC Change Orders'!$B301,'SC Change Orders'!$C$2:$C$501,'SC Change Orders'!$C301,'SC Change Orders'!$D$2:$D$501,'SC Change Orders'!$D301,'SC Change Orders'!$F$2:$F$501,'SC Change Orders'!$F301,'SC Change Orders'!$E$2:$E$501,'SC Change Orders'!$E301)&gt;1),COUNTIFS('SC Change Orders'!$B$2:$B$501,'SC Change Orders'!$B301,'SC Change Orders'!$F$2:$F$501,'SC Change Orders'!$F301)&gt;1),  "Same PO and Amount Added as another row — check for a restatement counted twice; ",""),""),""))</f>
        <v/>
      </c>
    </row>
    <row r="320" customFormat="false" ht="15" hidden="false" customHeight="false" outlineLevel="0" collapsed="false">
      <c r="A320" s="18" t="str">
        <f aca="false">IF(AND('SC Change Orders'!$A302="",'SC Change Orders'!$B302="",'SC Change Orders'!$C302=""),"",302)</f>
        <v/>
      </c>
      <c r="B320" s="31" t="str">
        <f aca="false">IF($A320="","",'SC Change Orders'!$A302)</f>
        <v/>
      </c>
      <c r="C320" s="18" t="str">
        <f aca="false">IF($A320="","",'SC Change Orders'!$B302)</f>
        <v/>
      </c>
      <c r="D320" s="32" t="str">
        <f aca="false">IF($A320="","",'SC Change Orders'!$C302)</f>
        <v/>
      </c>
      <c r="E320" s="31" t="str">
        <f aca="false">IF($A320="","",'SC Change Orders'!$D302)</f>
        <v/>
      </c>
      <c r="F320" s="33" t="str">
        <f aca="false">IF($A320="","",'SC Change Orders'!$E302)</f>
        <v/>
      </c>
      <c r="G320" s="33" t="str">
        <f aca="false">IF($A320="","",'SC Change Orders'!$F302)</f>
        <v/>
      </c>
      <c r="H320" s="33" t="str">
        <f aca="false">IF($A320="","",'SC Change Orders'!$G302)</f>
        <v/>
      </c>
      <c r="I320" s="34" t="str">
        <f aca="false">IF($A320="","",IF(AND(ISNUMBER('SC Change Orders'!$C302),'SC Change Orders'!$C302&gt;=Controls!$C$5,'SC Change Orders'!$C302&lt;=Controls!$C$6),"Yes","No"))</f>
        <v/>
      </c>
      <c r="J320" s="31" t="str">
        <f aca="false">IF($A320="","",IF($K320="","OK",$K320))</f>
        <v/>
      </c>
      <c r="K320" s="0" t="str">
        <f aca="false">IF($A320="","",IF(NOT(ISNUMBER('SC Change Orders'!$B302)),"PO not numeric — row is invisible to the tracker; ","")&amp;IF(NOT(ISNUMBER('SC Change Orders'!$C302)),"Date missing or text — row excluded; ",  IF(OR('SC Change Orders'!$C302&lt;Controls!$C$5,'SC Change Orders'!$C302&gt;Controls!$C$6),"Dated outside the FY window — excluded; ",""))&amp;IF(AND('SC Change Orders'!$E302&lt;&gt;"",NOT(ISNUMBER('SC Change Orders'!$E302))),"Original Amount held as text — ignored by MINIFS; ","")&amp;IF(AND('SC Change Orders'!$F302&lt;&gt;"",NOT(ISNUMBER('SC Change Orders'!$F302))),"Amount Added held as text — ignored by SUMIFS; ","")&amp;IF(ISNUMBER('SC Change Orders'!$E302),IF(ISNUMBER('SC Change Orders'!$F302),IF(ISNUMBER('SC Change Orders'!$G302),  IF('SC Change Orders'!$G302&gt;0,IF(ROUND('SC Change Orders'!$E302+'SC Change Orders'!$F302,2)&lt;&gt;ROUND('SC Change Orders'!$G302,2),  "Original + Added &lt;&gt; Total Line Cost Allotted; ",""),""),""),""),"")&amp;IF(AND(ISNUMBER('SC Change Orders'!$B302),COUNTIFS('SC Change Orders'!$B$2:$B$501,'SC Change Orders'!$B302,'SC Change Orders'!$C$2:$C$501,'SC Change Orders'!$C302,'SC Change Orders'!$D$2:$D$501,'SC Change Orders'!$D302,'SC Change Orders'!$F$2:$F$501,'SC Change Orders'!$F302,'SC Change Orders'!$E$2:$E$501,'SC Change Orders'!$E302)&gt;1),"Duplicate of another row — funds counted twice; ","")&amp;IF(ISNUMBER('SC Change Orders'!$F302),IF('SC Change Orders'!$F302&lt;&gt;0,IF(AND(ISNUMBER('SC Change Orders'!$B302),NOT(COUNTIFS('SC Change Orders'!$B$2:$B$501,'SC Change Orders'!$B302,'SC Change Orders'!$C$2:$C$501,'SC Change Orders'!$C302,'SC Change Orders'!$D$2:$D$501,'SC Change Orders'!$D302,'SC Change Orders'!$F$2:$F$501,'SC Change Orders'!$F302,'SC Change Orders'!$E$2:$E$501,'SC Change Orders'!$E302)&gt;1),COUNTIFS('SC Change Orders'!$B$2:$B$501,'SC Change Orders'!$B302,'SC Change Orders'!$F$2:$F$501,'SC Change Orders'!$F302)&gt;1),  "Same PO and Amount Added as another row — check for a restatement counted twice; ",""),""),""))</f>
        <v/>
      </c>
    </row>
    <row r="321" customFormat="false" ht="15" hidden="false" customHeight="false" outlineLevel="0" collapsed="false">
      <c r="A321" s="18" t="str">
        <f aca="false">IF(AND('SC Change Orders'!$A303="",'SC Change Orders'!$B303="",'SC Change Orders'!$C303=""),"",303)</f>
        <v/>
      </c>
      <c r="B321" s="31" t="str">
        <f aca="false">IF($A321="","",'SC Change Orders'!$A303)</f>
        <v/>
      </c>
      <c r="C321" s="18" t="str">
        <f aca="false">IF($A321="","",'SC Change Orders'!$B303)</f>
        <v/>
      </c>
      <c r="D321" s="32" t="str">
        <f aca="false">IF($A321="","",'SC Change Orders'!$C303)</f>
        <v/>
      </c>
      <c r="E321" s="31" t="str">
        <f aca="false">IF($A321="","",'SC Change Orders'!$D303)</f>
        <v/>
      </c>
      <c r="F321" s="33" t="str">
        <f aca="false">IF($A321="","",'SC Change Orders'!$E303)</f>
        <v/>
      </c>
      <c r="G321" s="33" t="str">
        <f aca="false">IF($A321="","",'SC Change Orders'!$F303)</f>
        <v/>
      </c>
      <c r="H321" s="33" t="str">
        <f aca="false">IF($A321="","",'SC Change Orders'!$G303)</f>
        <v/>
      </c>
      <c r="I321" s="34" t="str">
        <f aca="false">IF($A321="","",IF(AND(ISNUMBER('SC Change Orders'!$C303),'SC Change Orders'!$C303&gt;=Controls!$C$5,'SC Change Orders'!$C303&lt;=Controls!$C$6),"Yes","No"))</f>
        <v/>
      </c>
      <c r="J321" s="31" t="str">
        <f aca="false">IF($A321="","",IF($K321="","OK",$K321))</f>
        <v/>
      </c>
      <c r="K321" s="0" t="str">
        <f aca="false">IF($A321="","",IF(NOT(ISNUMBER('SC Change Orders'!$B303)),"PO not numeric — row is invisible to the tracker; ","")&amp;IF(NOT(ISNUMBER('SC Change Orders'!$C303)),"Date missing or text — row excluded; ",  IF(OR('SC Change Orders'!$C303&lt;Controls!$C$5,'SC Change Orders'!$C303&gt;Controls!$C$6),"Dated outside the FY window — excluded; ",""))&amp;IF(AND('SC Change Orders'!$E303&lt;&gt;"",NOT(ISNUMBER('SC Change Orders'!$E303))),"Original Amount held as text — ignored by MINIFS; ","")&amp;IF(AND('SC Change Orders'!$F303&lt;&gt;"",NOT(ISNUMBER('SC Change Orders'!$F303))),"Amount Added held as text — ignored by SUMIFS; ","")&amp;IF(ISNUMBER('SC Change Orders'!$E303),IF(ISNUMBER('SC Change Orders'!$F303),IF(ISNUMBER('SC Change Orders'!$G303),  IF('SC Change Orders'!$G303&gt;0,IF(ROUND('SC Change Orders'!$E303+'SC Change Orders'!$F303,2)&lt;&gt;ROUND('SC Change Orders'!$G303,2),  "Original + Added &lt;&gt; Total Line Cost Allotted; ",""),""),""),""),"")&amp;IF(AND(ISNUMBER('SC Change Orders'!$B303),COUNTIFS('SC Change Orders'!$B$2:$B$501,'SC Change Orders'!$B303,'SC Change Orders'!$C$2:$C$501,'SC Change Orders'!$C303,'SC Change Orders'!$D$2:$D$501,'SC Change Orders'!$D303,'SC Change Orders'!$F$2:$F$501,'SC Change Orders'!$F303,'SC Change Orders'!$E$2:$E$501,'SC Change Orders'!$E303)&gt;1),"Duplicate of another row — funds counted twice; ","")&amp;IF(ISNUMBER('SC Change Orders'!$F303),IF('SC Change Orders'!$F303&lt;&gt;0,IF(AND(ISNUMBER('SC Change Orders'!$B303),NOT(COUNTIFS('SC Change Orders'!$B$2:$B$501,'SC Change Orders'!$B303,'SC Change Orders'!$C$2:$C$501,'SC Change Orders'!$C303,'SC Change Orders'!$D$2:$D$501,'SC Change Orders'!$D303,'SC Change Orders'!$F$2:$F$501,'SC Change Orders'!$F303,'SC Change Orders'!$E$2:$E$501,'SC Change Orders'!$E303)&gt;1),COUNTIFS('SC Change Orders'!$B$2:$B$501,'SC Change Orders'!$B303,'SC Change Orders'!$F$2:$F$501,'SC Change Orders'!$F303)&gt;1),  "Same PO and Amount Added as another row — check for a restatement counted twice; ",""),""),""))</f>
        <v/>
      </c>
    </row>
    <row r="322" customFormat="false" ht="15" hidden="false" customHeight="false" outlineLevel="0" collapsed="false">
      <c r="A322" s="18" t="str">
        <f aca="false">IF(AND('SC Change Orders'!$A304="",'SC Change Orders'!$B304="",'SC Change Orders'!$C304=""),"",304)</f>
        <v/>
      </c>
      <c r="B322" s="31" t="str">
        <f aca="false">IF($A322="","",'SC Change Orders'!$A304)</f>
        <v/>
      </c>
      <c r="C322" s="18" t="str">
        <f aca="false">IF($A322="","",'SC Change Orders'!$B304)</f>
        <v/>
      </c>
      <c r="D322" s="32" t="str">
        <f aca="false">IF($A322="","",'SC Change Orders'!$C304)</f>
        <v/>
      </c>
      <c r="E322" s="31" t="str">
        <f aca="false">IF($A322="","",'SC Change Orders'!$D304)</f>
        <v/>
      </c>
      <c r="F322" s="33" t="str">
        <f aca="false">IF($A322="","",'SC Change Orders'!$E304)</f>
        <v/>
      </c>
      <c r="G322" s="33" t="str">
        <f aca="false">IF($A322="","",'SC Change Orders'!$F304)</f>
        <v/>
      </c>
      <c r="H322" s="33" t="str">
        <f aca="false">IF($A322="","",'SC Change Orders'!$G304)</f>
        <v/>
      </c>
      <c r="I322" s="34" t="str">
        <f aca="false">IF($A322="","",IF(AND(ISNUMBER('SC Change Orders'!$C304),'SC Change Orders'!$C304&gt;=Controls!$C$5,'SC Change Orders'!$C304&lt;=Controls!$C$6),"Yes","No"))</f>
        <v/>
      </c>
      <c r="J322" s="31" t="str">
        <f aca="false">IF($A322="","",IF($K322="","OK",$K322))</f>
        <v/>
      </c>
      <c r="K322" s="0" t="str">
        <f aca="false">IF($A322="","",IF(NOT(ISNUMBER('SC Change Orders'!$B304)),"PO not numeric — row is invisible to the tracker; ","")&amp;IF(NOT(ISNUMBER('SC Change Orders'!$C304)),"Date missing or text — row excluded; ",  IF(OR('SC Change Orders'!$C304&lt;Controls!$C$5,'SC Change Orders'!$C304&gt;Controls!$C$6),"Dated outside the FY window — excluded; ",""))&amp;IF(AND('SC Change Orders'!$E304&lt;&gt;"",NOT(ISNUMBER('SC Change Orders'!$E304))),"Original Amount held as text — ignored by MINIFS; ","")&amp;IF(AND('SC Change Orders'!$F304&lt;&gt;"",NOT(ISNUMBER('SC Change Orders'!$F304))),"Amount Added held as text — ignored by SUMIFS; ","")&amp;IF(ISNUMBER('SC Change Orders'!$E304),IF(ISNUMBER('SC Change Orders'!$F304),IF(ISNUMBER('SC Change Orders'!$G304),  IF('SC Change Orders'!$G304&gt;0,IF(ROUND('SC Change Orders'!$E304+'SC Change Orders'!$F304,2)&lt;&gt;ROUND('SC Change Orders'!$G304,2),  "Original + Added &lt;&gt; Total Line Cost Allotted; ",""),""),""),""),"")&amp;IF(AND(ISNUMBER('SC Change Orders'!$B304),COUNTIFS('SC Change Orders'!$B$2:$B$501,'SC Change Orders'!$B304,'SC Change Orders'!$C$2:$C$501,'SC Change Orders'!$C304,'SC Change Orders'!$D$2:$D$501,'SC Change Orders'!$D304,'SC Change Orders'!$F$2:$F$501,'SC Change Orders'!$F304,'SC Change Orders'!$E$2:$E$501,'SC Change Orders'!$E304)&gt;1),"Duplicate of another row — funds counted twice; ","")&amp;IF(ISNUMBER('SC Change Orders'!$F304),IF('SC Change Orders'!$F304&lt;&gt;0,IF(AND(ISNUMBER('SC Change Orders'!$B304),NOT(COUNTIFS('SC Change Orders'!$B$2:$B$501,'SC Change Orders'!$B304,'SC Change Orders'!$C$2:$C$501,'SC Change Orders'!$C304,'SC Change Orders'!$D$2:$D$501,'SC Change Orders'!$D304,'SC Change Orders'!$F$2:$F$501,'SC Change Orders'!$F304,'SC Change Orders'!$E$2:$E$501,'SC Change Orders'!$E304)&gt;1),COUNTIFS('SC Change Orders'!$B$2:$B$501,'SC Change Orders'!$B304,'SC Change Orders'!$F$2:$F$501,'SC Change Orders'!$F304)&gt;1),  "Same PO and Amount Added as another row — check for a restatement counted twice; ",""),""),""))</f>
        <v/>
      </c>
    </row>
    <row r="323" customFormat="false" ht="15" hidden="false" customHeight="false" outlineLevel="0" collapsed="false">
      <c r="A323" s="18" t="str">
        <f aca="false">IF(AND('SC Change Orders'!$A305="",'SC Change Orders'!$B305="",'SC Change Orders'!$C305=""),"",305)</f>
        <v/>
      </c>
      <c r="B323" s="31" t="str">
        <f aca="false">IF($A323="","",'SC Change Orders'!$A305)</f>
        <v/>
      </c>
      <c r="C323" s="18" t="str">
        <f aca="false">IF($A323="","",'SC Change Orders'!$B305)</f>
        <v/>
      </c>
      <c r="D323" s="32" t="str">
        <f aca="false">IF($A323="","",'SC Change Orders'!$C305)</f>
        <v/>
      </c>
      <c r="E323" s="31" t="str">
        <f aca="false">IF($A323="","",'SC Change Orders'!$D305)</f>
        <v/>
      </c>
      <c r="F323" s="33" t="str">
        <f aca="false">IF($A323="","",'SC Change Orders'!$E305)</f>
        <v/>
      </c>
      <c r="G323" s="33" t="str">
        <f aca="false">IF($A323="","",'SC Change Orders'!$F305)</f>
        <v/>
      </c>
      <c r="H323" s="33" t="str">
        <f aca="false">IF($A323="","",'SC Change Orders'!$G305)</f>
        <v/>
      </c>
      <c r="I323" s="34" t="str">
        <f aca="false">IF($A323="","",IF(AND(ISNUMBER('SC Change Orders'!$C305),'SC Change Orders'!$C305&gt;=Controls!$C$5,'SC Change Orders'!$C305&lt;=Controls!$C$6),"Yes","No"))</f>
        <v/>
      </c>
      <c r="J323" s="31" t="str">
        <f aca="false">IF($A323="","",IF($K323="","OK",$K323))</f>
        <v/>
      </c>
      <c r="K323" s="0" t="str">
        <f aca="false">IF($A323="","",IF(NOT(ISNUMBER('SC Change Orders'!$B305)),"PO not numeric — row is invisible to the tracker; ","")&amp;IF(NOT(ISNUMBER('SC Change Orders'!$C305)),"Date missing or text — row excluded; ",  IF(OR('SC Change Orders'!$C305&lt;Controls!$C$5,'SC Change Orders'!$C305&gt;Controls!$C$6),"Dated outside the FY window — excluded; ",""))&amp;IF(AND('SC Change Orders'!$E305&lt;&gt;"",NOT(ISNUMBER('SC Change Orders'!$E305))),"Original Amount held as text — ignored by MINIFS; ","")&amp;IF(AND('SC Change Orders'!$F305&lt;&gt;"",NOT(ISNUMBER('SC Change Orders'!$F305))),"Amount Added held as text — ignored by SUMIFS; ","")&amp;IF(ISNUMBER('SC Change Orders'!$E305),IF(ISNUMBER('SC Change Orders'!$F305),IF(ISNUMBER('SC Change Orders'!$G305),  IF('SC Change Orders'!$G305&gt;0,IF(ROUND('SC Change Orders'!$E305+'SC Change Orders'!$F305,2)&lt;&gt;ROUND('SC Change Orders'!$G305,2),  "Original + Added &lt;&gt; Total Line Cost Allotted; ",""),""),""),""),"")&amp;IF(AND(ISNUMBER('SC Change Orders'!$B305),COUNTIFS('SC Change Orders'!$B$2:$B$501,'SC Change Orders'!$B305,'SC Change Orders'!$C$2:$C$501,'SC Change Orders'!$C305,'SC Change Orders'!$D$2:$D$501,'SC Change Orders'!$D305,'SC Change Orders'!$F$2:$F$501,'SC Change Orders'!$F305,'SC Change Orders'!$E$2:$E$501,'SC Change Orders'!$E305)&gt;1),"Duplicate of another row — funds counted twice; ","")&amp;IF(ISNUMBER('SC Change Orders'!$F305),IF('SC Change Orders'!$F305&lt;&gt;0,IF(AND(ISNUMBER('SC Change Orders'!$B305),NOT(COUNTIFS('SC Change Orders'!$B$2:$B$501,'SC Change Orders'!$B305,'SC Change Orders'!$C$2:$C$501,'SC Change Orders'!$C305,'SC Change Orders'!$D$2:$D$501,'SC Change Orders'!$D305,'SC Change Orders'!$F$2:$F$501,'SC Change Orders'!$F305,'SC Change Orders'!$E$2:$E$501,'SC Change Orders'!$E305)&gt;1),COUNTIFS('SC Change Orders'!$B$2:$B$501,'SC Change Orders'!$B305,'SC Change Orders'!$F$2:$F$501,'SC Change Orders'!$F305)&gt;1),  "Same PO and Amount Added as another row — check for a restatement counted twice; ",""),""),""))</f>
        <v/>
      </c>
    </row>
    <row r="324" customFormat="false" ht="15" hidden="false" customHeight="false" outlineLevel="0" collapsed="false">
      <c r="A324" s="18" t="str">
        <f aca="false">IF(AND('SC Change Orders'!$A306="",'SC Change Orders'!$B306="",'SC Change Orders'!$C306=""),"",306)</f>
        <v/>
      </c>
      <c r="B324" s="31" t="str">
        <f aca="false">IF($A324="","",'SC Change Orders'!$A306)</f>
        <v/>
      </c>
      <c r="C324" s="18" t="str">
        <f aca="false">IF($A324="","",'SC Change Orders'!$B306)</f>
        <v/>
      </c>
      <c r="D324" s="32" t="str">
        <f aca="false">IF($A324="","",'SC Change Orders'!$C306)</f>
        <v/>
      </c>
      <c r="E324" s="31" t="str">
        <f aca="false">IF($A324="","",'SC Change Orders'!$D306)</f>
        <v/>
      </c>
      <c r="F324" s="33" t="str">
        <f aca="false">IF($A324="","",'SC Change Orders'!$E306)</f>
        <v/>
      </c>
      <c r="G324" s="33" t="str">
        <f aca="false">IF($A324="","",'SC Change Orders'!$F306)</f>
        <v/>
      </c>
      <c r="H324" s="33" t="str">
        <f aca="false">IF($A324="","",'SC Change Orders'!$G306)</f>
        <v/>
      </c>
      <c r="I324" s="34" t="str">
        <f aca="false">IF($A324="","",IF(AND(ISNUMBER('SC Change Orders'!$C306),'SC Change Orders'!$C306&gt;=Controls!$C$5,'SC Change Orders'!$C306&lt;=Controls!$C$6),"Yes","No"))</f>
        <v/>
      </c>
      <c r="J324" s="31" t="str">
        <f aca="false">IF($A324="","",IF($K324="","OK",$K324))</f>
        <v/>
      </c>
      <c r="K324" s="0" t="str">
        <f aca="false">IF($A324="","",IF(NOT(ISNUMBER('SC Change Orders'!$B306)),"PO not numeric — row is invisible to the tracker; ","")&amp;IF(NOT(ISNUMBER('SC Change Orders'!$C306)),"Date missing or text — row excluded; ",  IF(OR('SC Change Orders'!$C306&lt;Controls!$C$5,'SC Change Orders'!$C306&gt;Controls!$C$6),"Dated outside the FY window — excluded; ",""))&amp;IF(AND('SC Change Orders'!$E306&lt;&gt;"",NOT(ISNUMBER('SC Change Orders'!$E306))),"Original Amount held as text — ignored by MINIFS; ","")&amp;IF(AND('SC Change Orders'!$F306&lt;&gt;"",NOT(ISNUMBER('SC Change Orders'!$F306))),"Amount Added held as text — ignored by SUMIFS; ","")&amp;IF(ISNUMBER('SC Change Orders'!$E306),IF(ISNUMBER('SC Change Orders'!$F306),IF(ISNUMBER('SC Change Orders'!$G306),  IF('SC Change Orders'!$G306&gt;0,IF(ROUND('SC Change Orders'!$E306+'SC Change Orders'!$F306,2)&lt;&gt;ROUND('SC Change Orders'!$G306,2),  "Original + Added &lt;&gt; Total Line Cost Allotted; ",""),""),""),""),"")&amp;IF(AND(ISNUMBER('SC Change Orders'!$B306),COUNTIFS('SC Change Orders'!$B$2:$B$501,'SC Change Orders'!$B306,'SC Change Orders'!$C$2:$C$501,'SC Change Orders'!$C306,'SC Change Orders'!$D$2:$D$501,'SC Change Orders'!$D306,'SC Change Orders'!$F$2:$F$501,'SC Change Orders'!$F306,'SC Change Orders'!$E$2:$E$501,'SC Change Orders'!$E306)&gt;1),"Duplicate of another row — funds counted twice; ","")&amp;IF(ISNUMBER('SC Change Orders'!$F306),IF('SC Change Orders'!$F306&lt;&gt;0,IF(AND(ISNUMBER('SC Change Orders'!$B306),NOT(COUNTIFS('SC Change Orders'!$B$2:$B$501,'SC Change Orders'!$B306,'SC Change Orders'!$C$2:$C$501,'SC Change Orders'!$C306,'SC Change Orders'!$D$2:$D$501,'SC Change Orders'!$D306,'SC Change Orders'!$F$2:$F$501,'SC Change Orders'!$F306,'SC Change Orders'!$E$2:$E$501,'SC Change Orders'!$E306)&gt;1),COUNTIFS('SC Change Orders'!$B$2:$B$501,'SC Change Orders'!$B306,'SC Change Orders'!$F$2:$F$501,'SC Change Orders'!$F306)&gt;1),  "Same PO and Amount Added as another row — check for a restatement counted twice; ",""),""),""))</f>
        <v/>
      </c>
    </row>
    <row r="325" customFormat="false" ht="15" hidden="false" customHeight="false" outlineLevel="0" collapsed="false">
      <c r="A325" s="18" t="str">
        <f aca="false">IF(AND('SC Change Orders'!$A307="",'SC Change Orders'!$B307="",'SC Change Orders'!$C307=""),"",307)</f>
        <v/>
      </c>
      <c r="B325" s="31" t="str">
        <f aca="false">IF($A325="","",'SC Change Orders'!$A307)</f>
        <v/>
      </c>
      <c r="C325" s="18" t="str">
        <f aca="false">IF($A325="","",'SC Change Orders'!$B307)</f>
        <v/>
      </c>
      <c r="D325" s="32" t="str">
        <f aca="false">IF($A325="","",'SC Change Orders'!$C307)</f>
        <v/>
      </c>
      <c r="E325" s="31" t="str">
        <f aca="false">IF($A325="","",'SC Change Orders'!$D307)</f>
        <v/>
      </c>
      <c r="F325" s="33" t="str">
        <f aca="false">IF($A325="","",'SC Change Orders'!$E307)</f>
        <v/>
      </c>
      <c r="G325" s="33" t="str">
        <f aca="false">IF($A325="","",'SC Change Orders'!$F307)</f>
        <v/>
      </c>
      <c r="H325" s="33" t="str">
        <f aca="false">IF($A325="","",'SC Change Orders'!$G307)</f>
        <v/>
      </c>
      <c r="I325" s="34" t="str">
        <f aca="false">IF($A325="","",IF(AND(ISNUMBER('SC Change Orders'!$C307),'SC Change Orders'!$C307&gt;=Controls!$C$5,'SC Change Orders'!$C307&lt;=Controls!$C$6),"Yes","No"))</f>
        <v/>
      </c>
      <c r="J325" s="31" t="str">
        <f aca="false">IF($A325="","",IF($K325="","OK",$K325))</f>
        <v/>
      </c>
      <c r="K325" s="0" t="str">
        <f aca="false">IF($A325="","",IF(NOT(ISNUMBER('SC Change Orders'!$B307)),"PO not numeric — row is invisible to the tracker; ","")&amp;IF(NOT(ISNUMBER('SC Change Orders'!$C307)),"Date missing or text — row excluded; ",  IF(OR('SC Change Orders'!$C307&lt;Controls!$C$5,'SC Change Orders'!$C307&gt;Controls!$C$6),"Dated outside the FY window — excluded; ",""))&amp;IF(AND('SC Change Orders'!$E307&lt;&gt;"",NOT(ISNUMBER('SC Change Orders'!$E307))),"Original Amount held as text — ignored by MINIFS; ","")&amp;IF(AND('SC Change Orders'!$F307&lt;&gt;"",NOT(ISNUMBER('SC Change Orders'!$F307))),"Amount Added held as text — ignored by SUMIFS; ","")&amp;IF(ISNUMBER('SC Change Orders'!$E307),IF(ISNUMBER('SC Change Orders'!$F307),IF(ISNUMBER('SC Change Orders'!$G307),  IF('SC Change Orders'!$G307&gt;0,IF(ROUND('SC Change Orders'!$E307+'SC Change Orders'!$F307,2)&lt;&gt;ROUND('SC Change Orders'!$G307,2),  "Original + Added &lt;&gt; Total Line Cost Allotted; ",""),""),""),""),"")&amp;IF(AND(ISNUMBER('SC Change Orders'!$B307),COUNTIFS('SC Change Orders'!$B$2:$B$501,'SC Change Orders'!$B307,'SC Change Orders'!$C$2:$C$501,'SC Change Orders'!$C307,'SC Change Orders'!$D$2:$D$501,'SC Change Orders'!$D307,'SC Change Orders'!$F$2:$F$501,'SC Change Orders'!$F307,'SC Change Orders'!$E$2:$E$501,'SC Change Orders'!$E307)&gt;1),"Duplicate of another row — funds counted twice; ","")&amp;IF(ISNUMBER('SC Change Orders'!$F307),IF('SC Change Orders'!$F307&lt;&gt;0,IF(AND(ISNUMBER('SC Change Orders'!$B307),NOT(COUNTIFS('SC Change Orders'!$B$2:$B$501,'SC Change Orders'!$B307,'SC Change Orders'!$C$2:$C$501,'SC Change Orders'!$C307,'SC Change Orders'!$D$2:$D$501,'SC Change Orders'!$D307,'SC Change Orders'!$F$2:$F$501,'SC Change Orders'!$F307,'SC Change Orders'!$E$2:$E$501,'SC Change Orders'!$E307)&gt;1),COUNTIFS('SC Change Orders'!$B$2:$B$501,'SC Change Orders'!$B307,'SC Change Orders'!$F$2:$F$501,'SC Change Orders'!$F307)&gt;1),  "Same PO and Amount Added as another row — check for a restatement counted twice; ",""),""),""))</f>
        <v/>
      </c>
    </row>
    <row r="326" customFormat="false" ht="15" hidden="false" customHeight="false" outlineLevel="0" collapsed="false">
      <c r="A326" s="18" t="str">
        <f aca="false">IF(AND('SC Change Orders'!$A308="",'SC Change Orders'!$B308="",'SC Change Orders'!$C308=""),"",308)</f>
        <v/>
      </c>
      <c r="B326" s="31" t="str">
        <f aca="false">IF($A326="","",'SC Change Orders'!$A308)</f>
        <v/>
      </c>
      <c r="C326" s="18" t="str">
        <f aca="false">IF($A326="","",'SC Change Orders'!$B308)</f>
        <v/>
      </c>
      <c r="D326" s="32" t="str">
        <f aca="false">IF($A326="","",'SC Change Orders'!$C308)</f>
        <v/>
      </c>
      <c r="E326" s="31" t="str">
        <f aca="false">IF($A326="","",'SC Change Orders'!$D308)</f>
        <v/>
      </c>
      <c r="F326" s="33" t="str">
        <f aca="false">IF($A326="","",'SC Change Orders'!$E308)</f>
        <v/>
      </c>
      <c r="G326" s="33" t="str">
        <f aca="false">IF($A326="","",'SC Change Orders'!$F308)</f>
        <v/>
      </c>
      <c r="H326" s="33" t="str">
        <f aca="false">IF($A326="","",'SC Change Orders'!$G308)</f>
        <v/>
      </c>
      <c r="I326" s="34" t="str">
        <f aca="false">IF($A326="","",IF(AND(ISNUMBER('SC Change Orders'!$C308),'SC Change Orders'!$C308&gt;=Controls!$C$5,'SC Change Orders'!$C308&lt;=Controls!$C$6),"Yes","No"))</f>
        <v/>
      </c>
      <c r="J326" s="31" t="str">
        <f aca="false">IF($A326="","",IF($K326="","OK",$K326))</f>
        <v/>
      </c>
      <c r="K326" s="0" t="str">
        <f aca="false">IF($A326="","",IF(NOT(ISNUMBER('SC Change Orders'!$B308)),"PO not numeric — row is invisible to the tracker; ","")&amp;IF(NOT(ISNUMBER('SC Change Orders'!$C308)),"Date missing or text — row excluded; ",  IF(OR('SC Change Orders'!$C308&lt;Controls!$C$5,'SC Change Orders'!$C308&gt;Controls!$C$6),"Dated outside the FY window — excluded; ",""))&amp;IF(AND('SC Change Orders'!$E308&lt;&gt;"",NOT(ISNUMBER('SC Change Orders'!$E308))),"Original Amount held as text — ignored by MINIFS; ","")&amp;IF(AND('SC Change Orders'!$F308&lt;&gt;"",NOT(ISNUMBER('SC Change Orders'!$F308))),"Amount Added held as text — ignored by SUMIFS; ","")&amp;IF(ISNUMBER('SC Change Orders'!$E308),IF(ISNUMBER('SC Change Orders'!$F308),IF(ISNUMBER('SC Change Orders'!$G308),  IF('SC Change Orders'!$G308&gt;0,IF(ROUND('SC Change Orders'!$E308+'SC Change Orders'!$F308,2)&lt;&gt;ROUND('SC Change Orders'!$G308,2),  "Original + Added &lt;&gt; Total Line Cost Allotted; ",""),""),""),""),"")&amp;IF(AND(ISNUMBER('SC Change Orders'!$B308),COUNTIFS('SC Change Orders'!$B$2:$B$501,'SC Change Orders'!$B308,'SC Change Orders'!$C$2:$C$501,'SC Change Orders'!$C308,'SC Change Orders'!$D$2:$D$501,'SC Change Orders'!$D308,'SC Change Orders'!$F$2:$F$501,'SC Change Orders'!$F308,'SC Change Orders'!$E$2:$E$501,'SC Change Orders'!$E308)&gt;1),"Duplicate of another row — funds counted twice; ","")&amp;IF(ISNUMBER('SC Change Orders'!$F308),IF('SC Change Orders'!$F308&lt;&gt;0,IF(AND(ISNUMBER('SC Change Orders'!$B308),NOT(COUNTIFS('SC Change Orders'!$B$2:$B$501,'SC Change Orders'!$B308,'SC Change Orders'!$C$2:$C$501,'SC Change Orders'!$C308,'SC Change Orders'!$D$2:$D$501,'SC Change Orders'!$D308,'SC Change Orders'!$F$2:$F$501,'SC Change Orders'!$F308,'SC Change Orders'!$E$2:$E$501,'SC Change Orders'!$E308)&gt;1),COUNTIFS('SC Change Orders'!$B$2:$B$501,'SC Change Orders'!$B308,'SC Change Orders'!$F$2:$F$501,'SC Change Orders'!$F308)&gt;1),  "Same PO and Amount Added as another row — check for a restatement counted twice; ",""),""),""))</f>
        <v/>
      </c>
    </row>
    <row r="327" customFormat="false" ht="15" hidden="false" customHeight="false" outlineLevel="0" collapsed="false">
      <c r="A327" s="18" t="str">
        <f aca="false">IF(AND('SC Change Orders'!$A309="",'SC Change Orders'!$B309="",'SC Change Orders'!$C309=""),"",309)</f>
        <v/>
      </c>
      <c r="B327" s="31" t="str">
        <f aca="false">IF($A327="","",'SC Change Orders'!$A309)</f>
        <v/>
      </c>
      <c r="C327" s="18" t="str">
        <f aca="false">IF($A327="","",'SC Change Orders'!$B309)</f>
        <v/>
      </c>
      <c r="D327" s="32" t="str">
        <f aca="false">IF($A327="","",'SC Change Orders'!$C309)</f>
        <v/>
      </c>
      <c r="E327" s="31" t="str">
        <f aca="false">IF($A327="","",'SC Change Orders'!$D309)</f>
        <v/>
      </c>
      <c r="F327" s="33" t="str">
        <f aca="false">IF($A327="","",'SC Change Orders'!$E309)</f>
        <v/>
      </c>
      <c r="G327" s="33" t="str">
        <f aca="false">IF($A327="","",'SC Change Orders'!$F309)</f>
        <v/>
      </c>
      <c r="H327" s="33" t="str">
        <f aca="false">IF($A327="","",'SC Change Orders'!$G309)</f>
        <v/>
      </c>
      <c r="I327" s="34" t="str">
        <f aca="false">IF($A327="","",IF(AND(ISNUMBER('SC Change Orders'!$C309),'SC Change Orders'!$C309&gt;=Controls!$C$5,'SC Change Orders'!$C309&lt;=Controls!$C$6),"Yes","No"))</f>
        <v/>
      </c>
      <c r="J327" s="31" t="str">
        <f aca="false">IF($A327="","",IF($K327="","OK",$K327))</f>
        <v/>
      </c>
      <c r="K327" s="0" t="str">
        <f aca="false">IF($A327="","",IF(NOT(ISNUMBER('SC Change Orders'!$B309)),"PO not numeric — row is invisible to the tracker; ","")&amp;IF(NOT(ISNUMBER('SC Change Orders'!$C309)),"Date missing or text — row excluded; ",  IF(OR('SC Change Orders'!$C309&lt;Controls!$C$5,'SC Change Orders'!$C309&gt;Controls!$C$6),"Dated outside the FY window — excluded; ",""))&amp;IF(AND('SC Change Orders'!$E309&lt;&gt;"",NOT(ISNUMBER('SC Change Orders'!$E309))),"Original Amount held as text — ignored by MINIFS; ","")&amp;IF(AND('SC Change Orders'!$F309&lt;&gt;"",NOT(ISNUMBER('SC Change Orders'!$F309))),"Amount Added held as text — ignored by SUMIFS; ","")&amp;IF(ISNUMBER('SC Change Orders'!$E309),IF(ISNUMBER('SC Change Orders'!$F309),IF(ISNUMBER('SC Change Orders'!$G309),  IF('SC Change Orders'!$G309&gt;0,IF(ROUND('SC Change Orders'!$E309+'SC Change Orders'!$F309,2)&lt;&gt;ROUND('SC Change Orders'!$G309,2),  "Original + Added &lt;&gt; Total Line Cost Allotted; ",""),""),""),""),"")&amp;IF(AND(ISNUMBER('SC Change Orders'!$B309),COUNTIFS('SC Change Orders'!$B$2:$B$501,'SC Change Orders'!$B309,'SC Change Orders'!$C$2:$C$501,'SC Change Orders'!$C309,'SC Change Orders'!$D$2:$D$501,'SC Change Orders'!$D309,'SC Change Orders'!$F$2:$F$501,'SC Change Orders'!$F309,'SC Change Orders'!$E$2:$E$501,'SC Change Orders'!$E309)&gt;1),"Duplicate of another row — funds counted twice; ","")&amp;IF(ISNUMBER('SC Change Orders'!$F309),IF('SC Change Orders'!$F309&lt;&gt;0,IF(AND(ISNUMBER('SC Change Orders'!$B309),NOT(COUNTIFS('SC Change Orders'!$B$2:$B$501,'SC Change Orders'!$B309,'SC Change Orders'!$C$2:$C$501,'SC Change Orders'!$C309,'SC Change Orders'!$D$2:$D$501,'SC Change Orders'!$D309,'SC Change Orders'!$F$2:$F$501,'SC Change Orders'!$F309,'SC Change Orders'!$E$2:$E$501,'SC Change Orders'!$E309)&gt;1),COUNTIFS('SC Change Orders'!$B$2:$B$501,'SC Change Orders'!$B309,'SC Change Orders'!$F$2:$F$501,'SC Change Orders'!$F309)&gt;1),  "Same PO and Amount Added as another row — check for a restatement counted twice; ",""),""),""))</f>
        <v/>
      </c>
    </row>
    <row r="328" customFormat="false" ht="15" hidden="false" customHeight="false" outlineLevel="0" collapsed="false">
      <c r="A328" s="18" t="str">
        <f aca="false">IF(AND('SC Change Orders'!$A310="",'SC Change Orders'!$B310="",'SC Change Orders'!$C310=""),"",310)</f>
        <v/>
      </c>
      <c r="B328" s="31" t="str">
        <f aca="false">IF($A328="","",'SC Change Orders'!$A310)</f>
        <v/>
      </c>
      <c r="C328" s="18" t="str">
        <f aca="false">IF($A328="","",'SC Change Orders'!$B310)</f>
        <v/>
      </c>
      <c r="D328" s="32" t="str">
        <f aca="false">IF($A328="","",'SC Change Orders'!$C310)</f>
        <v/>
      </c>
      <c r="E328" s="31" t="str">
        <f aca="false">IF($A328="","",'SC Change Orders'!$D310)</f>
        <v/>
      </c>
      <c r="F328" s="33" t="str">
        <f aca="false">IF($A328="","",'SC Change Orders'!$E310)</f>
        <v/>
      </c>
      <c r="G328" s="33" t="str">
        <f aca="false">IF($A328="","",'SC Change Orders'!$F310)</f>
        <v/>
      </c>
      <c r="H328" s="33" t="str">
        <f aca="false">IF($A328="","",'SC Change Orders'!$G310)</f>
        <v/>
      </c>
      <c r="I328" s="34" t="str">
        <f aca="false">IF($A328="","",IF(AND(ISNUMBER('SC Change Orders'!$C310),'SC Change Orders'!$C310&gt;=Controls!$C$5,'SC Change Orders'!$C310&lt;=Controls!$C$6),"Yes","No"))</f>
        <v/>
      </c>
      <c r="J328" s="31" t="str">
        <f aca="false">IF($A328="","",IF($K328="","OK",$K328))</f>
        <v/>
      </c>
      <c r="K328" s="0" t="str">
        <f aca="false">IF($A328="","",IF(NOT(ISNUMBER('SC Change Orders'!$B310)),"PO not numeric — row is invisible to the tracker; ","")&amp;IF(NOT(ISNUMBER('SC Change Orders'!$C310)),"Date missing or text — row excluded; ",  IF(OR('SC Change Orders'!$C310&lt;Controls!$C$5,'SC Change Orders'!$C310&gt;Controls!$C$6),"Dated outside the FY window — excluded; ",""))&amp;IF(AND('SC Change Orders'!$E310&lt;&gt;"",NOT(ISNUMBER('SC Change Orders'!$E310))),"Original Amount held as text — ignored by MINIFS; ","")&amp;IF(AND('SC Change Orders'!$F310&lt;&gt;"",NOT(ISNUMBER('SC Change Orders'!$F310))),"Amount Added held as text — ignored by SUMIFS; ","")&amp;IF(ISNUMBER('SC Change Orders'!$E310),IF(ISNUMBER('SC Change Orders'!$F310),IF(ISNUMBER('SC Change Orders'!$G310),  IF('SC Change Orders'!$G310&gt;0,IF(ROUND('SC Change Orders'!$E310+'SC Change Orders'!$F310,2)&lt;&gt;ROUND('SC Change Orders'!$G310,2),  "Original + Added &lt;&gt; Total Line Cost Allotted; ",""),""),""),""),"")&amp;IF(AND(ISNUMBER('SC Change Orders'!$B310),COUNTIFS('SC Change Orders'!$B$2:$B$501,'SC Change Orders'!$B310,'SC Change Orders'!$C$2:$C$501,'SC Change Orders'!$C310,'SC Change Orders'!$D$2:$D$501,'SC Change Orders'!$D310,'SC Change Orders'!$F$2:$F$501,'SC Change Orders'!$F310,'SC Change Orders'!$E$2:$E$501,'SC Change Orders'!$E310)&gt;1),"Duplicate of another row — funds counted twice; ","")&amp;IF(ISNUMBER('SC Change Orders'!$F310),IF('SC Change Orders'!$F310&lt;&gt;0,IF(AND(ISNUMBER('SC Change Orders'!$B310),NOT(COUNTIFS('SC Change Orders'!$B$2:$B$501,'SC Change Orders'!$B310,'SC Change Orders'!$C$2:$C$501,'SC Change Orders'!$C310,'SC Change Orders'!$D$2:$D$501,'SC Change Orders'!$D310,'SC Change Orders'!$F$2:$F$501,'SC Change Orders'!$F310,'SC Change Orders'!$E$2:$E$501,'SC Change Orders'!$E310)&gt;1),COUNTIFS('SC Change Orders'!$B$2:$B$501,'SC Change Orders'!$B310,'SC Change Orders'!$F$2:$F$501,'SC Change Orders'!$F310)&gt;1),  "Same PO and Amount Added as another row — check for a restatement counted twice; ",""),""),""))</f>
        <v/>
      </c>
    </row>
    <row r="329" customFormat="false" ht="15" hidden="false" customHeight="false" outlineLevel="0" collapsed="false">
      <c r="A329" s="18" t="str">
        <f aca="false">IF(AND('SC Change Orders'!$A311="",'SC Change Orders'!$B311="",'SC Change Orders'!$C311=""),"",311)</f>
        <v/>
      </c>
      <c r="B329" s="31" t="str">
        <f aca="false">IF($A329="","",'SC Change Orders'!$A311)</f>
        <v/>
      </c>
      <c r="C329" s="18" t="str">
        <f aca="false">IF($A329="","",'SC Change Orders'!$B311)</f>
        <v/>
      </c>
      <c r="D329" s="32" t="str">
        <f aca="false">IF($A329="","",'SC Change Orders'!$C311)</f>
        <v/>
      </c>
      <c r="E329" s="31" t="str">
        <f aca="false">IF($A329="","",'SC Change Orders'!$D311)</f>
        <v/>
      </c>
      <c r="F329" s="33" t="str">
        <f aca="false">IF($A329="","",'SC Change Orders'!$E311)</f>
        <v/>
      </c>
      <c r="G329" s="33" t="str">
        <f aca="false">IF($A329="","",'SC Change Orders'!$F311)</f>
        <v/>
      </c>
      <c r="H329" s="33" t="str">
        <f aca="false">IF($A329="","",'SC Change Orders'!$G311)</f>
        <v/>
      </c>
      <c r="I329" s="34" t="str">
        <f aca="false">IF($A329="","",IF(AND(ISNUMBER('SC Change Orders'!$C311),'SC Change Orders'!$C311&gt;=Controls!$C$5,'SC Change Orders'!$C311&lt;=Controls!$C$6),"Yes","No"))</f>
        <v/>
      </c>
      <c r="J329" s="31" t="str">
        <f aca="false">IF($A329="","",IF($K329="","OK",$K329))</f>
        <v/>
      </c>
      <c r="K329" s="0" t="str">
        <f aca="false">IF($A329="","",IF(NOT(ISNUMBER('SC Change Orders'!$B311)),"PO not numeric — row is invisible to the tracker; ","")&amp;IF(NOT(ISNUMBER('SC Change Orders'!$C311)),"Date missing or text — row excluded; ",  IF(OR('SC Change Orders'!$C311&lt;Controls!$C$5,'SC Change Orders'!$C311&gt;Controls!$C$6),"Dated outside the FY window — excluded; ",""))&amp;IF(AND('SC Change Orders'!$E311&lt;&gt;"",NOT(ISNUMBER('SC Change Orders'!$E311))),"Original Amount held as text — ignored by MINIFS; ","")&amp;IF(AND('SC Change Orders'!$F311&lt;&gt;"",NOT(ISNUMBER('SC Change Orders'!$F311))),"Amount Added held as text — ignored by SUMIFS; ","")&amp;IF(ISNUMBER('SC Change Orders'!$E311),IF(ISNUMBER('SC Change Orders'!$F311),IF(ISNUMBER('SC Change Orders'!$G311),  IF('SC Change Orders'!$G311&gt;0,IF(ROUND('SC Change Orders'!$E311+'SC Change Orders'!$F311,2)&lt;&gt;ROUND('SC Change Orders'!$G311,2),  "Original + Added &lt;&gt; Total Line Cost Allotted; ",""),""),""),""),"")&amp;IF(AND(ISNUMBER('SC Change Orders'!$B311),COUNTIFS('SC Change Orders'!$B$2:$B$501,'SC Change Orders'!$B311,'SC Change Orders'!$C$2:$C$501,'SC Change Orders'!$C311,'SC Change Orders'!$D$2:$D$501,'SC Change Orders'!$D311,'SC Change Orders'!$F$2:$F$501,'SC Change Orders'!$F311,'SC Change Orders'!$E$2:$E$501,'SC Change Orders'!$E311)&gt;1),"Duplicate of another row — funds counted twice; ","")&amp;IF(ISNUMBER('SC Change Orders'!$F311),IF('SC Change Orders'!$F311&lt;&gt;0,IF(AND(ISNUMBER('SC Change Orders'!$B311),NOT(COUNTIFS('SC Change Orders'!$B$2:$B$501,'SC Change Orders'!$B311,'SC Change Orders'!$C$2:$C$501,'SC Change Orders'!$C311,'SC Change Orders'!$D$2:$D$501,'SC Change Orders'!$D311,'SC Change Orders'!$F$2:$F$501,'SC Change Orders'!$F311,'SC Change Orders'!$E$2:$E$501,'SC Change Orders'!$E311)&gt;1),COUNTIFS('SC Change Orders'!$B$2:$B$501,'SC Change Orders'!$B311,'SC Change Orders'!$F$2:$F$501,'SC Change Orders'!$F311)&gt;1),  "Same PO and Amount Added as another row — check for a restatement counted twice; ",""),""),""))</f>
        <v/>
      </c>
    </row>
    <row r="330" customFormat="false" ht="15" hidden="false" customHeight="false" outlineLevel="0" collapsed="false">
      <c r="A330" s="18" t="str">
        <f aca="false">IF(AND('SC Change Orders'!$A312="",'SC Change Orders'!$B312="",'SC Change Orders'!$C312=""),"",312)</f>
        <v/>
      </c>
      <c r="B330" s="31" t="str">
        <f aca="false">IF($A330="","",'SC Change Orders'!$A312)</f>
        <v/>
      </c>
      <c r="C330" s="18" t="str">
        <f aca="false">IF($A330="","",'SC Change Orders'!$B312)</f>
        <v/>
      </c>
      <c r="D330" s="32" t="str">
        <f aca="false">IF($A330="","",'SC Change Orders'!$C312)</f>
        <v/>
      </c>
      <c r="E330" s="31" t="str">
        <f aca="false">IF($A330="","",'SC Change Orders'!$D312)</f>
        <v/>
      </c>
      <c r="F330" s="33" t="str">
        <f aca="false">IF($A330="","",'SC Change Orders'!$E312)</f>
        <v/>
      </c>
      <c r="G330" s="33" t="str">
        <f aca="false">IF($A330="","",'SC Change Orders'!$F312)</f>
        <v/>
      </c>
      <c r="H330" s="33" t="str">
        <f aca="false">IF($A330="","",'SC Change Orders'!$G312)</f>
        <v/>
      </c>
      <c r="I330" s="34" t="str">
        <f aca="false">IF($A330="","",IF(AND(ISNUMBER('SC Change Orders'!$C312),'SC Change Orders'!$C312&gt;=Controls!$C$5,'SC Change Orders'!$C312&lt;=Controls!$C$6),"Yes","No"))</f>
        <v/>
      </c>
      <c r="J330" s="31" t="str">
        <f aca="false">IF($A330="","",IF($K330="","OK",$K330))</f>
        <v/>
      </c>
      <c r="K330" s="0" t="str">
        <f aca="false">IF($A330="","",IF(NOT(ISNUMBER('SC Change Orders'!$B312)),"PO not numeric — row is invisible to the tracker; ","")&amp;IF(NOT(ISNUMBER('SC Change Orders'!$C312)),"Date missing or text — row excluded; ",  IF(OR('SC Change Orders'!$C312&lt;Controls!$C$5,'SC Change Orders'!$C312&gt;Controls!$C$6),"Dated outside the FY window — excluded; ",""))&amp;IF(AND('SC Change Orders'!$E312&lt;&gt;"",NOT(ISNUMBER('SC Change Orders'!$E312))),"Original Amount held as text — ignored by MINIFS; ","")&amp;IF(AND('SC Change Orders'!$F312&lt;&gt;"",NOT(ISNUMBER('SC Change Orders'!$F312))),"Amount Added held as text — ignored by SUMIFS; ","")&amp;IF(ISNUMBER('SC Change Orders'!$E312),IF(ISNUMBER('SC Change Orders'!$F312),IF(ISNUMBER('SC Change Orders'!$G312),  IF('SC Change Orders'!$G312&gt;0,IF(ROUND('SC Change Orders'!$E312+'SC Change Orders'!$F312,2)&lt;&gt;ROUND('SC Change Orders'!$G312,2),  "Original + Added &lt;&gt; Total Line Cost Allotted; ",""),""),""),""),"")&amp;IF(AND(ISNUMBER('SC Change Orders'!$B312),COUNTIFS('SC Change Orders'!$B$2:$B$501,'SC Change Orders'!$B312,'SC Change Orders'!$C$2:$C$501,'SC Change Orders'!$C312,'SC Change Orders'!$D$2:$D$501,'SC Change Orders'!$D312,'SC Change Orders'!$F$2:$F$501,'SC Change Orders'!$F312,'SC Change Orders'!$E$2:$E$501,'SC Change Orders'!$E312)&gt;1),"Duplicate of another row — funds counted twice; ","")&amp;IF(ISNUMBER('SC Change Orders'!$F312),IF('SC Change Orders'!$F312&lt;&gt;0,IF(AND(ISNUMBER('SC Change Orders'!$B312),NOT(COUNTIFS('SC Change Orders'!$B$2:$B$501,'SC Change Orders'!$B312,'SC Change Orders'!$C$2:$C$501,'SC Change Orders'!$C312,'SC Change Orders'!$D$2:$D$501,'SC Change Orders'!$D312,'SC Change Orders'!$F$2:$F$501,'SC Change Orders'!$F312,'SC Change Orders'!$E$2:$E$501,'SC Change Orders'!$E312)&gt;1),COUNTIFS('SC Change Orders'!$B$2:$B$501,'SC Change Orders'!$B312,'SC Change Orders'!$F$2:$F$501,'SC Change Orders'!$F312)&gt;1),  "Same PO and Amount Added as another row — check for a restatement counted twice; ",""),""),""))</f>
        <v/>
      </c>
    </row>
    <row r="331" customFormat="false" ht="15" hidden="false" customHeight="false" outlineLevel="0" collapsed="false">
      <c r="A331" s="18" t="str">
        <f aca="false">IF(AND('SC Change Orders'!$A313="",'SC Change Orders'!$B313="",'SC Change Orders'!$C313=""),"",313)</f>
        <v/>
      </c>
      <c r="B331" s="31" t="str">
        <f aca="false">IF($A331="","",'SC Change Orders'!$A313)</f>
        <v/>
      </c>
      <c r="C331" s="18" t="str">
        <f aca="false">IF($A331="","",'SC Change Orders'!$B313)</f>
        <v/>
      </c>
      <c r="D331" s="32" t="str">
        <f aca="false">IF($A331="","",'SC Change Orders'!$C313)</f>
        <v/>
      </c>
      <c r="E331" s="31" t="str">
        <f aca="false">IF($A331="","",'SC Change Orders'!$D313)</f>
        <v/>
      </c>
      <c r="F331" s="33" t="str">
        <f aca="false">IF($A331="","",'SC Change Orders'!$E313)</f>
        <v/>
      </c>
      <c r="G331" s="33" t="str">
        <f aca="false">IF($A331="","",'SC Change Orders'!$F313)</f>
        <v/>
      </c>
      <c r="H331" s="33" t="str">
        <f aca="false">IF($A331="","",'SC Change Orders'!$G313)</f>
        <v/>
      </c>
      <c r="I331" s="34" t="str">
        <f aca="false">IF($A331="","",IF(AND(ISNUMBER('SC Change Orders'!$C313),'SC Change Orders'!$C313&gt;=Controls!$C$5,'SC Change Orders'!$C313&lt;=Controls!$C$6),"Yes","No"))</f>
        <v/>
      </c>
      <c r="J331" s="31" t="str">
        <f aca="false">IF($A331="","",IF($K331="","OK",$K331))</f>
        <v/>
      </c>
      <c r="K331" s="0" t="str">
        <f aca="false">IF($A331="","",IF(NOT(ISNUMBER('SC Change Orders'!$B313)),"PO not numeric — row is invisible to the tracker; ","")&amp;IF(NOT(ISNUMBER('SC Change Orders'!$C313)),"Date missing or text — row excluded; ",  IF(OR('SC Change Orders'!$C313&lt;Controls!$C$5,'SC Change Orders'!$C313&gt;Controls!$C$6),"Dated outside the FY window — excluded; ",""))&amp;IF(AND('SC Change Orders'!$E313&lt;&gt;"",NOT(ISNUMBER('SC Change Orders'!$E313))),"Original Amount held as text — ignored by MINIFS; ","")&amp;IF(AND('SC Change Orders'!$F313&lt;&gt;"",NOT(ISNUMBER('SC Change Orders'!$F313))),"Amount Added held as text — ignored by SUMIFS; ","")&amp;IF(ISNUMBER('SC Change Orders'!$E313),IF(ISNUMBER('SC Change Orders'!$F313),IF(ISNUMBER('SC Change Orders'!$G313),  IF('SC Change Orders'!$G313&gt;0,IF(ROUND('SC Change Orders'!$E313+'SC Change Orders'!$F313,2)&lt;&gt;ROUND('SC Change Orders'!$G313,2),  "Original + Added &lt;&gt; Total Line Cost Allotted; ",""),""),""),""),"")&amp;IF(AND(ISNUMBER('SC Change Orders'!$B313),COUNTIFS('SC Change Orders'!$B$2:$B$501,'SC Change Orders'!$B313,'SC Change Orders'!$C$2:$C$501,'SC Change Orders'!$C313,'SC Change Orders'!$D$2:$D$501,'SC Change Orders'!$D313,'SC Change Orders'!$F$2:$F$501,'SC Change Orders'!$F313,'SC Change Orders'!$E$2:$E$501,'SC Change Orders'!$E313)&gt;1),"Duplicate of another row — funds counted twice; ","")&amp;IF(ISNUMBER('SC Change Orders'!$F313),IF('SC Change Orders'!$F313&lt;&gt;0,IF(AND(ISNUMBER('SC Change Orders'!$B313),NOT(COUNTIFS('SC Change Orders'!$B$2:$B$501,'SC Change Orders'!$B313,'SC Change Orders'!$C$2:$C$501,'SC Change Orders'!$C313,'SC Change Orders'!$D$2:$D$501,'SC Change Orders'!$D313,'SC Change Orders'!$F$2:$F$501,'SC Change Orders'!$F313,'SC Change Orders'!$E$2:$E$501,'SC Change Orders'!$E313)&gt;1),COUNTIFS('SC Change Orders'!$B$2:$B$501,'SC Change Orders'!$B313,'SC Change Orders'!$F$2:$F$501,'SC Change Orders'!$F313)&gt;1),  "Same PO and Amount Added as another row — check for a restatement counted twice; ",""),""),""))</f>
        <v/>
      </c>
    </row>
    <row r="332" customFormat="false" ht="15" hidden="false" customHeight="false" outlineLevel="0" collapsed="false">
      <c r="A332" s="18" t="str">
        <f aca="false">IF(AND('SC Change Orders'!$A314="",'SC Change Orders'!$B314="",'SC Change Orders'!$C314=""),"",314)</f>
        <v/>
      </c>
      <c r="B332" s="31" t="str">
        <f aca="false">IF($A332="","",'SC Change Orders'!$A314)</f>
        <v/>
      </c>
      <c r="C332" s="18" t="str">
        <f aca="false">IF($A332="","",'SC Change Orders'!$B314)</f>
        <v/>
      </c>
      <c r="D332" s="32" t="str">
        <f aca="false">IF($A332="","",'SC Change Orders'!$C314)</f>
        <v/>
      </c>
      <c r="E332" s="31" t="str">
        <f aca="false">IF($A332="","",'SC Change Orders'!$D314)</f>
        <v/>
      </c>
      <c r="F332" s="33" t="str">
        <f aca="false">IF($A332="","",'SC Change Orders'!$E314)</f>
        <v/>
      </c>
      <c r="G332" s="33" t="str">
        <f aca="false">IF($A332="","",'SC Change Orders'!$F314)</f>
        <v/>
      </c>
      <c r="H332" s="33" t="str">
        <f aca="false">IF($A332="","",'SC Change Orders'!$G314)</f>
        <v/>
      </c>
      <c r="I332" s="34" t="str">
        <f aca="false">IF($A332="","",IF(AND(ISNUMBER('SC Change Orders'!$C314),'SC Change Orders'!$C314&gt;=Controls!$C$5,'SC Change Orders'!$C314&lt;=Controls!$C$6),"Yes","No"))</f>
        <v/>
      </c>
      <c r="J332" s="31" t="str">
        <f aca="false">IF($A332="","",IF($K332="","OK",$K332))</f>
        <v/>
      </c>
      <c r="K332" s="0" t="str">
        <f aca="false">IF($A332="","",IF(NOT(ISNUMBER('SC Change Orders'!$B314)),"PO not numeric — row is invisible to the tracker; ","")&amp;IF(NOT(ISNUMBER('SC Change Orders'!$C314)),"Date missing or text — row excluded; ",  IF(OR('SC Change Orders'!$C314&lt;Controls!$C$5,'SC Change Orders'!$C314&gt;Controls!$C$6),"Dated outside the FY window — excluded; ",""))&amp;IF(AND('SC Change Orders'!$E314&lt;&gt;"",NOT(ISNUMBER('SC Change Orders'!$E314))),"Original Amount held as text — ignored by MINIFS; ","")&amp;IF(AND('SC Change Orders'!$F314&lt;&gt;"",NOT(ISNUMBER('SC Change Orders'!$F314))),"Amount Added held as text — ignored by SUMIFS; ","")&amp;IF(ISNUMBER('SC Change Orders'!$E314),IF(ISNUMBER('SC Change Orders'!$F314),IF(ISNUMBER('SC Change Orders'!$G314),  IF('SC Change Orders'!$G314&gt;0,IF(ROUND('SC Change Orders'!$E314+'SC Change Orders'!$F314,2)&lt;&gt;ROUND('SC Change Orders'!$G314,2),  "Original + Added &lt;&gt; Total Line Cost Allotted; ",""),""),""),""),"")&amp;IF(AND(ISNUMBER('SC Change Orders'!$B314),COUNTIFS('SC Change Orders'!$B$2:$B$501,'SC Change Orders'!$B314,'SC Change Orders'!$C$2:$C$501,'SC Change Orders'!$C314,'SC Change Orders'!$D$2:$D$501,'SC Change Orders'!$D314,'SC Change Orders'!$F$2:$F$501,'SC Change Orders'!$F314,'SC Change Orders'!$E$2:$E$501,'SC Change Orders'!$E314)&gt;1),"Duplicate of another row — funds counted twice; ","")&amp;IF(ISNUMBER('SC Change Orders'!$F314),IF('SC Change Orders'!$F314&lt;&gt;0,IF(AND(ISNUMBER('SC Change Orders'!$B314),NOT(COUNTIFS('SC Change Orders'!$B$2:$B$501,'SC Change Orders'!$B314,'SC Change Orders'!$C$2:$C$501,'SC Change Orders'!$C314,'SC Change Orders'!$D$2:$D$501,'SC Change Orders'!$D314,'SC Change Orders'!$F$2:$F$501,'SC Change Orders'!$F314,'SC Change Orders'!$E$2:$E$501,'SC Change Orders'!$E314)&gt;1),COUNTIFS('SC Change Orders'!$B$2:$B$501,'SC Change Orders'!$B314,'SC Change Orders'!$F$2:$F$501,'SC Change Orders'!$F314)&gt;1),  "Same PO and Amount Added as another row — check for a restatement counted twice; ",""),""),""))</f>
        <v/>
      </c>
    </row>
    <row r="333" customFormat="false" ht="15" hidden="false" customHeight="false" outlineLevel="0" collapsed="false">
      <c r="A333" s="18" t="str">
        <f aca="false">IF(AND('SC Change Orders'!$A315="",'SC Change Orders'!$B315="",'SC Change Orders'!$C315=""),"",315)</f>
        <v/>
      </c>
      <c r="B333" s="31" t="str">
        <f aca="false">IF($A333="","",'SC Change Orders'!$A315)</f>
        <v/>
      </c>
      <c r="C333" s="18" t="str">
        <f aca="false">IF($A333="","",'SC Change Orders'!$B315)</f>
        <v/>
      </c>
      <c r="D333" s="32" t="str">
        <f aca="false">IF($A333="","",'SC Change Orders'!$C315)</f>
        <v/>
      </c>
      <c r="E333" s="31" t="str">
        <f aca="false">IF($A333="","",'SC Change Orders'!$D315)</f>
        <v/>
      </c>
      <c r="F333" s="33" t="str">
        <f aca="false">IF($A333="","",'SC Change Orders'!$E315)</f>
        <v/>
      </c>
      <c r="G333" s="33" t="str">
        <f aca="false">IF($A333="","",'SC Change Orders'!$F315)</f>
        <v/>
      </c>
      <c r="H333" s="33" t="str">
        <f aca="false">IF($A333="","",'SC Change Orders'!$G315)</f>
        <v/>
      </c>
      <c r="I333" s="34" t="str">
        <f aca="false">IF($A333="","",IF(AND(ISNUMBER('SC Change Orders'!$C315),'SC Change Orders'!$C315&gt;=Controls!$C$5,'SC Change Orders'!$C315&lt;=Controls!$C$6),"Yes","No"))</f>
        <v/>
      </c>
      <c r="J333" s="31" t="str">
        <f aca="false">IF($A333="","",IF($K333="","OK",$K333))</f>
        <v/>
      </c>
      <c r="K333" s="0" t="str">
        <f aca="false">IF($A333="","",IF(NOT(ISNUMBER('SC Change Orders'!$B315)),"PO not numeric — row is invisible to the tracker; ","")&amp;IF(NOT(ISNUMBER('SC Change Orders'!$C315)),"Date missing or text — row excluded; ",  IF(OR('SC Change Orders'!$C315&lt;Controls!$C$5,'SC Change Orders'!$C315&gt;Controls!$C$6),"Dated outside the FY window — excluded; ",""))&amp;IF(AND('SC Change Orders'!$E315&lt;&gt;"",NOT(ISNUMBER('SC Change Orders'!$E315))),"Original Amount held as text — ignored by MINIFS; ","")&amp;IF(AND('SC Change Orders'!$F315&lt;&gt;"",NOT(ISNUMBER('SC Change Orders'!$F315))),"Amount Added held as text — ignored by SUMIFS; ","")&amp;IF(ISNUMBER('SC Change Orders'!$E315),IF(ISNUMBER('SC Change Orders'!$F315),IF(ISNUMBER('SC Change Orders'!$G315),  IF('SC Change Orders'!$G315&gt;0,IF(ROUND('SC Change Orders'!$E315+'SC Change Orders'!$F315,2)&lt;&gt;ROUND('SC Change Orders'!$G315,2),  "Original + Added &lt;&gt; Total Line Cost Allotted; ",""),""),""),""),"")&amp;IF(AND(ISNUMBER('SC Change Orders'!$B315),COUNTIFS('SC Change Orders'!$B$2:$B$501,'SC Change Orders'!$B315,'SC Change Orders'!$C$2:$C$501,'SC Change Orders'!$C315,'SC Change Orders'!$D$2:$D$501,'SC Change Orders'!$D315,'SC Change Orders'!$F$2:$F$501,'SC Change Orders'!$F315,'SC Change Orders'!$E$2:$E$501,'SC Change Orders'!$E315)&gt;1),"Duplicate of another row — funds counted twice; ","")&amp;IF(ISNUMBER('SC Change Orders'!$F315),IF('SC Change Orders'!$F315&lt;&gt;0,IF(AND(ISNUMBER('SC Change Orders'!$B315),NOT(COUNTIFS('SC Change Orders'!$B$2:$B$501,'SC Change Orders'!$B315,'SC Change Orders'!$C$2:$C$501,'SC Change Orders'!$C315,'SC Change Orders'!$D$2:$D$501,'SC Change Orders'!$D315,'SC Change Orders'!$F$2:$F$501,'SC Change Orders'!$F315,'SC Change Orders'!$E$2:$E$501,'SC Change Orders'!$E315)&gt;1),COUNTIFS('SC Change Orders'!$B$2:$B$501,'SC Change Orders'!$B315,'SC Change Orders'!$F$2:$F$501,'SC Change Orders'!$F315)&gt;1),  "Same PO and Amount Added as another row — check for a restatement counted twice; ",""),""),""))</f>
        <v/>
      </c>
    </row>
    <row r="334" customFormat="false" ht="15" hidden="false" customHeight="false" outlineLevel="0" collapsed="false">
      <c r="A334" s="18" t="str">
        <f aca="false">IF(AND('SC Change Orders'!$A316="",'SC Change Orders'!$B316="",'SC Change Orders'!$C316=""),"",316)</f>
        <v/>
      </c>
      <c r="B334" s="31" t="str">
        <f aca="false">IF($A334="","",'SC Change Orders'!$A316)</f>
        <v/>
      </c>
      <c r="C334" s="18" t="str">
        <f aca="false">IF($A334="","",'SC Change Orders'!$B316)</f>
        <v/>
      </c>
      <c r="D334" s="32" t="str">
        <f aca="false">IF($A334="","",'SC Change Orders'!$C316)</f>
        <v/>
      </c>
      <c r="E334" s="31" t="str">
        <f aca="false">IF($A334="","",'SC Change Orders'!$D316)</f>
        <v/>
      </c>
      <c r="F334" s="33" t="str">
        <f aca="false">IF($A334="","",'SC Change Orders'!$E316)</f>
        <v/>
      </c>
      <c r="G334" s="33" t="str">
        <f aca="false">IF($A334="","",'SC Change Orders'!$F316)</f>
        <v/>
      </c>
      <c r="H334" s="33" t="str">
        <f aca="false">IF($A334="","",'SC Change Orders'!$G316)</f>
        <v/>
      </c>
      <c r="I334" s="34" t="str">
        <f aca="false">IF($A334="","",IF(AND(ISNUMBER('SC Change Orders'!$C316),'SC Change Orders'!$C316&gt;=Controls!$C$5,'SC Change Orders'!$C316&lt;=Controls!$C$6),"Yes","No"))</f>
        <v/>
      </c>
      <c r="J334" s="31" t="str">
        <f aca="false">IF($A334="","",IF($K334="","OK",$K334))</f>
        <v/>
      </c>
      <c r="K334" s="0" t="str">
        <f aca="false">IF($A334="","",IF(NOT(ISNUMBER('SC Change Orders'!$B316)),"PO not numeric — row is invisible to the tracker; ","")&amp;IF(NOT(ISNUMBER('SC Change Orders'!$C316)),"Date missing or text — row excluded; ",  IF(OR('SC Change Orders'!$C316&lt;Controls!$C$5,'SC Change Orders'!$C316&gt;Controls!$C$6),"Dated outside the FY window — excluded; ",""))&amp;IF(AND('SC Change Orders'!$E316&lt;&gt;"",NOT(ISNUMBER('SC Change Orders'!$E316))),"Original Amount held as text — ignored by MINIFS; ","")&amp;IF(AND('SC Change Orders'!$F316&lt;&gt;"",NOT(ISNUMBER('SC Change Orders'!$F316))),"Amount Added held as text — ignored by SUMIFS; ","")&amp;IF(ISNUMBER('SC Change Orders'!$E316),IF(ISNUMBER('SC Change Orders'!$F316),IF(ISNUMBER('SC Change Orders'!$G316),  IF('SC Change Orders'!$G316&gt;0,IF(ROUND('SC Change Orders'!$E316+'SC Change Orders'!$F316,2)&lt;&gt;ROUND('SC Change Orders'!$G316,2),  "Original + Added &lt;&gt; Total Line Cost Allotted; ",""),""),""),""),"")&amp;IF(AND(ISNUMBER('SC Change Orders'!$B316),COUNTIFS('SC Change Orders'!$B$2:$B$501,'SC Change Orders'!$B316,'SC Change Orders'!$C$2:$C$501,'SC Change Orders'!$C316,'SC Change Orders'!$D$2:$D$501,'SC Change Orders'!$D316,'SC Change Orders'!$F$2:$F$501,'SC Change Orders'!$F316,'SC Change Orders'!$E$2:$E$501,'SC Change Orders'!$E316)&gt;1),"Duplicate of another row — funds counted twice; ","")&amp;IF(ISNUMBER('SC Change Orders'!$F316),IF('SC Change Orders'!$F316&lt;&gt;0,IF(AND(ISNUMBER('SC Change Orders'!$B316),NOT(COUNTIFS('SC Change Orders'!$B$2:$B$501,'SC Change Orders'!$B316,'SC Change Orders'!$C$2:$C$501,'SC Change Orders'!$C316,'SC Change Orders'!$D$2:$D$501,'SC Change Orders'!$D316,'SC Change Orders'!$F$2:$F$501,'SC Change Orders'!$F316,'SC Change Orders'!$E$2:$E$501,'SC Change Orders'!$E316)&gt;1),COUNTIFS('SC Change Orders'!$B$2:$B$501,'SC Change Orders'!$B316,'SC Change Orders'!$F$2:$F$501,'SC Change Orders'!$F316)&gt;1),  "Same PO and Amount Added as another row — check for a restatement counted twice; ",""),""),""))</f>
        <v/>
      </c>
    </row>
    <row r="335" customFormat="false" ht="15" hidden="false" customHeight="false" outlineLevel="0" collapsed="false">
      <c r="A335" s="18" t="str">
        <f aca="false">IF(AND('SC Change Orders'!$A317="",'SC Change Orders'!$B317="",'SC Change Orders'!$C317=""),"",317)</f>
        <v/>
      </c>
      <c r="B335" s="31" t="str">
        <f aca="false">IF($A335="","",'SC Change Orders'!$A317)</f>
        <v/>
      </c>
      <c r="C335" s="18" t="str">
        <f aca="false">IF($A335="","",'SC Change Orders'!$B317)</f>
        <v/>
      </c>
      <c r="D335" s="32" t="str">
        <f aca="false">IF($A335="","",'SC Change Orders'!$C317)</f>
        <v/>
      </c>
      <c r="E335" s="31" t="str">
        <f aca="false">IF($A335="","",'SC Change Orders'!$D317)</f>
        <v/>
      </c>
      <c r="F335" s="33" t="str">
        <f aca="false">IF($A335="","",'SC Change Orders'!$E317)</f>
        <v/>
      </c>
      <c r="G335" s="33" t="str">
        <f aca="false">IF($A335="","",'SC Change Orders'!$F317)</f>
        <v/>
      </c>
      <c r="H335" s="33" t="str">
        <f aca="false">IF($A335="","",'SC Change Orders'!$G317)</f>
        <v/>
      </c>
      <c r="I335" s="34" t="str">
        <f aca="false">IF($A335="","",IF(AND(ISNUMBER('SC Change Orders'!$C317),'SC Change Orders'!$C317&gt;=Controls!$C$5,'SC Change Orders'!$C317&lt;=Controls!$C$6),"Yes","No"))</f>
        <v/>
      </c>
      <c r="J335" s="31" t="str">
        <f aca="false">IF($A335="","",IF($K335="","OK",$K335))</f>
        <v/>
      </c>
      <c r="K335" s="0" t="str">
        <f aca="false">IF($A335="","",IF(NOT(ISNUMBER('SC Change Orders'!$B317)),"PO not numeric — row is invisible to the tracker; ","")&amp;IF(NOT(ISNUMBER('SC Change Orders'!$C317)),"Date missing or text — row excluded; ",  IF(OR('SC Change Orders'!$C317&lt;Controls!$C$5,'SC Change Orders'!$C317&gt;Controls!$C$6),"Dated outside the FY window — excluded; ",""))&amp;IF(AND('SC Change Orders'!$E317&lt;&gt;"",NOT(ISNUMBER('SC Change Orders'!$E317))),"Original Amount held as text — ignored by MINIFS; ","")&amp;IF(AND('SC Change Orders'!$F317&lt;&gt;"",NOT(ISNUMBER('SC Change Orders'!$F317))),"Amount Added held as text — ignored by SUMIFS; ","")&amp;IF(ISNUMBER('SC Change Orders'!$E317),IF(ISNUMBER('SC Change Orders'!$F317),IF(ISNUMBER('SC Change Orders'!$G317),  IF('SC Change Orders'!$G317&gt;0,IF(ROUND('SC Change Orders'!$E317+'SC Change Orders'!$F317,2)&lt;&gt;ROUND('SC Change Orders'!$G317,2),  "Original + Added &lt;&gt; Total Line Cost Allotted; ",""),""),""),""),"")&amp;IF(AND(ISNUMBER('SC Change Orders'!$B317),COUNTIFS('SC Change Orders'!$B$2:$B$501,'SC Change Orders'!$B317,'SC Change Orders'!$C$2:$C$501,'SC Change Orders'!$C317,'SC Change Orders'!$D$2:$D$501,'SC Change Orders'!$D317,'SC Change Orders'!$F$2:$F$501,'SC Change Orders'!$F317,'SC Change Orders'!$E$2:$E$501,'SC Change Orders'!$E317)&gt;1),"Duplicate of another row — funds counted twice; ","")&amp;IF(ISNUMBER('SC Change Orders'!$F317),IF('SC Change Orders'!$F317&lt;&gt;0,IF(AND(ISNUMBER('SC Change Orders'!$B317),NOT(COUNTIFS('SC Change Orders'!$B$2:$B$501,'SC Change Orders'!$B317,'SC Change Orders'!$C$2:$C$501,'SC Change Orders'!$C317,'SC Change Orders'!$D$2:$D$501,'SC Change Orders'!$D317,'SC Change Orders'!$F$2:$F$501,'SC Change Orders'!$F317,'SC Change Orders'!$E$2:$E$501,'SC Change Orders'!$E317)&gt;1),COUNTIFS('SC Change Orders'!$B$2:$B$501,'SC Change Orders'!$B317,'SC Change Orders'!$F$2:$F$501,'SC Change Orders'!$F317)&gt;1),  "Same PO and Amount Added as another row — check for a restatement counted twice; ",""),""),""))</f>
        <v/>
      </c>
    </row>
    <row r="336" customFormat="false" ht="15" hidden="false" customHeight="false" outlineLevel="0" collapsed="false">
      <c r="A336" s="18" t="str">
        <f aca="false">IF(AND('SC Change Orders'!$A318="",'SC Change Orders'!$B318="",'SC Change Orders'!$C318=""),"",318)</f>
        <v/>
      </c>
      <c r="B336" s="31" t="str">
        <f aca="false">IF($A336="","",'SC Change Orders'!$A318)</f>
        <v/>
      </c>
      <c r="C336" s="18" t="str">
        <f aca="false">IF($A336="","",'SC Change Orders'!$B318)</f>
        <v/>
      </c>
      <c r="D336" s="32" t="str">
        <f aca="false">IF($A336="","",'SC Change Orders'!$C318)</f>
        <v/>
      </c>
      <c r="E336" s="31" t="str">
        <f aca="false">IF($A336="","",'SC Change Orders'!$D318)</f>
        <v/>
      </c>
      <c r="F336" s="33" t="str">
        <f aca="false">IF($A336="","",'SC Change Orders'!$E318)</f>
        <v/>
      </c>
      <c r="G336" s="33" t="str">
        <f aca="false">IF($A336="","",'SC Change Orders'!$F318)</f>
        <v/>
      </c>
      <c r="H336" s="33" t="str">
        <f aca="false">IF($A336="","",'SC Change Orders'!$G318)</f>
        <v/>
      </c>
      <c r="I336" s="34" t="str">
        <f aca="false">IF($A336="","",IF(AND(ISNUMBER('SC Change Orders'!$C318),'SC Change Orders'!$C318&gt;=Controls!$C$5,'SC Change Orders'!$C318&lt;=Controls!$C$6),"Yes","No"))</f>
        <v/>
      </c>
      <c r="J336" s="31" t="str">
        <f aca="false">IF($A336="","",IF($K336="","OK",$K336))</f>
        <v/>
      </c>
      <c r="K336" s="0" t="str">
        <f aca="false">IF($A336="","",IF(NOT(ISNUMBER('SC Change Orders'!$B318)),"PO not numeric — row is invisible to the tracker; ","")&amp;IF(NOT(ISNUMBER('SC Change Orders'!$C318)),"Date missing or text — row excluded; ",  IF(OR('SC Change Orders'!$C318&lt;Controls!$C$5,'SC Change Orders'!$C318&gt;Controls!$C$6),"Dated outside the FY window — excluded; ",""))&amp;IF(AND('SC Change Orders'!$E318&lt;&gt;"",NOT(ISNUMBER('SC Change Orders'!$E318))),"Original Amount held as text — ignored by MINIFS; ","")&amp;IF(AND('SC Change Orders'!$F318&lt;&gt;"",NOT(ISNUMBER('SC Change Orders'!$F318))),"Amount Added held as text — ignored by SUMIFS; ","")&amp;IF(ISNUMBER('SC Change Orders'!$E318),IF(ISNUMBER('SC Change Orders'!$F318),IF(ISNUMBER('SC Change Orders'!$G318),  IF('SC Change Orders'!$G318&gt;0,IF(ROUND('SC Change Orders'!$E318+'SC Change Orders'!$F318,2)&lt;&gt;ROUND('SC Change Orders'!$G318,2),  "Original + Added &lt;&gt; Total Line Cost Allotted; ",""),""),""),""),"")&amp;IF(AND(ISNUMBER('SC Change Orders'!$B318),COUNTIFS('SC Change Orders'!$B$2:$B$501,'SC Change Orders'!$B318,'SC Change Orders'!$C$2:$C$501,'SC Change Orders'!$C318,'SC Change Orders'!$D$2:$D$501,'SC Change Orders'!$D318,'SC Change Orders'!$F$2:$F$501,'SC Change Orders'!$F318,'SC Change Orders'!$E$2:$E$501,'SC Change Orders'!$E318)&gt;1),"Duplicate of another row — funds counted twice; ","")&amp;IF(ISNUMBER('SC Change Orders'!$F318),IF('SC Change Orders'!$F318&lt;&gt;0,IF(AND(ISNUMBER('SC Change Orders'!$B318),NOT(COUNTIFS('SC Change Orders'!$B$2:$B$501,'SC Change Orders'!$B318,'SC Change Orders'!$C$2:$C$501,'SC Change Orders'!$C318,'SC Change Orders'!$D$2:$D$501,'SC Change Orders'!$D318,'SC Change Orders'!$F$2:$F$501,'SC Change Orders'!$F318,'SC Change Orders'!$E$2:$E$501,'SC Change Orders'!$E318)&gt;1),COUNTIFS('SC Change Orders'!$B$2:$B$501,'SC Change Orders'!$B318,'SC Change Orders'!$F$2:$F$501,'SC Change Orders'!$F318)&gt;1),  "Same PO and Amount Added as another row — check for a restatement counted twice; ",""),""),""))</f>
        <v/>
      </c>
    </row>
    <row r="337" customFormat="false" ht="15" hidden="false" customHeight="false" outlineLevel="0" collapsed="false">
      <c r="A337" s="18" t="str">
        <f aca="false">IF(AND('SC Change Orders'!$A319="",'SC Change Orders'!$B319="",'SC Change Orders'!$C319=""),"",319)</f>
        <v/>
      </c>
      <c r="B337" s="31" t="str">
        <f aca="false">IF($A337="","",'SC Change Orders'!$A319)</f>
        <v/>
      </c>
      <c r="C337" s="18" t="str">
        <f aca="false">IF($A337="","",'SC Change Orders'!$B319)</f>
        <v/>
      </c>
      <c r="D337" s="32" t="str">
        <f aca="false">IF($A337="","",'SC Change Orders'!$C319)</f>
        <v/>
      </c>
      <c r="E337" s="31" t="str">
        <f aca="false">IF($A337="","",'SC Change Orders'!$D319)</f>
        <v/>
      </c>
      <c r="F337" s="33" t="str">
        <f aca="false">IF($A337="","",'SC Change Orders'!$E319)</f>
        <v/>
      </c>
      <c r="G337" s="33" t="str">
        <f aca="false">IF($A337="","",'SC Change Orders'!$F319)</f>
        <v/>
      </c>
      <c r="H337" s="33" t="str">
        <f aca="false">IF($A337="","",'SC Change Orders'!$G319)</f>
        <v/>
      </c>
      <c r="I337" s="34" t="str">
        <f aca="false">IF($A337="","",IF(AND(ISNUMBER('SC Change Orders'!$C319),'SC Change Orders'!$C319&gt;=Controls!$C$5,'SC Change Orders'!$C319&lt;=Controls!$C$6),"Yes","No"))</f>
        <v/>
      </c>
      <c r="J337" s="31" t="str">
        <f aca="false">IF($A337="","",IF($K337="","OK",$K337))</f>
        <v/>
      </c>
      <c r="K337" s="0" t="str">
        <f aca="false">IF($A337="","",IF(NOT(ISNUMBER('SC Change Orders'!$B319)),"PO not numeric — row is invisible to the tracker; ","")&amp;IF(NOT(ISNUMBER('SC Change Orders'!$C319)),"Date missing or text — row excluded; ",  IF(OR('SC Change Orders'!$C319&lt;Controls!$C$5,'SC Change Orders'!$C319&gt;Controls!$C$6),"Dated outside the FY window — excluded; ",""))&amp;IF(AND('SC Change Orders'!$E319&lt;&gt;"",NOT(ISNUMBER('SC Change Orders'!$E319))),"Original Amount held as text — ignored by MINIFS; ","")&amp;IF(AND('SC Change Orders'!$F319&lt;&gt;"",NOT(ISNUMBER('SC Change Orders'!$F319))),"Amount Added held as text — ignored by SUMIFS; ","")&amp;IF(ISNUMBER('SC Change Orders'!$E319),IF(ISNUMBER('SC Change Orders'!$F319),IF(ISNUMBER('SC Change Orders'!$G319),  IF('SC Change Orders'!$G319&gt;0,IF(ROUND('SC Change Orders'!$E319+'SC Change Orders'!$F319,2)&lt;&gt;ROUND('SC Change Orders'!$G319,2),  "Original + Added &lt;&gt; Total Line Cost Allotted; ",""),""),""),""),"")&amp;IF(AND(ISNUMBER('SC Change Orders'!$B319),COUNTIFS('SC Change Orders'!$B$2:$B$501,'SC Change Orders'!$B319,'SC Change Orders'!$C$2:$C$501,'SC Change Orders'!$C319,'SC Change Orders'!$D$2:$D$501,'SC Change Orders'!$D319,'SC Change Orders'!$F$2:$F$501,'SC Change Orders'!$F319,'SC Change Orders'!$E$2:$E$501,'SC Change Orders'!$E319)&gt;1),"Duplicate of another row — funds counted twice; ","")&amp;IF(ISNUMBER('SC Change Orders'!$F319),IF('SC Change Orders'!$F319&lt;&gt;0,IF(AND(ISNUMBER('SC Change Orders'!$B319),NOT(COUNTIFS('SC Change Orders'!$B$2:$B$501,'SC Change Orders'!$B319,'SC Change Orders'!$C$2:$C$501,'SC Change Orders'!$C319,'SC Change Orders'!$D$2:$D$501,'SC Change Orders'!$D319,'SC Change Orders'!$F$2:$F$501,'SC Change Orders'!$F319,'SC Change Orders'!$E$2:$E$501,'SC Change Orders'!$E319)&gt;1),COUNTIFS('SC Change Orders'!$B$2:$B$501,'SC Change Orders'!$B319,'SC Change Orders'!$F$2:$F$501,'SC Change Orders'!$F319)&gt;1),  "Same PO and Amount Added as another row — check for a restatement counted twice; ",""),""),""))</f>
        <v/>
      </c>
    </row>
    <row r="338" customFormat="false" ht="15" hidden="false" customHeight="false" outlineLevel="0" collapsed="false">
      <c r="A338" s="18" t="str">
        <f aca="false">IF(AND('SC Change Orders'!$A320="",'SC Change Orders'!$B320="",'SC Change Orders'!$C320=""),"",320)</f>
        <v/>
      </c>
      <c r="B338" s="31" t="str">
        <f aca="false">IF($A338="","",'SC Change Orders'!$A320)</f>
        <v/>
      </c>
      <c r="C338" s="18" t="str">
        <f aca="false">IF($A338="","",'SC Change Orders'!$B320)</f>
        <v/>
      </c>
      <c r="D338" s="32" t="str">
        <f aca="false">IF($A338="","",'SC Change Orders'!$C320)</f>
        <v/>
      </c>
      <c r="E338" s="31" t="str">
        <f aca="false">IF($A338="","",'SC Change Orders'!$D320)</f>
        <v/>
      </c>
      <c r="F338" s="33" t="str">
        <f aca="false">IF($A338="","",'SC Change Orders'!$E320)</f>
        <v/>
      </c>
      <c r="G338" s="33" t="str">
        <f aca="false">IF($A338="","",'SC Change Orders'!$F320)</f>
        <v/>
      </c>
      <c r="H338" s="33" t="str">
        <f aca="false">IF($A338="","",'SC Change Orders'!$G320)</f>
        <v/>
      </c>
      <c r="I338" s="34" t="str">
        <f aca="false">IF($A338="","",IF(AND(ISNUMBER('SC Change Orders'!$C320),'SC Change Orders'!$C320&gt;=Controls!$C$5,'SC Change Orders'!$C320&lt;=Controls!$C$6),"Yes","No"))</f>
        <v/>
      </c>
      <c r="J338" s="31" t="str">
        <f aca="false">IF($A338="","",IF($K338="","OK",$K338))</f>
        <v/>
      </c>
      <c r="K338" s="0" t="str">
        <f aca="false">IF($A338="","",IF(NOT(ISNUMBER('SC Change Orders'!$B320)),"PO not numeric — row is invisible to the tracker; ","")&amp;IF(NOT(ISNUMBER('SC Change Orders'!$C320)),"Date missing or text — row excluded; ",  IF(OR('SC Change Orders'!$C320&lt;Controls!$C$5,'SC Change Orders'!$C320&gt;Controls!$C$6),"Dated outside the FY window — excluded; ",""))&amp;IF(AND('SC Change Orders'!$E320&lt;&gt;"",NOT(ISNUMBER('SC Change Orders'!$E320))),"Original Amount held as text — ignored by MINIFS; ","")&amp;IF(AND('SC Change Orders'!$F320&lt;&gt;"",NOT(ISNUMBER('SC Change Orders'!$F320))),"Amount Added held as text — ignored by SUMIFS; ","")&amp;IF(ISNUMBER('SC Change Orders'!$E320),IF(ISNUMBER('SC Change Orders'!$F320),IF(ISNUMBER('SC Change Orders'!$G320),  IF('SC Change Orders'!$G320&gt;0,IF(ROUND('SC Change Orders'!$E320+'SC Change Orders'!$F320,2)&lt;&gt;ROUND('SC Change Orders'!$G320,2),  "Original + Added &lt;&gt; Total Line Cost Allotted; ",""),""),""),""),"")&amp;IF(AND(ISNUMBER('SC Change Orders'!$B320),COUNTIFS('SC Change Orders'!$B$2:$B$501,'SC Change Orders'!$B320,'SC Change Orders'!$C$2:$C$501,'SC Change Orders'!$C320,'SC Change Orders'!$D$2:$D$501,'SC Change Orders'!$D320,'SC Change Orders'!$F$2:$F$501,'SC Change Orders'!$F320,'SC Change Orders'!$E$2:$E$501,'SC Change Orders'!$E320)&gt;1),"Duplicate of another row — funds counted twice; ","")&amp;IF(ISNUMBER('SC Change Orders'!$F320),IF('SC Change Orders'!$F320&lt;&gt;0,IF(AND(ISNUMBER('SC Change Orders'!$B320),NOT(COUNTIFS('SC Change Orders'!$B$2:$B$501,'SC Change Orders'!$B320,'SC Change Orders'!$C$2:$C$501,'SC Change Orders'!$C320,'SC Change Orders'!$D$2:$D$501,'SC Change Orders'!$D320,'SC Change Orders'!$F$2:$F$501,'SC Change Orders'!$F320,'SC Change Orders'!$E$2:$E$501,'SC Change Orders'!$E320)&gt;1),COUNTIFS('SC Change Orders'!$B$2:$B$501,'SC Change Orders'!$B320,'SC Change Orders'!$F$2:$F$501,'SC Change Orders'!$F320)&gt;1),  "Same PO and Amount Added as another row — check for a restatement counted twice; ",""),""),""))</f>
        <v/>
      </c>
    </row>
    <row r="339" customFormat="false" ht="15" hidden="false" customHeight="false" outlineLevel="0" collapsed="false">
      <c r="A339" s="18" t="str">
        <f aca="false">IF(AND('SC Change Orders'!$A321="",'SC Change Orders'!$B321="",'SC Change Orders'!$C321=""),"",321)</f>
        <v/>
      </c>
      <c r="B339" s="31" t="str">
        <f aca="false">IF($A339="","",'SC Change Orders'!$A321)</f>
        <v/>
      </c>
      <c r="C339" s="18" t="str">
        <f aca="false">IF($A339="","",'SC Change Orders'!$B321)</f>
        <v/>
      </c>
      <c r="D339" s="32" t="str">
        <f aca="false">IF($A339="","",'SC Change Orders'!$C321)</f>
        <v/>
      </c>
      <c r="E339" s="31" t="str">
        <f aca="false">IF($A339="","",'SC Change Orders'!$D321)</f>
        <v/>
      </c>
      <c r="F339" s="33" t="str">
        <f aca="false">IF($A339="","",'SC Change Orders'!$E321)</f>
        <v/>
      </c>
      <c r="G339" s="33" t="str">
        <f aca="false">IF($A339="","",'SC Change Orders'!$F321)</f>
        <v/>
      </c>
      <c r="H339" s="33" t="str">
        <f aca="false">IF($A339="","",'SC Change Orders'!$G321)</f>
        <v/>
      </c>
      <c r="I339" s="34" t="str">
        <f aca="false">IF($A339="","",IF(AND(ISNUMBER('SC Change Orders'!$C321),'SC Change Orders'!$C321&gt;=Controls!$C$5,'SC Change Orders'!$C321&lt;=Controls!$C$6),"Yes","No"))</f>
        <v/>
      </c>
      <c r="J339" s="31" t="str">
        <f aca="false">IF($A339="","",IF($K339="","OK",$K339))</f>
        <v/>
      </c>
      <c r="K339" s="0" t="str">
        <f aca="false">IF($A339="","",IF(NOT(ISNUMBER('SC Change Orders'!$B321)),"PO not numeric — row is invisible to the tracker; ","")&amp;IF(NOT(ISNUMBER('SC Change Orders'!$C321)),"Date missing or text — row excluded; ",  IF(OR('SC Change Orders'!$C321&lt;Controls!$C$5,'SC Change Orders'!$C321&gt;Controls!$C$6),"Dated outside the FY window — excluded; ",""))&amp;IF(AND('SC Change Orders'!$E321&lt;&gt;"",NOT(ISNUMBER('SC Change Orders'!$E321))),"Original Amount held as text — ignored by MINIFS; ","")&amp;IF(AND('SC Change Orders'!$F321&lt;&gt;"",NOT(ISNUMBER('SC Change Orders'!$F321))),"Amount Added held as text — ignored by SUMIFS; ","")&amp;IF(ISNUMBER('SC Change Orders'!$E321),IF(ISNUMBER('SC Change Orders'!$F321),IF(ISNUMBER('SC Change Orders'!$G321),  IF('SC Change Orders'!$G321&gt;0,IF(ROUND('SC Change Orders'!$E321+'SC Change Orders'!$F321,2)&lt;&gt;ROUND('SC Change Orders'!$G321,2),  "Original + Added &lt;&gt; Total Line Cost Allotted; ",""),""),""),""),"")&amp;IF(AND(ISNUMBER('SC Change Orders'!$B321),COUNTIFS('SC Change Orders'!$B$2:$B$501,'SC Change Orders'!$B321,'SC Change Orders'!$C$2:$C$501,'SC Change Orders'!$C321,'SC Change Orders'!$D$2:$D$501,'SC Change Orders'!$D321,'SC Change Orders'!$F$2:$F$501,'SC Change Orders'!$F321,'SC Change Orders'!$E$2:$E$501,'SC Change Orders'!$E321)&gt;1),"Duplicate of another row — funds counted twice; ","")&amp;IF(ISNUMBER('SC Change Orders'!$F321),IF('SC Change Orders'!$F321&lt;&gt;0,IF(AND(ISNUMBER('SC Change Orders'!$B321),NOT(COUNTIFS('SC Change Orders'!$B$2:$B$501,'SC Change Orders'!$B321,'SC Change Orders'!$C$2:$C$501,'SC Change Orders'!$C321,'SC Change Orders'!$D$2:$D$501,'SC Change Orders'!$D321,'SC Change Orders'!$F$2:$F$501,'SC Change Orders'!$F321,'SC Change Orders'!$E$2:$E$501,'SC Change Orders'!$E321)&gt;1),COUNTIFS('SC Change Orders'!$B$2:$B$501,'SC Change Orders'!$B321,'SC Change Orders'!$F$2:$F$501,'SC Change Orders'!$F321)&gt;1),  "Same PO and Amount Added as another row — check for a restatement counted twice; ",""),""),""))</f>
        <v/>
      </c>
    </row>
    <row r="340" customFormat="false" ht="15" hidden="false" customHeight="false" outlineLevel="0" collapsed="false">
      <c r="A340" s="18" t="str">
        <f aca="false">IF(AND('SC Change Orders'!$A322="",'SC Change Orders'!$B322="",'SC Change Orders'!$C322=""),"",322)</f>
        <v/>
      </c>
      <c r="B340" s="31" t="str">
        <f aca="false">IF($A340="","",'SC Change Orders'!$A322)</f>
        <v/>
      </c>
      <c r="C340" s="18" t="str">
        <f aca="false">IF($A340="","",'SC Change Orders'!$B322)</f>
        <v/>
      </c>
      <c r="D340" s="32" t="str">
        <f aca="false">IF($A340="","",'SC Change Orders'!$C322)</f>
        <v/>
      </c>
      <c r="E340" s="31" t="str">
        <f aca="false">IF($A340="","",'SC Change Orders'!$D322)</f>
        <v/>
      </c>
      <c r="F340" s="33" t="str">
        <f aca="false">IF($A340="","",'SC Change Orders'!$E322)</f>
        <v/>
      </c>
      <c r="G340" s="33" t="str">
        <f aca="false">IF($A340="","",'SC Change Orders'!$F322)</f>
        <v/>
      </c>
      <c r="H340" s="33" t="str">
        <f aca="false">IF($A340="","",'SC Change Orders'!$G322)</f>
        <v/>
      </c>
      <c r="I340" s="34" t="str">
        <f aca="false">IF($A340="","",IF(AND(ISNUMBER('SC Change Orders'!$C322),'SC Change Orders'!$C322&gt;=Controls!$C$5,'SC Change Orders'!$C322&lt;=Controls!$C$6),"Yes","No"))</f>
        <v/>
      </c>
      <c r="J340" s="31" t="str">
        <f aca="false">IF($A340="","",IF($K340="","OK",$K340))</f>
        <v/>
      </c>
      <c r="K340" s="0" t="str">
        <f aca="false">IF($A340="","",IF(NOT(ISNUMBER('SC Change Orders'!$B322)),"PO not numeric — row is invisible to the tracker; ","")&amp;IF(NOT(ISNUMBER('SC Change Orders'!$C322)),"Date missing or text — row excluded; ",  IF(OR('SC Change Orders'!$C322&lt;Controls!$C$5,'SC Change Orders'!$C322&gt;Controls!$C$6),"Dated outside the FY window — excluded; ",""))&amp;IF(AND('SC Change Orders'!$E322&lt;&gt;"",NOT(ISNUMBER('SC Change Orders'!$E322))),"Original Amount held as text — ignored by MINIFS; ","")&amp;IF(AND('SC Change Orders'!$F322&lt;&gt;"",NOT(ISNUMBER('SC Change Orders'!$F322))),"Amount Added held as text — ignored by SUMIFS; ","")&amp;IF(ISNUMBER('SC Change Orders'!$E322),IF(ISNUMBER('SC Change Orders'!$F322),IF(ISNUMBER('SC Change Orders'!$G322),  IF('SC Change Orders'!$G322&gt;0,IF(ROUND('SC Change Orders'!$E322+'SC Change Orders'!$F322,2)&lt;&gt;ROUND('SC Change Orders'!$G322,2),  "Original + Added &lt;&gt; Total Line Cost Allotted; ",""),""),""),""),"")&amp;IF(AND(ISNUMBER('SC Change Orders'!$B322),COUNTIFS('SC Change Orders'!$B$2:$B$501,'SC Change Orders'!$B322,'SC Change Orders'!$C$2:$C$501,'SC Change Orders'!$C322,'SC Change Orders'!$D$2:$D$501,'SC Change Orders'!$D322,'SC Change Orders'!$F$2:$F$501,'SC Change Orders'!$F322,'SC Change Orders'!$E$2:$E$501,'SC Change Orders'!$E322)&gt;1),"Duplicate of another row — funds counted twice; ","")&amp;IF(ISNUMBER('SC Change Orders'!$F322),IF('SC Change Orders'!$F322&lt;&gt;0,IF(AND(ISNUMBER('SC Change Orders'!$B322),NOT(COUNTIFS('SC Change Orders'!$B$2:$B$501,'SC Change Orders'!$B322,'SC Change Orders'!$C$2:$C$501,'SC Change Orders'!$C322,'SC Change Orders'!$D$2:$D$501,'SC Change Orders'!$D322,'SC Change Orders'!$F$2:$F$501,'SC Change Orders'!$F322,'SC Change Orders'!$E$2:$E$501,'SC Change Orders'!$E322)&gt;1),COUNTIFS('SC Change Orders'!$B$2:$B$501,'SC Change Orders'!$B322,'SC Change Orders'!$F$2:$F$501,'SC Change Orders'!$F322)&gt;1),  "Same PO and Amount Added as another row — check for a restatement counted twice; ",""),""),""))</f>
        <v/>
      </c>
    </row>
    <row r="341" customFormat="false" ht="15" hidden="false" customHeight="false" outlineLevel="0" collapsed="false">
      <c r="A341" s="18" t="str">
        <f aca="false">IF(AND('SC Change Orders'!$A323="",'SC Change Orders'!$B323="",'SC Change Orders'!$C323=""),"",323)</f>
        <v/>
      </c>
      <c r="B341" s="31" t="str">
        <f aca="false">IF($A341="","",'SC Change Orders'!$A323)</f>
        <v/>
      </c>
      <c r="C341" s="18" t="str">
        <f aca="false">IF($A341="","",'SC Change Orders'!$B323)</f>
        <v/>
      </c>
      <c r="D341" s="32" t="str">
        <f aca="false">IF($A341="","",'SC Change Orders'!$C323)</f>
        <v/>
      </c>
      <c r="E341" s="31" t="str">
        <f aca="false">IF($A341="","",'SC Change Orders'!$D323)</f>
        <v/>
      </c>
      <c r="F341" s="33" t="str">
        <f aca="false">IF($A341="","",'SC Change Orders'!$E323)</f>
        <v/>
      </c>
      <c r="G341" s="33" t="str">
        <f aca="false">IF($A341="","",'SC Change Orders'!$F323)</f>
        <v/>
      </c>
      <c r="H341" s="33" t="str">
        <f aca="false">IF($A341="","",'SC Change Orders'!$G323)</f>
        <v/>
      </c>
      <c r="I341" s="34" t="str">
        <f aca="false">IF($A341="","",IF(AND(ISNUMBER('SC Change Orders'!$C323),'SC Change Orders'!$C323&gt;=Controls!$C$5,'SC Change Orders'!$C323&lt;=Controls!$C$6),"Yes","No"))</f>
        <v/>
      </c>
      <c r="J341" s="31" t="str">
        <f aca="false">IF($A341="","",IF($K341="","OK",$K341))</f>
        <v/>
      </c>
      <c r="K341" s="0" t="str">
        <f aca="false">IF($A341="","",IF(NOT(ISNUMBER('SC Change Orders'!$B323)),"PO not numeric — row is invisible to the tracker; ","")&amp;IF(NOT(ISNUMBER('SC Change Orders'!$C323)),"Date missing or text — row excluded; ",  IF(OR('SC Change Orders'!$C323&lt;Controls!$C$5,'SC Change Orders'!$C323&gt;Controls!$C$6),"Dated outside the FY window — excluded; ",""))&amp;IF(AND('SC Change Orders'!$E323&lt;&gt;"",NOT(ISNUMBER('SC Change Orders'!$E323))),"Original Amount held as text — ignored by MINIFS; ","")&amp;IF(AND('SC Change Orders'!$F323&lt;&gt;"",NOT(ISNUMBER('SC Change Orders'!$F323))),"Amount Added held as text — ignored by SUMIFS; ","")&amp;IF(ISNUMBER('SC Change Orders'!$E323),IF(ISNUMBER('SC Change Orders'!$F323),IF(ISNUMBER('SC Change Orders'!$G323),  IF('SC Change Orders'!$G323&gt;0,IF(ROUND('SC Change Orders'!$E323+'SC Change Orders'!$F323,2)&lt;&gt;ROUND('SC Change Orders'!$G323,2),  "Original + Added &lt;&gt; Total Line Cost Allotted; ",""),""),""),""),"")&amp;IF(AND(ISNUMBER('SC Change Orders'!$B323),COUNTIFS('SC Change Orders'!$B$2:$B$501,'SC Change Orders'!$B323,'SC Change Orders'!$C$2:$C$501,'SC Change Orders'!$C323,'SC Change Orders'!$D$2:$D$501,'SC Change Orders'!$D323,'SC Change Orders'!$F$2:$F$501,'SC Change Orders'!$F323,'SC Change Orders'!$E$2:$E$501,'SC Change Orders'!$E323)&gt;1),"Duplicate of another row — funds counted twice; ","")&amp;IF(ISNUMBER('SC Change Orders'!$F323),IF('SC Change Orders'!$F323&lt;&gt;0,IF(AND(ISNUMBER('SC Change Orders'!$B323),NOT(COUNTIFS('SC Change Orders'!$B$2:$B$501,'SC Change Orders'!$B323,'SC Change Orders'!$C$2:$C$501,'SC Change Orders'!$C323,'SC Change Orders'!$D$2:$D$501,'SC Change Orders'!$D323,'SC Change Orders'!$F$2:$F$501,'SC Change Orders'!$F323,'SC Change Orders'!$E$2:$E$501,'SC Change Orders'!$E323)&gt;1),COUNTIFS('SC Change Orders'!$B$2:$B$501,'SC Change Orders'!$B323,'SC Change Orders'!$F$2:$F$501,'SC Change Orders'!$F323)&gt;1),  "Same PO and Amount Added as another row — check for a restatement counted twice; ",""),""),""))</f>
        <v/>
      </c>
    </row>
    <row r="342" customFormat="false" ht="15" hidden="false" customHeight="false" outlineLevel="0" collapsed="false">
      <c r="A342" s="18" t="str">
        <f aca="false">IF(AND('SC Change Orders'!$A324="",'SC Change Orders'!$B324="",'SC Change Orders'!$C324=""),"",324)</f>
        <v/>
      </c>
      <c r="B342" s="31" t="str">
        <f aca="false">IF($A342="","",'SC Change Orders'!$A324)</f>
        <v/>
      </c>
      <c r="C342" s="18" t="str">
        <f aca="false">IF($A342="","",'SC Change Orders'!$B324)</f>
        <v/>
      </c>
      <c r="D342" s="32" t="str">
        <f aca="false">IF($A342="","",'SC Change Orders'!$C324)</f>
        <v/>
      </c>
      <c r="E342" s="31" t="str">
        <f aca="false">IF($A342="","",'SC Change Orders'!$D324)</f>
        <v/>
      </c>
      <c r="F342" s="33" t="str">
        <f aca="false">IF($A342="","",'SC Change Orders'!$E324)</f>
        <v/>
      </c>
      <c r="G342" s="33" t="str">
        <f aca="false">IF($A342="","",'SC Change Orders'!$F324)</f>
        <v/>
      </c>
      <c r="H342" s="33" t="str">
        <f aca="false">IF($A342="","",'SC Change Orders'!$G324)</f>
        <v/>
      </c>
      <c r="I342" s="34" t="str">
        <f aca="false">IF($A342="","",IF(AND(ISNUMBER('SC Change Orders'!$C324),'SC Change Orders'!$C324&gt;=Controls!$C$5,'SC Change Orders'!$C324&lt;=Controls!$C$6),"Yes","No"))</f>
        <v/>
      </c>
      <c r="J342" s="31" t="str">
        <f aca="false">IF($A342="","",IF($K342="","OK",$K342))</f>
        <v/>
      </c>
      <c r="K342" s="0" t="str">
        <f aca="false">IF($A342="","",IF(NOT(ISNUMBER('SC Change Orders'!$B324)),"PO not numeric — row is invisible to the tracker; ","")&amp;IF(NOT(ISNUMBER('SC Change Orders'!$C324)),"Date missing or text — row excluded; ",  IF(OR('SC Change Orders'!$C324&lt;Controls!$C$5,'SC Change Orders'!$C324&gt;Controls!$C$6),"Dated outside the FY window — excluded; ",""))&amp;IF(AND('SC Change Orders'!$E324&lt;&gt;"",NOT(ISNUMBER('SC Change Orders'!$E324))),"Original Amount held as text — ignored by MINIFS; ","")&amp;IF(AND('SC Change Orders'!$F324&lt;&gt;"",NOT(ISNUMBER('SC Change Orders'!$F324))),"Amount Added held as text — ignored by SUMIFS; ","")&amp;IF(ISNUMBER('SC Change Orders'!$E324),IF(ISNUMBER('SC Change Orders'!$F324),IF(ISNUMBER('SC Change Orders'!$G324),  IF('SC Change Orders'!$G324&gt;0,IF(ROUND('SC Change Orders'!$E324+'SC Change Orders'!$F324,2)&lt;&gt;ROUND('SC Change Orders'!$G324,2),  "Original + Added &lt;&gt; Total Line Cost Allotted; ",""),""),""),""),"")&amp;IF(AND(ISNUMBER('SC Change Orders'!$B324),COUNTIFS('SC Change Orders'!$B$2:$B$501,'SC Change Orders'!$B324,'SC Change Orders'!$C$2:$C$501,'SC Change Orders'!$C324,'SC Change Orders'!$D$2:$D$501,'SC Change Orders'!$D324,'SC Change Orders'!$F$2:$F$501,'SC Change Orders'!$F324,'SC Change Orders'!$E$2:$E$501,'SC Change Orders'!$E324)&gt;1),"Duplicate of another row — funds counted twice; ","")&amp;IF(ISNUMBER('SC Change Orders'!$F324),IF('SC Change Orders'!$F324&lt;&gt;0,IF(AND(ISNUMBER('SC Change Orders'!$B324),NOT(COUNTIFS('SC Change Orders'!$B$2:$B$501,'SC Change Orders'!$B324,'SC Change Orders'!$C$2:$C$501,'SC Change Orders'!$C324,'SC Change Orders'!$D$2:$D$501,'SC Change Orders'!$D324,'SC Change Orders'!$F$2:$F$501,'SC Change Orders'!$F324,'SC Change Orders'!$E$2:$E$501,'SC Change Orders'!$E324)&gt;1),COUNTIFS('SC Change Orders'!$B$2:$B$501,'SC Change Orders'!$B324,'SC Change Orders'!$F$2:$F$501,'SC Change Orders'!$F324)&gt;1),  "Same PO and Amount Added as another row — check for a restatement counted twice; ",""),""),""))</f>
        <v/>
      </c>
    </row>
    <row r="343" customFormat="false" ht="15" hidden="false" customHeight="false" outlineLevel="0" collapsed="false">
      <c r="A343" s="18" t="str">
        <f aca="false">IF(AND('SC Change Orders'!$A325="",'SC Change Orders'!$B325="",'SC Change Orders'!$C325=""),"",325)</f>
        <v/>
      </c>
      <c r="B343" s="31" t="str">
        <f aca="false">IF($A343="","",'SC Change Orders'!$A325)</f>
        <v/>
      </c>
      <c r="C343" s="18" t="str">
        <f aca="false">IF($A343="","",'SC Change Orders'!$B325)</f>
        <v/>
      </c>
      <c r="D343" s="32" t="str">
        <f aca="false">IF($A343="","",'SC Change Orders'!$C325)</f>
        <v/>
      </c>
      <c r="E343" s="31" t="str">
        <f aca="false">IF($A343="","",'SC Change Orders'!$D325)</f>
        <v/>
      </c>
      <c r="F343" s="33" t="str">
        <f aca="false">IF($A343="","",'SC Change Orders'!$E325)</f>
        <v/>
      </c>
      <c r="G343" s="33" t="str">
        <f aca="false">IF($A343="","",'SC Change Orders'!$F325)</f>
        <v/>
      </c>
      <c r="H343" s="33" t="str">
        <f aca="false">IF($A343="","",'SC Change Orders'!$G325)</f>
        <v/>
      </c>
      <c r="I343" s="34" t="str">
        <f aca="false">IF($A343="","",IF(AND(ISNUMBER('SC Change Orders'!$C325),'SC Change Orders'!$C325&gt;=Controls!$C$5,'SC Change Orders'!$C325&lt;=Controls!$C$6),"Yes","No"))</f>
        <v/>
      </c>
      <c r="J343" s="31" t="str">
        <f aca="false">IF($A343="","",IF($K343="","OK",$K343))</f>
        <v/>
      </c>
      <c r="K343" s="0" t="str">
        <f aca="false">IF($A343="","",IF(NOT(ISNUMBER('SC Change Orders'!$B325)),"PO not numeric — row is invisible to the tracker; ","")&amp;IF(NOT(ISNUMBER('SC Change Orders'!$C325)),"Date missing or text — row excluded; ",  IF(OR('SC Change Orders'!$C325&lt;Controls!$C$5,'SC Change Orders'!$C325&gt;Controls!$C$6),"Dated outside the FY window — excluded; ",""))&amp;IF(AND('SC Change Orders'!$E325&lt;&gt;"",NOT(ISNUMBER('SC Change Orders'!$E325))),"Original Amount held as text — ignored by MINIFS; ","")&amp;IF(AND('SC Change Orders'!$F325&lt;&gt;"",NOT(ISNUMBER('SC Change Orders'!$F325))),"Amount Added held as text — ignored by SUMIFS; ","")&amp;IF(ISNUMBER('SC Change Orders'!$E325),IF(ISNUMBER('SC Change Orders'!$F325),IF(ISNUMBER('SC Change Orders'!$G325),  IF('SC Change Orders'!$G325&gt;0,IF(ROUND('SC Change Orders'!$E325+'SC Change Orders'!$F325,2)&lt;&gt;ROUND('SC Change Orders'!$G325,2),  "Original + Added &lt;&gt; Total Line Cost Allotted; ",""),""),""),""),"")&amp;IF(AND(ISNUMBER('SC Change Orders'!$B325),COUNTIFS('SC Change Orders'!$B$2:$B$501,'SC Change Orders'!$B325,'SC Change Orders'!$C$2:$C$501,'SC Change Orders'!$C325,'SC Change Orders'!$D$2:$D$501,'SC Change Orders'!$D325,'SC Change Orders'!$F$2:$F$501,'SC Change Orders'!$F325,'SC Change Orders'!$E$2:$E$501,'SC Change Orders'!$E325)&gt;1),"Duplicate of another row — funds counted twice; ","")&amp;IF(ISNUMBER('SC Change Orders'!$F325),IF('SC Change Orders'!$F325&lt;&gt;0,IF(AND(ISNUMBER('SC Change Orders'!$B325),NOT(COUNTIFS('SC Change Orders'!$B$2:$B$501,'SC Change Orders'!$B325,'SC Change Orders'!$C$2:$C$501,'SC Change Orders'!$C325,'SC Change Orders'!$D$2:$D$501,'SC Change Orders'!$D325,'SC Change Orders'!$F$2:$F$501,'SC Change Orders'!$F325,'SC Change Orders'!$E$2:$E$501,'SC Change Orders'!$E325)&gt;1),COUNTIFS('SC Change Orders'!$B$2:$B$501,'SC Change Orders'!$B325,'SC Change Orders'!$F$2:$F$501,'SC Change Orders'!$F325)&gt;1),  "Same PO and Amount Added as another row — check for a restatement counted twice; ",""),""),""))</f>
        <v/>
      </c>
    </row>
    <row r="344" customFormat="false" ht="15" hidden="false" customHeight="false" outlineLevel="0" collapsed="false">
      <c r="A344" s="18" t="str">
        <f aca="false">IF(AND('SC Change Orders'!$A326="",'SC Change Orders'!$B326="",'SC Change Orders'!$C326=""),"",326)</f>
        <v/>
      </c>
      <c r="B344" s="31" t="str">
        <f aca="false">IF($A344="","",'SC Change Orders'!$A326)</f>
        <v/>
      </c>
      <c r="C344" s="18" t="str">
        <f aca="false">IF($A344="","",'SC Change Orders'!$B326)</f>
        <v/>
      </c>
      <c r="D344" s="32" t="str">
        <f aca="false">IF($A344="","",'SC Change Orders'!$C326)</f>
        <v/>
      </c>
      <c r="E344" s="31" t="str">
        <f aca="false">IF($A344="","",'SC Change Orders'!$D326)</f>
        <v/>
      </c>
      <c r="F344" s="33" t="str">
        <f aca="false">IF($A344="","",'SC Change Orders'!$E326)</f>
        <v/>
      </c>
      <c r="G344" s="33" t="str">
        <f aca="false">IF($A344="","",'SC Change Orders'!$F326)</f>
        <v/>
      </c>
      <c r="H344" s="33" t="str">
        <f aca="false">IF($A344="","",'SC Change Orders'!$G326)</f>
        <v/>
      </c>
      <c r="I344" s="34" t="str">
        <f aca="false">IF($A344="","",IF(AND(ISNUMBER('SC Change Orders'!$C326),'SC Change Orders'!$C326&gt;=Controls!$C$5,'SC Change Orders'!$C326&lt;=Controls!$C$6),"Yes","No"))</f>
        <v/>
      </c>
      <c r="J344" s="31" t="str">
        <f aca="false">IF($A344="","",IF($K344="","OK",$K344))</f>
        <v/>
      </c>
      <c r="K344" s="0" t="str">
        <f aca="false">IF($A344="","",IF(NOT(ISNUMBER('SC Change Orders'!$B326)),"PO not numeric — row is invisible to the tracker; ","")&amp;IF(NOT(ISNUMBER('SC Change Orders'!$C326)),"Date missing or text — row excluded; ",  IF(OR('SC Change Orders'!$C326&lt;Controls!$C$5,'SC Change Orders'!$C326&gt;Controls!$C$6),"Dated outside the FY window — excluded; ",""))&amp;IF(AND('SC Change Orders'!$E326&lt;&gt;"",NOT(ISNUMBER('SC Change Orders'!$E326))),"Original Amount held as text — ignored by MINIFS; ","")&amp;IF(AND('SC Change Orders'!$F326&lt;&gt;"",NOT(ISNUMBER('SC Change Orders'!$F326))),"Amount Added held as text — ignored by SUMIFS; ","")&amp;IF(ISNUMBER('SC Change Orders'!$E326),IF(ISNUMBER('SC Change Orders'!$F326),IF(ISNUMBER('SC Change Orders'!$G326),  IF('SC Change Orders'!$G326&gt;0,IF(ROUND('SC Change Orders'!$E326+'SC Change Orders'!$F326,2)&lt;&gt;ROUND('SC Change Orders'!$G326,2),  "Original + Added &lt;&gt; Total Line Cost Allotted; ",""),""),""),""),"")&amp;IF(AND(ISNUMBER('SC Change Orders'!$B326),COUNTIFS('SC Change Orders'!$B$2:$B$501,'SC Change Orders'!$B326,'SC Change Orders'!$C$2:$C$501,'SC Change Orders'!$C326,'SC Change Orders'!$D$2:$D$501,'SC Change Orders'!$D326,'SC Change Orders'!$F$2:$F$501,'SC Change Orders'!$F326,'SC Change Orders'!$E$2:$E$501,'SC Change Orders'!$E326)&gt;1),"Duplicate of another row — funds counted twice; ","")&amp;IF(ISNUMBER('SC Change Orders'!$F326),IF('SC Change Orders'!$F326&lt;&gt;0,IF(AND(ISNUMBER('SC Change Orders'!$B326),NOT(COUNTIFS('SC Change Orders'!$B$2:$B$501,'SC Change Orders'!$B326,'SC Change Orders'!$C$2:$C$501,'SC Change Orders'!$C326,'SC Change Orders'!$D$2:$D$501,'SC Change Orders'!$D326,'SC Change Orders'!$F$2:$F$501,'SC Change Orders'!$F326,'SC Change Orders'!$E$2:$E$501,'SC Change Orders'!$E326)&gt;1),COUNTIFS('SC Change Orders'!$B$2:$B$501,'SC Change Orders'!$B326,'SC Change Orders'!$F$2:$F$501,'SC Change Orders'!$F326)&gt;1),  "Same PO and Amount Added as another row — check for a restatement counted twice; ",""),""),""))</f>
        <v/>
      </c>
    </row>
    <row r="345" customFormat="false" ht="15" hidden="false" customHeight="false" outlineLevel="0" collapsed="false">
      <c r="A345" s="18" t="str">
        <f aca="false">IF(AND('SC Change Orders'!$A327="",'SC Change Orders'!$B327="",'SC Change Orders'!$C327=""),"",327)</f>
        <v/>
      </c>
      <c r="B345" s="31" t="str">
        <f aca="false">IF($A345="","",'SC Change Orders'!$A327)</f>
        <v/>
      </c>
      <c r="C345" s="18" t="str">
        <f aca="false">IF($A345="","",'SC Change Orders'!$B327)</f>
        <v/>
      </c>
      <c r="D345" s="32" t="str">
        <f aca="false">IF($A345="","",'SC Change Orders'!$C327)</f>
        <v/>
      </c>
      <c r="E345" s="31" t="str">
        <f aca="false">IF($A345="","",'SC Change Orders'!$D327)</f>
        <v/>
      </c>
      <c r="F345" s="33" t="str">
        <f aca="false">IF($A345="","",'SC Change Orders'!$E327)</f>
        <v/>
      </c>
      <c r="G345" s="33" t="str">
        <f aca="false">IF($A345="","",'SC Change Orders'!$F327)</f>
        <v/>
      </c>
      <c r="H345" s="33" t="str">
        <f aca="false">IF($A345="","",'SC Change Orders'!$G327)</f>
        <v/>
      </c>
      <c r="I345" s="34" t="str">
        <f aca="false">IF($A345="","",IF(AND(ISNUMBER('SC Change Orders'!$C327),'SC Change Orders'!$C327&gt;=Controls!$C$5,'SC Change Orders'!$C327&lt;=Controls!$C$6),"Yes","No"))</f>
        <v/>
      </c>
      <c r="J345" s="31" t="str">
        <f aca="false">IF($A345="","",IF($K345="","OK",$K345))</f>
        <v/>
      </c>
      <c r="K345" s="0" t="str">
        <f aca="false">IF($A345="","",IF(NOT(ISNUMBER('SC Change Orders'!$B327)),"PO not numeric — row is invisible to the tracker; ","")&amp;IF(NOT(ISNUMBER('SC Change Orders'!$C327)),"Date missing or text — row excluded; ",  IF(OR('SC Change Orders'!$C327&lt;Controls!$C$5,'SC Change Orders'!$C327&gt;Controls!$C$6),"Dated outside the FY window — excluded; ",""))&amp;IF(AND('SC Change Orders'!$E327&lt;&gt;"",NOT(ISNUMBER('SC Change Orders'!$E327))),"Original Amount held as text — ignored by MINIFS; ","")&amp;IF(AND('SC Change Orders'!$F327&lt;&gt;"",NOT(ISNUMBER('SC Change Orders'!$F327))),"Amount Added held as text — ignored by SUMIFS; ","")&amp;IF(ISNUMBER('SC Change Orders'!$E327),IF(ISNUMBER('SC Change Orders'!$F327),IF(ISNUMBER('SC Change Orders'!$G327),  IF('SC Change Orders'!$G327&gt;0,IF(ROUND('SC Change Orders'!$E327+'SC Change Orders'!$F327,2)&lt;&gt;ROUND('SC Change Orders'!$G327,2),  "Original + Added &lt;&gt; Total Line Cost Allotted; ",""),""),""),""),"")&amp;IF(AND(ISNUMBER('SC Change Orders'!$B327),COUNTIFS('SC Change Orders'!$B$2:$B$501,'SC Change Orders'!$B327,'SC Change Orders'!$C$2:$C$501,'SC Change Orders'!$C327,'SC Change Orders'!$D$2:$D$501,'SC Change Orders'!$D327,'SC Change Orders'!$F$2:$F$501,'SC Change Orders'!$F327,'SC Change Orders'!$E$2:$E$501,'SC Change Orders'!$E327)&gt;1),"Duplicate of another row — funds counted twice; ","")&amp;IF(ISNUMBER('SC Change Orders'!$F327),IF('SC Change Orders'!$F327&lt;&gt;0,IF(AND(ISNUMBER('SC Change Orders'!$B327),NOT(COUNTIFS('SC Change Orders'!$B$2:$B$501,'SC Change Orders'!$B327,'SC Change Orders'!$C$2:$C$501,'SC Change Orders'!$C327,'SC Change Orders'!$D$2:$D$501,'SC Change Orders'!$D327,'SC Change Orders'!$F$2:$F$501,'SC Change Orders'!$F327,'SC Change Orders'!$E$2:$E$501,'SC Change Orders'!$E327)&gt;1),COUNTIFS('SC Change Orders'!$B$2:$B$501,'SC Change Orders'!$B327,'SC Change Orders'!$F$2:$F$501,'SC Change Orders'!$F327)&gt;1),  "Same PO and Amount Added as another row — check for a restatement counted twice; ",""),""),""))</f>
        <v/>
      </c>
    </row>
    <row r="346" customFormat="false" ht="15" hidden="false" customHeight="false" outlineLevel="0" collapsed="false">
      <c r="A346" s="18" t="str">
        <f aca="false">IF(AND('SC Change Orders'!$A328="",'SC Change Orders'!$B328="",'SC Change Orders'!$C328=""),"",328)</f>
        <v/>
      </c>
      <c r="B346" s="31" t="str">
        <f aca="false">IF($A346="","",'SC Change Orders'!$A328)</f>
        <v/>
      </c>
      <c r="C346" s="18" t="str">
        <f aca="false">IF($A346="","",'SC Change Orders'!$B328)</f>
        <v/>
      </c>
      <c r="D346" s="32" t="str">
        <f aca="false">IF($A346="","",'SC Change Orders'!$C328)</f>
        <v/>
      </c>
      <c r="E346" s="31" t="str">
        <f aca="false">IF($A346="","",'SC Change Orders'!$D328)</f>
        <v/>
      </c>
      <c r="F346" s="33" t="str">
        <f aca="false">IF($A346="","",'SC Change Orders'!$E328)</f>
        <v/>
      </c>
      <c r="G346" s="33" t="str">
        <f aca="false">IF($A346="","",'SC Change Orders'!$F328)</f>
        <v/>
      </c>
      <c r="H346" s="33" t="str">
        <f aca="false">IF($A346="","",'SC Change Orders'!$G328)</f>
        <v/>
      </c>
      <c r="I346" s="34" t="str">
        <f aca="false">IF($A346="","",IF(AND(ISNUMBER('SC Change Orders'!$C328),'SC Change Orders'!$C328&gt;=Controls!$C$5,'SC Change Orders'!$C328&lt;=Controls!$C$6),"Yes","No"))</f>
        <v/>
      </c>
      <c r="J346" s="31" t="str">
        <f aca="false">IF($A346="","",IF($K346="","OK",$K346))</f>
        <v/>
      </c>
      <c r="K346" s="0" t="str">
        <f aca="false">IF($A346="","",IF(NOT(ISNUMBER('SC Change Orders'!$B328)),"PO not numeric — row is invisible to the tracker; ","")&amp;IF(NOT(ISNUMBER('SC Change Orders'!$C328)),"Date missing or text — row excluded; ",  IF(OR('SC Change Orders'!$C328&lt;Controls!$C$5,'SC Change Orders'!$C328&gt;Controls!$C$6),"Dated outside the FY window — excluded; ",""))&amp;IF(AND('SC Change Orders'!$E328&lt;&gt;"",NOT(ISNUMBER('SC Change Orders'!$E328))),"Original Amount held as text — ignored by MINIFS; ","")&amp;IF(AND('SC Change Orders'!$F328&lt;&gt;"",NOT(ISNUMBER('SC Change Orders'!$F328))),"Amount Added held as text — ignored by SUMIFS; ","")&amp;IF(ISNUMBER('SC Change Orders'!$E328),IF(ISNUMBER('SC Change Orders'!$F328),IF(ISNUMBER('SC Change Orders'!$G328),  IF('SC Change Orders'!$G328&gt;0,IF(ROUND('SC Change Orders'!$E328+'SC Change Orders'!$F328,2)&lt;&gt;ROUND('SC Change Orders'!$G328,2),  "Original + Added &lt;&gt; Total Line Cost Allotted; ",""),""),""),""),"")&amp;IF(AND(ISNUMBER('SC Change Orders'!$B328),COUNTIFS('SC Change Orders'!$B$2:$B$501,'SC Change Orders'!$B328,'SC Change Orders'!$C$2:$C$501,'SC Change Orders'!$C328,'SC Change Orders'!$D$2:$D$501,'SC Change Orders'!$D328,'SC Change Orders'!$F$2:$F$501,'SC Change Orders'!$F328,'SC Change Orders'!$E$2:$E$501,'SC Change Orders'!$E328)&gt;1),"Duplicate of another row — funds counted twice; ","")&amp;IF(ISNUMBER('SC Change Orders'!$F328),IF('SC Change Orders'!$F328&lt;&gt;0,IF(AND(ISNUMBER('SC Change Orders'!$B328),NOT(COUNTIFS('SC Change Orders'!$B$2:$B$501,'SC Change Orders'!$B328,'SC Change Orders'!$C$2:$C$501,'SC Change Orders'!$C328,'SC Change Orders'!$D$2:$D$501,'SC Change Orders'!$D328,'SC Change Orders'!$F$2:$F$501,'SC Change Orders'!$F328,'SC Change Orders'!$E$2:$E$501,'SC Change Orders'!$E328)&gt;1),COUNTIFS('SC Change Orders'!$B$2:$B$501,'SC Change Orders'!$B328,'SC Change Orders'!$F$2:$F$501,'SC Change Orders'!$F328)&gt;1),  "Same PO and Amount Added as another row — check for a restatement counted twice; ",""),""),""))</f>
        <v/>
      </c>
    </row>
    <row r="347" customFormat="false" ht="15" hidden="false" customHeight="false" outlineLevel="0" collapsed="false">
      <c r="A347" s="18" t="str">
        <f aca="false">IF(AND('SC Change Orders'!$A329="",'SC Change Orders'!$B329="",'SC Change Orders'!$C329=""),"",329)</f>
        <v/>
      </c>
      <c r="B347" s="31" t="str">
        <f aca="false">IF($A347="","",'SC Change Orders'!$A329)</f>
        <v/>
      </c>
      <c r="C347" s="18" t="str">
        <f aca="false">IF($A347="","",'SC Change Orders'!$B329)</f>
        <v/>
      </c>
      <c r="D347" s="32" t="str">
        <f aca="false">IF($A347="","",'SC Change Orders'!$C329)</f>
        <v/>
      </c>
      <c r="E347" s="31" t="str">
        <f aca="false">IF($A347="","",'SC Change Orders'!$D329)</f>
        <v/>
      </c>
      <c r="F347" s="33" t="str">
        <f aca="false">IF($A347="","",'SC Change Orders'!$E329)</f>
        <v/>
      </c>
      <c r="G347" s="33" t="str">
        <f aca="false">IF($A347="","",'SC Change Orders'!$F329)</f>
        <v/>
      </c>
      <c r="H347" s="33" t="str">
        <f aca="false">IF($A347="","",'SC Change Orders'!$G329)</f>
        <v/>
      </c>
      <c r="I347" s="34" t="str">
        <f aca="false">IF($A347="","",IF(AND(ISNUMBER('SC Change Orders'!$C329),'SC Change Orders'!$C329&gt;=Controls!$C$5,'SC Change Orders'!$C329&lt;=Controls!$C$6),"Yes","No"))</f>
        <v/>
      </c>
      <c r="J347" s="31" t="str">
        <f aca="false">IF($A347="","",IF($K347="","OK",$K347))</f>
        <v/>
      </c>
      <c r="K347" s="0" t="str">
        <f aca="false">IF($A347="","",IF(NOT(ISNUMBER('SC Change Orders'!$B329)),"PO not numeric — row is invisible to the tracker; ","")&amp;IF(NOT(ISNUMBER('SC Change Orders'!$C329)),"Date missing or text — row excluded; ",  IF(OR('SC Change Orders'!$C329&lt;Controls!$C$5,'SC Change Orders'!$C329&gt;Controls!$C$6),"Dated outside the FY window — excluded; ",""))&amp;IF(AND('SC Change Orders'!$E329&lt;&gt;"",NOT(ISNUMBER('SC Change Orders'!$E329))),"Original Amount held as text — ignored by MINIFS; ","")&amp;IF(AND('SC Change Orders'!$F329&lt;&gt;"",NOT(ISNUMBER('SC Change Orders'!$F329))),"Amount Added held as text — ignored by SUMIFS; ","")&amp;IF(ISNUMBER('SC Change Orders'!$E329),IF(ISNUMBER('SC Change Orders'!$F329),IF(ISNUMBER('SC Change Orders'!$G329),  IF('SC Change Orders'!$G329&gt;0,IF(ROUND('SC Change Orders'!$E329+'SC Change Orders'!$F329,2)&lt;&gt;ROUND('SC Change Orders'!$G329,2),  "Original + Added &lt;&gt; Total Line Cost Allotted; ",""),""),""),""),"")&amp;IF(AND(ISNUMBER('SC Change Orders'!$B329),COUNTIFS('SC Change Orders'!$B$2:$B$501,'SC Change Orders'!$B329,'SC Change Orders'!$C$2:$C$501,'SC Change Orders'!$C329,'SC Change Orders'!$D$2:$D$501,'SC Change Orders'!$D329,'SC Change Orders'!$F$2:$F$501,'SC Change Orders'!$F329,'SC Change Orders'!$E$2:$E$501,'SC Change Orders'!$E329)&gt;1),"Duplicate of another row — funds counted twice; ","")&amp;IF(ISNUMBER('SC Change Orders'!$F329),IF('SC Change Orders'!$F329&lt;&gt;0,IF(AND(ISNUMBER('SC Change Orders'!$B329),NOT(COUNTIFS('SC Change Orders'!$B$2:$B$501,'SC Change Orders'!$B329,'SC Change Orders'!$C$2:$C$501,'SC Change Orders'!$C329,'SC Change Orders'!$D$2:$D$501,'SC Change Orders'!$D329,'SC Change Orders'!$F$2:$F$501,'SC Change Orders'!$F329,'SC Change Orders'!$E$2:$E$501,'SC Change Orders'!$E329)&gt;1),COUNTIFS('SC Change Orders'!$B$2:$B$501,'SC Change Orders'!$B329,'SC Change Orders'!$F$2:$F$501,'SC Change Orders'!$F329)&gt;1),  "Same PO and Amount Added as another row — check for a restatement counted twice; ",""),""),""))</f>
        <v/>
      </c>
    </row>
    <row r="348" customFormat="false" ht="15" hidden="false" customHeight="false" outlineLevel="0" collapsed="false">
      <c r="A348" s="18" t="str">
        <f aca="false">IF(AND('SC Change Orders'!$A330="",'SC Change Orders'!$B330="",'SC Change Orders'!$C330=""),"",330)</f>
        <v/>
      </c>
      <c r="B348" s="31" t="str">
        <f aca="false">IF($A348="","",'SC Change Orders'!$A330)</f>
        <v/>
      </c>
      <c r="C348" s="18" t="str">
        <f aca="false">IF($A348="","",'SC Change Orders'!$B330)</f>
        <v/>
      </c>
      <c r="D348" s="32" t="str">
        <f aca="false">IF($A348="","",'SC Change Orders'!$C330)</f>
        <v/>
      </c>
      <c r="E348" s="31" t="str">
        <f aca="false">IF($A348="","",'SC Change Orders'!$D330)</f>
        <v/>
      </c>
      <c r="F348" s="33" t="str">
        <f aca="false">IF($A348="","",'SC Change Orders'!$E330)</f>
        <v/>
      </c>
      <c r="G348" s="33" t="str">
        <f aca="false">IF($A348="","",'SC Change Orders'!$F330)</f>
        <v/>
      </c>
      <c r="H348" s="33" t="str">
        <f aca="false">IF($A348="","",'SC Change Orders'!$G330)</f>
        <v/>
      </c>
      <c r="I348" s="34" t="str">
        <f aca="false">IF($A348="","",IF(AND(ISNUMBER('SC Change Orders'!$C330),'SC Change Orders'!$C330&gt;=Controls!$C$5,'SC Change Orders'!$C330&lt;=Controls!$C$6),"Yes","No"))</f>
        <v/>
      </c>
      <c r="J348" s="31" t="str">
        <f aca="false">IF($A348="","",IF($K348="","OK",$K348))</f>
        <v/>
      </c>
      <c r="K348" s="0" t="str">
        <f aca="false">IF($A348="","",IF(NOT(ISNUMBER('SC Change Orders'!$B330)),"PO not numeric — row is invisible to the tracker; ","")&amp;IF(NOT(ISNUMBER('SC Change Orders'!$C330)),"Date missing or text — row excluded; ",  IF(OR('SC Change Orders'!$C330&lt;Controls!$C$5,'SC Change Orders'!$C330&gt;Controls!$C$6),"Dated outside the FY window — excluded; ",""))&amp;IF(AND('SC Change Orders'!$E330&lt;&gt;"",NOT(ISNUMBER('SC Change Orders'!$E330))),"Original Amount held as text — ignored by MINIFS; ","")&amp;IF(AND('SC Change Orders'!$F330&lt;&gt;"",NOT(ISNUMBER('SC Change Orders'!$F330))),"Amount Added held as text — ignored by SUMIFS; ","")&amp;IF(ISNUMBER('SC Change Orders'!$E330),IF(ISNUMBER('SC Change Orders'!$F330),IF(ISNUMBER('SC Change Orders'!$G330),  IF('SC Change Orders'!$G330&gt;0,IF(ROUND('SC Change Orders'!$E330+'SC Change Orders'!$F330,2)&lt;&gt;ROUND('SC Change Orders'!$G330,2),  "Original + Added &lt;&gt; Total Line Cost Allotted; ",""),""),""),""),"")&amp;IF(AND(ISNUMBER('SC Change Orders'!$B330),COUNTIFS('SC Change Orders'!$B$2:$B$501,'SC Change Orders'!$B330,'SC Change Orders'!$C$2:$C$501,'SC Change Orders'!$C330,'SC Change Orders'!$D$2:$D$501,'SC Change Orders'!$D330,'SC Change Orders'!$F$2:$F$501,'SC Change Orders'!$F330,'SC Change Orders'!$E$2:$E$501,'SC Change Orders'!$E330)&gt;1),"Duplicate of another row — funds counted twice; ","")&amp;IF(ISNUMBER('SC Change Orders'!$F330),IF('SC Change Orders'!$F330&lt;&gt;0,IF(AND(ISNUMBER('SC Change Orders'!$B330),NOT(COUNTIFS('SC Change Orders'!$B$2:$B$501,'SC Change Orders'!$B330,'SC Change Orders'!$C$2:$C$501,'SC Change Orders'!$C330,'SC Change Orders'!$D$2:$D$501,'SC Change Orders'!$D330,'SC Change Orders'!$F$2:$F$501,'SC Change Orders'!$F330,'SC Change Orders'!$E$2:$E$501,'SC Change Orders'!$E330)&gt;1),COUNTIFS('SC Change Orders'!$B$2:$B$501,'SC Change Orders'!$B330,'SC Change Orders'!$F$2:$F$501,'SC Change Orders'!$F330)&gt;1),  "Same PO and Amount Added as another row — check for a restatement counted twice; ",""),""),""))</f>
        <v/>
      </c>
    </row>
    <row r="349" customFormat="false" ht="15" hidden="false" customHeight="false" outlineLevel="0" collapsed="false">
      <c r="A349" s="18" t="str">
        <f aca="false">IF(AND('SC Change Orders'!$A331="",'SC Change Orders'!$B331="",'SC Change Orders'!$C331=""),"",331)</f>
        <v/>
      </c>
      <c r="B349" s="31" t="str">
        <f aca="false">IF($A349="","",'SC Change Orders'!$A331)</f>
        <v/>
      </c>
      <c r="C349" s="18" t="str">
        <f aca="false">IF($A349="","",'SC Change Orders'!$B331)</f>
        <v/>
      </c>
      <c r="D349" s="32" t="str">
        <f aca="false">IF($A349="","",'SC Change Orders'!$C331)</f>
        <v/>
      </c>
      <c r="E349" s="31" t="str">
        <f aca="false">IF($A349="","",'SC Change Orders'!$D331)</f>
        <v/>
      </c>
      <c r="F349" s="33" t="str">
        <f aca="false">IF($A349="","",'SC Change Orders'!$E331)</f>
        <v/>
      </c>
      <c r="G349" s="33" t="str">
        <f aca="false">IF($A349="","",'SC Change Orders'!$F331)</f>
        <v/>
      </c>
      <c r="H349" s="33" t="str">
        <f aca="false">IF($A349="","",'SC Change Orders'!$G331)</f>
        <v/>
      </c>
      <c r="I349" s="34" t="str">
        <f aca="false">IF($A349="","",IF(AND(ISNUMBER('SC Change Orders'!$C331),'SC Change Orders'!$C331&gt;=Controls!$C$5,'SC Change Orders'!$C331&lt;=Controls!$C$6),"Yes","No"))</f>
        <v/>
      </c>
      <c r="J349" s="31" t="str">
        <f aca="false">IF($A349="","",IF($K349="","OK",$K349))</f>
        <v/>
      </c>
      <c r="K349" s="0" t="str">
        <f aca="false">IF($A349="","",IF(NOT(ISNUMBER('SC Change Orders'!$B331)),"PO not numeric — row is invisible to the tracker; ","")&amp;IF(NOT(ISNUMBER('SC Change Orders'!$C331)),"Date missing or text — row excluded; ",  IF(OR('SC Change Orders'!$C331&lt;Controls!$C$5,'SC Change Orders'!$C331&gt;Controls!$C$6),"Dated outside the FY window — excluded; ",""))&amp;IF(AND('SC Change Orders'!$E331&lt;&gt;"",NOT(ISNUMBER('SC Change Orders'!$E331))),"Original Amount held as text — ignored by MINIFS; ","")&amp;IF(AND('SC Change Orders'!$F331&lt;&gt;"",NOT(ISNUMBER('SC Change Orders'!$F331))),"Amount Added held as text — ignored by SUMIFS; ","")&amp;IF(ISNUMBER('SC Change Orders'!$E331),IF(ISNUMBER('SC Change Orders'!$F331),IF(ISNUMBER('SC Change Orders'!$G331),  IF('SC Change Orders'!$G331&gt;0,IF(ROUND('SC Change Orders'!$E331+'SC Change Orders'!$F331,2)&lt;&gt;ROUND('SC Change Orders'!$G331,2),  "Original + Added &lt;&gt; Total Line Cost Allotted; ",""),""),""),""),"")&amp;IF(AND(ISNUMBER('SC Change Orders'!$B331),COUNTIFS('SC Change Orders'!$B$2:$B$501,'SC Change Orders'!$B331,'SC Change Orders'!$C$2:$C$501,'SC Change Orders'!$C331,'SC Change Orders'!$D$2:$D$501,'SC Change Orders'!$D331,'SC Change Orders'!$F$2:$F$501,'SC Change Orders'!$F331,'SC Change Orders'!$E$2:$E$501,'SC Change Orders'!$E331)&gt;1),"Duplicate of another row — funds counted twice; ","")&amp;IF(ISNUMBER('SC Change Orders'!$F331),IF('SC Change Orders'!$F331&lt;&gt;0,IF(AND(ISNUMBER('SC Change Orders'!$B331),NOT(COUNTIFS('SC Change Orders'!$B$2:$B$501,'SC Change Orders'!$B331,'SC Change Orders'!$C$2:$C$501,'SC Change Orders'!$C331,'SC Change Orders'!$D$2:$D$501,'SC Change Orders'!$D331,'SC Change Orders'!$F$2:$F$501,'SC Change Orders'!$F331,'SC Change Orders'!$E$2:$E$501,'SC Change Orders'!$E331)&gt;1),COUNTIFS('SC Change Orders'!$B$2:$B$501,'SC Change Orders'!$B331,'SC Change Orders'!$F$2:$F$501,'SC Change Orders'!$F331)&gt;1),  "Same PO and Amount Added as another row — check for a restatement counted twice; ",""),""),""))</f>
        <v/>
      </c>
    </row>
    <row r="350" customFormat="false" ht="15" hidden="false" customHeight="false" outlineLevel="0" collapsed="false">
      <c r="A350" s="18" t="str">
        <f aca="false">IF(AND('SC Change Orders'!$A332="",'SC Change Orders'!$B332="",'SC Change Orders'!$C332=""),"",332)</f>
        <v/>
      </c>
      <c r="B350" s="31" t="str">
        <f aca="false">IF($A350="","",'SC Change Orders'!$A332)</f>
        <v/>
      </c>
      <c r="C350" s="18" t="str">
        <f aca="false">IF($A350="","",'SC Change Orders'!$B332)</f>
        <v/>
      </c>
      <c r="D350" s="32" t="str">
        <f aca="false">IF($A350="","",'SC Change Orders'!$C332)</f>
        <v/>
      </c>
      <c r="E350" s="31" t="str">
        <f aca="false">IF($A350="","",'SC Change Orders'!$D332)</f>
        <v/>
      </c>
      <c r="F350" s="33" t="str">
        <f aca="false">IF($A350="","",'SC Change Orders'!$E332)</f>
        <v/>
      </c>
      <c r="G350" s="33" t="str">
        <f aca="false">IF($A350="","",'SC Change Orders'!$F332)</f>
        <v/>
      </c>
      <c r="H350" s="33" t="str">
        <f aca="false">IF($A350="","",'SC Change Orders'!$G332)</f>
        <v/>
      </c>
      <c r="I350" s="34" t="str">
        <f aca="false">IF($A350="","",IF(AND(ISNUMBER('SC Change Orders'!$C332),'SC Change Orders'!$C332&gt;=Controls!$C$5,'SC Change Orders'!$C332&lt;=Controls!$C$6),"Yes","No"))</f>
        <v/>
      </c>
      <c r="J350" s="31" t="str">
        <f aca="false">IF($A350="","",IF($K350="","OK",$K350))</f>
        <v/>
      </c>
      <c r="K350" s="0" t="str">
        <f aca="false">IF($A350="","",IF(NOT(ISNUMBER('SC Change Orders'!$B332)),"PO not numeric — row is invisible to the tracker; ","")&amp;IF(NOT(ISNUMBER('SC Change Orders'!$C332)),"Date missing or text — row excluded; ",  IF(OR('SC Change Orders'!$C332&lt;Controls!$C$5,'SC Change Orders'!$C332&gt;Controls!$C$6),"Dated outside the FY window — excluded; ",""))&amp;IF(AND('SC Change Orders'!$E332&lt;&gt;"",NOT(ISNUMBER('SC Change Orders'!$E332))),"Original Amount held as text — ignored by MINIFS; ","")&amp;IF(AND('SC Change Orders'!$F332&lt;&gt;"",NOT(ISNUMBER('SC Change Orders'!$F332))),"Amount Added held as text — ignored by SUMIFS; ","")&amp;IF(ISNUMBER('SC Change Orders'!$E332),IF(ISNUMBER('SC Change Orders'!$F332),IF(ISNUMBER('SC Change Orders'!$G332),  IF('SC Change Orders'!$G332&gt;0,IF(ROUND('SC Change Orders'!$E332+'SC Change Orders'!$F332,2)&lt;&gt;ROUND('SC Change Orders'!$G332,2),  "Original + Added &lt;&gt; Total Line Cost Allotted; ",""),""),""),""),"")&amp;IF(AND(ISNUMBER('SC Change Orders'!$B332),COUNTIFS('SC Change Orders'!$B$2:$B$501,'SC Change Orders'!$B332,'SC Change Orders'!$C$2:$C$501,'SC Change Orders'!$C332,'SC Change Orders'!$D$2:$D$501,'SC Change Orders'!$D332,'SC Change Orders'!$F$2:$F$501,'SC Change Orders'!$F332,'SC Change Orders'!$E$2:$E$501,'SC Change Orders'!$E332)&gt;1),"Duplicate of another row — funds counted twice; ","")&amp;IF(ISNUMBER('SC Change Orders'!$F332),IF('SC Change Orders'!$F332&lt;&gt;0,IF(AND(ISNUMBER('SC Change Orders'!$B332),NOT(COUNTIFS('SC Change Orders'!$B$2:$B$501,'SC Change Orders'!$B332,'SC Change Orders'!$C$2:$C$501,'SC Change Orders'!$C332,'SC Change Orders'!$D$2:$D$501,'SC Change Orders'!$D332,'SC Change Orders'!$F$2:$F$501,'SC Change Orders'!$F332,'SC Change Orders'!$E$2:$E$501,'SC Change Orders'!$E332)&gt;1),COUNTIFS('SC Change Orders'!$B$2:$B$501,'SC Change Orders'!$B332,'SC Change Orders'!$F$2:$F$501,'SC Change Orders'!$F332)&gt;1),  "Same PO and Amount Added as another row — check for a restatement counted twice; ",""),""),""))</f>
        <v/>
      </c>
    </row>
    <row r="351" customFormat="false" ht="15" hidden="false" customHeight="false" outlineLevel="0" collapsed="false">
      <c r="A351" s="18" t="str">
        <f aca="false">IF(AND('SC Change Orders'!$A333="",'SC Change Orders'!$B333="",'SC Change Orders'!$C333=""),"",333)</f>
        <v/>
      </c>
      <c r="B351" s="31" t="str">
        <f aca="false">IF($A351="","",'SC Change Orders'!$A333)</f>
        <v/>
      </c>
      <c r="C351" s="18" t="str">
        <f aca="false">IF($A351="","",'SC Change Orders'!$B333)</f>
        <v/>
      </c>
      <c r="D351" s="32" t="str">
        <f aca="false">IF($A351="","",'SC Change Orders'!$C333)</f>
        <v/>
      </c>
      <c r="E351" s="31" t="str">
        <f aca="false">IF($A351="","",'SC Change Orders'!$D333)</f>
        <v/>
      </c>
      <c r="F351" s="33" t="str">
        <f aca="false">IF($A351="","",'SC Change Orders'!$E333)</f>
        <v/>
      </c>
      <c r="G351" s="33" t="str">
        <f aca="false">IF($A351="","",'SC Change Orders'!$F333)</f>
        <v/>
      </c>
      <c r="H351" s="33" t="str">
        <f aca="false">IF($A351="","",'SC Change Orders'!$G333)</f>
        <v/>
      </c>
      <c r="I351" s="34" t="str">
        <f aca="false">IF($A351="","",IF(AND(ISNUMBER('SC Change Orders'!$C333),'SC Change Orders'!$C333&gt;=Controls!$C$5,'SC Change Orders'!$C333&lt;=Controls!$C$6),"Yes","No"))</f>
        <v/>
      </c>
      <c r="J351" s="31" t="str">
        <f aca="false">IF($A351="","",IF($K351="","OK",$K351))</f>
        <v/>
      </c>
      <c r="K351" s="0" t="str">
        <f aca="false">IF($A351="","",IF(NOT(ISNUMBER('SC Change Orders'!$B333)),"PO not numeric — row is invisible to the tracker; ","")&amp;IF(NOT(ISNUMBER('SC Change Orders'!$C333)),"Date missing or text — row excluded; ",  IF(OR('SC Change Orders'!$C333&lt;Controls!$C$5,'SC Change Orders'!$C333&gt;Controls!$C$6),"Dated outside the FY window — excluded; ",""))&amp;IF(AND('SC Change Orders'!$E333&lt;&gt;"",NOT(ISNUMBER('SC Change Orders'!$E333))),"Original Amount held as text — ignored by MINIFS; ","")&amp;IF(AND('SC Change Orders'!$F333&lt;&gt;"",NOT(ISNUMBER('SC Change Orders'!$F333))),"Amount Added held as text — ignored by SUMIFS; ","")&amp;IF(ISNUMBER('SC Change Orders'!$E333),IF(ISNUMBER('SC Change Orders'!$F333),IF(ISNUMBER('SC Change Orders'!$G333),  IF('SC Change Orders'!$G333&gt;0,IF(ROUND('SC Change Orders'!$E333+'SC Change Orders'!$F333,2)&lt;&gt;ROUND('SC Change Orders'!$G333,2),  "Original + Added &lt;&gt; Total Line Cost Allotted; ",""),""),""),""),"")&amp;IF(AND(ISNUMBER('SC Change Orders'!$B333),COUNTIFS('SC Change Orders'!$B$2:$B$501,'SC Change Orders'!$B333,'SC Change Orders'!$C$2:$C$501,'SC Change Orders'!$C333,'SC Change Orders'!$D$2:$D$501,'SC Change Orders'!$D333,'SC Change Orders'!$F$2:$F$501,'SC Change Orders'!$F333,'SC Change Orders'!$E$2:$E$501,'SC Change Orders'!$E333)&gt;1),"Duplicate of another row — funds counted twice; ","")&amp;IF(ISNUMBER('SC Change Orders'!$F333),IF('SC Change Orders'!$F333&lt;&gt;0,IF(AND(ISNUMBER('SC Change Orders'!$B333),NOT(COUNTIFS('SC Change Orders'!$B$2:$B$501,'SC Change Orders'!$B333,'SC Change Orders'!$C$2:$C$501,'SC Change Orders'!$C333,'SC Change Orders'!$D$2:$D$501,'SC Change Orders'!$D333,'SC Change Orders'!$F$2:$F$501,'SC Change Orders'!$F333,'SC Change Orders'!$E$2:$E$501,'SC Change Orders'!$E333)&gt;1),COUNTIFS('SC Change Orders'!$B$2:$B$501,'SC Change Orders'!$B333,'SC Change Orders'!$F$2:$F$501,'SC Change Orders'!$F333)&gt;1),  "Same PO and Amount Added as another row — check for a restatement counted twice; ",""),""),""))</f>
        <v/>
      </c>
    </row>
    <row r="352" customFormat="false" ht="15" hidden="false" customHeight="false" outlineLevel="0" collapsed="false">
      <c r="A352" s="18" t="str">
        <f aca="false">IF(AND('SC Change Orders'!$A334="",'SC Change Orders'!$B334="",'SC Change Orders'!$C334=""),"",334)</f>
        <v/>
      </c>
      <c r="B352" s="31" t="str">
        <f aca="false">IF($A352="","",'SC Change Orders'!$A334)</f>
        <v/>
      </c>
      <c r="C352" s="18" t="str">
        <f aca="false">IF($A352="","",'SC Change Orders'!$B334)</f>
        <v/>
      </c>
      <c r="D352" s="32" t="str">
        <f aca="false">IF($A352="","",'SC Change Orders'!$C334)</f>
        <v/>
      </c>
      <c r="E352" s="31" t="str">
        <f aca="false">IF($A352="","",'SC Change Orders'!$D334)</f>
        <v/>
      </c>
      <c r="F352" s="33" t="str">
        <f aca="false">IF($A352="","",'SC Change Orders'!$E334)</f>
        <v/>
      </c>
      <c r="G352" s="33" t="str">
        <f aca="false">IF($A352="","",'SC Change Orders'!$F334)</f>
        <v/>
      </c>
      <c r="H352" s="33" t="str">
        <f aca="false">IF($A352="","",'SC Change Orders'!$G334)</f>
        <v/>
      </c>
      <c r="I352" s="34" t="str">
        <f aca="false">IF($A352="","",IF(AND(ISNUMBER('SC Change Orders'!$C334),'SC Change Orders'!$C334&gt;=Controls!$C$5,'SC Change Orders'!$C334&lt;=Controls!$C$6),"Yes","No"))</f>
        <v/>
      </c>
      <c r="J352" s="31" t="str">
        <f aca="false">IF($A352="","",IF($K352="","OK",$K352))</f>
        <v/>
      </c>
      <c r="K352" s="0" t="str">
        <f aca="false">IF($A352="","",IF(NOT(ISNUMBER('SC Change Orders'!$B334)),"PO not numeric — row is invisible to the tracker; ","")&amp;IF(NOT(ISNUMBER('SC Change Orders'!$C334)),"Date missing or text — row excluded; ",  IF(OR('SC Change Orders'!$C334&lt;Controls!$C$5,'SC Change Orders'!$C334&gt;Controls!$C$6),"Dated outside the FY window — excluded; ",""))&amp;IF(AND('SC Change Orders'!$E334&lt;&gt;"",NOT(ISNUMBER('SC Change Orders'!$E334))),"Original Amount held as text — ignored by MINIFS; ","")&amp;IF(AND('SC Change Orders'!$F334&lt;&gt;"",NOT(ISNUMBER('SC Change Orders'!$F334))),"Amount Added held as text — ignored by SUMIFS; ","")&amp;IF(ISNUMBER('SC Change Orders'!$E334),IF(ISNUMBER('SC Change Orders'!$F334),IF(ISNUMBER('SC Change Orders'!$G334),  IF('SC Change Orders'!$G334&gt;0,IF(ROUND('SC Change Orders'!$E334+'SC Change Orders'!$F334,2)&lt;&gt;ROUND('SC Change Orders'!$G334,2),  "Original + Added &lt;&gt; Total Line Cost Allotted; ",""),""),""),""),"")&amp;IF(AND(ISNUMBER('SC Change Orders'!$B334),COUNTIFS('SC Change Orders'!$B$2:$B$501,'SC Change Orders'!$B334,'SC Change Orders'!$C$2:$C$501,'SC Change Orders'!$C334,'SC Change Orders'!$D$2:$D$501,'SC Change Orders'!$D334,'SC Change Orders'!$F$2:$F$501,'SC Change Orders'!$F334,'SC Change Orders'!$E$2:$E$501,'SC Change Orders'!$E334)&gt;1),"Duplicate of another row — funds counted twice; ","")&amp;IF(ISNUMBER('SC Change Orders'!$F334),IF('SC Change Orders'!$F334&lt;&gt;0,IF(AND(ISNUMBER('SC Change Orders'!$B334),NOT(COUNTIFS('SC Change Orders'!$B$2:$B$501,'SC Change Orders'!$B334,'SC Change Orders'!$C$2:$C$501,'SC Change Orders'!$C334,'SC Change Orders'!$D$2:$D$501,'SC Change Orders'!$D334,'SC Change Orders'!$F$2:$F$501,'SC Change Orders'!$F334,'SC Change Orders'!$E$2:$E$501,'SC Change Orders'!$E334)&gt;1),COUNTIFS('SC Change Orders'!$B$2:$B$501,'SC Change Orders'!$B334,'SC Change Orders'!$F$2:$F$501,'SC Change Orders'!$F334)&gt;1),  "Same PO and Amount Added as another row — check for a restatement counted twice; ",""),""),""))</f>
        <v/>
      </c>
    </row>
    <row r="353" customFormat="false" ht="15" hidden="false" customHeight="false" outlineLevel="0" collapsed="false">
      <c r="A353" s="18" t="str">
        <f aca="false">IF(AND('SC Change Orders'!$A335="",'SC Change Orders'!$B335="",'SC Change Orders'!$C335=""),"",335)</f>
        <v/>
      </c>
      <c r="B353" s="31" t="str">
        <f aca="false">IF($A353="","",'SC Change Orders'!$A335)</f>
        <v/>
      </c>
      <c r="C353" s="18" t="str">
        <f aca="false">IF($A353="","",'SC Change Orders'!$B335)</f>
        <v/>
      </c>
      <c r="D353" s="32" t="str">
        <f aca="false">IF($A353="","",'SC Change Orders'!$C335)</f>
        <v/>
      </c>
      <c r="E353" s="31" t="str">
        <f aca="false">IF($A353="","",'SC Change Orders'!$D335)</f>
        <v/>
      </c>
      <c r="F353" s="33" t="str">
        <f aca="false">IF($A353="","",'SC Change Orders'!$E335)</f>
        <v/>
      </c>
      <c r="G353" s="33" t="str">
        <f aca="false">IF($A353="","",'SC Change Orders'!$F335)</f>
        <v/>
      </c>
      <c r="H353" s="33" t="str">
        <f aca="false">IF($A353="","",'SC Change Orders'!$G335)</f>
        <v/>
      </c>
      <c r="I353" s="34" t="str">
        <f aca="false">IF($A353="","",IF(AND(ISNUMBER('SC Change Orders'!$C335),'SC Change Orders'!$C335&gt;=Controls!$C$5,'SC Change Orders'!$C335&lt;=Controls!$C$6),"Yes","No"))</f>
        <v/>
      </c>
      <c r="J353" s="31" t="str">
        <f aca="false">IF($A353="","",IF($K353="","OK",$K353))</f>
        <v/>
      </c>
      <c r="K353" s="0" t="str">
        <f aca="false">IF($A353="","",IF(NOT(ISNUMBER('SC Change Orders'!$B335)),"PO not numeric — row is invisible to the tracker; ","")&amp;IF(NOT(ISNUMBER('SC Change Orders'!$C335)),"Date missing or text — row excluded; ",  IF(OR('SC Change Orders'!$C335&lt;Controls!$C$5,'SC Change Orders'!$C335&gt;Controls!$C$6),"Dated outside the FY window — excluded; ",""))&amp;IF(AND('SC Change Orders'!$E335&lt;&gt;"",NOT(ISNUMBER('SC Change Orders'!$E335))),"Original Amount held as text — ignored by MINIFS; ","")&amp;IF(AND('SC Change Orders'!$F335&lt;&gt;"",NOT(ISNUMBER('SC Change Orders'!$F335))),"Amount Added held as text — ignored by SUMIFS; ","")&amp;IF(ISNUMBER('SC Change Orders'!$E335),IF(ISNUMBER('SC Change Orders'!$F335),IF(ISNUMBER('SC Change Orders'!$G335),  IF('SC Change Orders'!$G335&gt;0,IF(ROUND('SC Change Orders'!$E335+'SC Change Orders'!$F335,2)&lt;&gt;ROUND('SC Change Orders'!$G335,2),  "Original + Added &lt;&gt; Total Line Cost Allotted; ",""),""),""),""),"")&amp;IF(AND(ISNUMBER('SC Change Orders'!$B335),COUNTIFS('SC Change Orders'!$B$2:$B$501,'SC Change Orders'!$B335,'SC Change Orders'!$C$2:$C$501,'SC Change Orders'!$C335,'SC Change Orders'!$D$2:$D$501,'SC Change Orders'!$D335,'SC Change Orders'!$F$2:$F$501,'SC Change Orders'!$F335,'SC Change Orders'!$E$2:$E$501,'SC Change Orders'!$E335)&gt;1),"Duplicate of another row — funds counted twice; ","")&amp;IF(ISNUMBER('SC Change Orders'!$F335),IF('SC Change Orders'!$F335&lt;&gt;0,IF(AND(ISNUMBER('SC Change Orders'!$B335),NOT(COUNTIFS('SC Change Orders'!$B$2:$B$501,'SC Change Orders'!$B335,'SC Change Orders'!$C$2:$C$501,'SC Change Orders'!$C335,'SC Change Orders'!$D$2:$D$501,'SC Change Orders'!$D335,'SC Change Orders'!$F$2:$F$501,'SC Change Orders'!$F335,'SC Change Orders'!$E$2:$E$501,'SC Change Orders'!$E335)&gt;1),COUNTIFS('SC Change Orders'!$B$2:$B$501,'SC Change Orders'!$B335,'SC Change Orders'!$F$2:$F$501,'SC Change Orders'!$F335)&gt;1),  "Same PO and Amount Added as another row — check for a restatement counted twice; ",""),""),""))</f>
        <v/>
      </c>
    </row>
    <row r="354" customFormat="false" ht="15" hidden="false" customHeight="false" outlineLevel="0" collapsed="false">
      <c r="A354" s="18" t="str">
        <f aca="false">IF(AND('SC Change Orders'!$A336="",'SC Change Orders'!$B336="",'SC Change Orders'!$C336=""),"",336)</f>
        <v/>
      </c>
      <c r="B354" s="31" t="str">
        <f aca="false">IF($A354="","",'SC Change Orders'!$A336)</f>
        <v/>
      </c>
      <c r="C354" s="18" t="str">
        <f aca="false">IF($A354="","",'SC Change Orders'!$B336)</f>
        <v/>
      </c>
      <c r="D354" s="32" t="str">
        <f aca="false">IF($A354="","",'SC Change Orders'!$C336)</f>
        <v/>
      </c>
      <c r="E354" s="31" t="str">
        <f aca="false">IF($A354="","",'SC Change Orders'!$D336)</f>
        <v/>
      </c>
      <c r="F354" s="33" t="str">
        <f aca="false">IF($A354="","",'SC Change Orders'!$E336)</f>
        <v/>
      </c>
      <c r="G354" s="33" t="str">
        <f aca="false">IF($A354="","",'SC Change Orders'!$F336)</f>
        <v/>
      </c>
      <c r="H354" s="33" t="str">
        <f aca="false">IF($A354="","",'SC Change Orders'!$G336)</f>
        <v/>
      </c>
      <c r="I354" s="34" t="str">
        <f aca="false">IF($A354="","",IF(AND(ISNUMBER('SC Change Orders'!$C336),'SC Change Orders'!$C336&gt;=Controls!$C$5,'SC Change Orders'!$C336&lt;=Controls!$C$6),"Yes","No"))</f>
        <v/>
      </c>
      <c r="J354" s="31" t="str">
        <f aca="false">IF($A354="","",IF($K354="","OK",$K354))</f>
        <v/>
      </c>
      <c r="K354" s="0" t="str">
        <f aca="false">IF($A354="","",IF(NOT(ISNUMBER('SC Change Orders'!$B336)),"PO not numeric — row is invisible to the tracker; ","")&amp;IF(NOT(ISNUMBER('SC Change Orders'!$C336)),"Date missing or text — row excluded; ",  IF(OR('SC Change Orders'!$C336&lt;Controls!$C$5,'SC Change Orders'!$C336&gt;Controls!$C$6),"Dated outside the FY window — excluded; ",""))&amp;IF(AND('SC Change Orders'!$E336&lt;&gt;"",NOT(ISNUMBER('SC Change Orders'!$E336))),"Original Amount held as text — ignored by MINIFS; ","")&amp;IF(AND('SC Change Orders'!$F336&lt;&gt;"",NOT(ISNUMBER('SC Change Orders'!$F336))),"Amount Added held as text — ignored by SUMIFS; ","")&amp;IF(ISNUMBER('SC Change Orders'!$E336),IF(ISNUMBER('SC Change Orders'!$F336),IF(ISNUMBER('SC Change Orders'!$G336),  IF('SC Change Orders'!$G336&gt;0,IF(ROUND('SC Change Orders'!$E336+'SC Change Orders'!$F336,2)&lt;&gt;ROUND('SC Change Orders'!$G336,2),  "Original + Added &lt;&gt; Total Line Cost Allotted; ",""),""),""),""),"")&amp;IF(AND(ISNUMBER('SC Change Orders'!$B336),COUNTIFS('SC Change Orders'!$B$2:$B$501,'SC Change Orders'!$B336,'SC Change Orders'!$C$2:$C$501,'SC Change Orders'!$C336,'SC Change Orders'!$D$2:$D$501,'SC Change Orders'!$D336,'SC Change Orders'!$F$2:$F$501,'SC Change Orders'!$F336,'SC Change Orders'!$E$2:$E$501,'SC Change Orders'!$E336)&gt;1),"Duplicate of another row — funds counted twice; ","")&amp;IF(ISNUMBER('SC Change Orders'!$F336),IF('SC Change Orders'!$F336&lt;&gt;0,IF(AND(ISNUMBER('SC Change Orders'!$B336),NOT(COUNTIFS('SC Change Orders'!$B$2:$B$501,'SC Change Orders'!$B336,'SC Change Orders'!$C$2:$C$501,'SC Change Orders'!$C336,'SC Change Orders'!$D$2:$D$501,'SC Change Orders'!$D336,'SC Change Orders'!$F$2:$F$501,'SC Change Orders'!$F336,'SC Change Orders'!$E$2:$E$501,'SC Change Orders'!$E336)&gt;1),COUNTIFS('SC Change Orders'!$B$2:$B$501,'SC Change Orders'!$B336,'SC Change Orders'!$F$2:$F$501,'SC Change Orders'!$F336)&gt;1),  "Same PO and Amount Added as another row — check for a restatement counted twice; ",""),""),""))</f>
        <v/>
      </c>
    </row>
    <row r="355" customFormat="false" ht="15" hidden="false" customHeight="false" outlineLevel="0" collapsed="false">
      <c r="A355" s="18" t="str">
        <f aca="false">IF(AND('SC Change Orders'!$A337="",'SC Change Orders'!$B337="",'SC Change Orders'!$C337=""),"",337)</f>
        <v/>
      </c>
      <c r="B355" s="31" t="str">
        <f aca="false">IF($A355="","",'SC Change Orders'!$A337)</f>
        <v/>
      </c>
      <c r="C355" s="18" t="str">
        <f aca="false">IF($A355="","",'SC Change Orders'!$B337)</f>
        <v/>
      </c>
      <c r="D355" s="32" t="str">
        <f aca="false">IF($A355="","",'SC Change Orders'!$C337)</f>
        <v/>
      </c>
      <c r="E355" s="31" t="str">
        <f aca="false">IF($A355="","",'SC Change Orders'!$D337)</f>
        <v/>
      </c>
      <c r="F355" s="33" t="str">
        <f aca="false">IF($A355="","",'SC Change Orders'!$E337)</f>
        <v/>
      </c>
      <c r="G355" s="33" t="str">
        <f aca="false">IF($A355="","",'SC Change Orders'!$F337)</f>
        <v/>
      </c>
      <c r="H355" s="33" t="str">
        <f aca="false">IF($A355="","",'SC Change Orders'!$G337)</f>
        <v/>
      </c>
      <c r="I355" s="34" t="str">
        <f aca="false">IF($A355="","",IF(AND(ISNUMBER('SC Change Orders'!$C337),'SC Change Orders'!$C337&gt;=Controls!$C$5,'SC Change Orders'!$C337&lt;=Controls!$C$6),"Yes","No"))</f>
        <v/>
      </c>
      <c r="J355" s="31" t="str">
        <f aca="false">IF($A355="","",IF($K355="","OK",$K355))</f>
        <v/>
      </c>
      <c r="K355" s="0" t="str">
        <f aca="false">IF($A355="","",IF(NOT(ISNUMBER('SC Change Orders'!$B337)),"PO not numeric — row is invisible to the tracker; ","")&amp;IF(NOT(ISNUMBER('SC Change Orders'!$C337)),"Date missing or text — row excluded; ",  IF(OR('SC Change Orders'!$C337&lt;Controls!$C$5,'SC Change Orders'!$C337&gt;Controls!$C$6),"Dated outside the FY window — excluded; ",""))&amp;IF(AND('SC Change Orders'!$E337&lt;&gt;"",NOT(ISNUMBER('SC Change Orders'!$E337))),"Original Amount held as text — ignored by MINIFS; ","")&amp;IF(AND('SC Change Orders'!$F337&lt;&gt;"",NOT(ISNUMBER('SC Change Orders'!$F337))),"Amount Added held as text — ignored by SUMIFS; ","")&amp;IF(ISNUMBER('SC Change Orders'!$E337),IF(ISNUMBER('SC Change Orders'!$F337),IF(ISNUMBER('SC Change Orders'!$G337),  IF('SC Change Orders'!$G337&gt;0,IF(ROUND('SC Change Orders'!$E337+'SC Change Orders'!$F337,2)&lt;&gt;ROUND('SC Change Orders'!$G337,2),  "Original + Added &lt;&gt; Total Line Cost Allotted; ",""),""),""),""),"")&amp;IF(AND(ISNUMBER('SC Change Orders'!$B337),COUNTIFS('SC Change Orders'!$B$2:$B$501,'SC Change Orders'!$B337,'SC Change Orders'!$C$2:$C$501,'SC Change Orders'!$C337,'SC Change Orders'!$D$2:$D$501,'SC Change Orders'!$D337,'SC Change Orders'!$F$2:$F$501,'SC Change Orders'!$F337,'SC Change Orders'!$E$2:$E$501,'SC Change Orders'!$E337)&gt;1),"Duplicate of another row — funds counted twice; ","")&amp;IF(ISNUMBER('SC Change Orders'!$F337),IF('SC Change Orders'!$F337&lt;&gt;0,IF(AND(ISNUMBER('SC Change Orders'!$B337),NOT(COUNTIFS('SC Change Orders'!$B$2:$B$501,'SC Change Orders'!$B337,'SC Change Orders'!$C$2:$C$501,'SC Change Orders'!$C337,'SC Change Orders'!$D$2:$D$501,'SC Change Orders'!$D337,'SC Change Orders'!$F$2:$F$501,'SC Change Orders'!$F337,'SC Change Orders'!$E$2:$E$501,'SC Change Orders'!$E337)&gt;1),COUNTIFS('SC Change Orders'!$B$2:$B$501,'SC Change Orders'!$B337,'SC Change Orders'!$F$2:$F$501,'SC Change Orders'!$F337)&gt;1),  "Same PO and Amount Added as another row — check for a restatement counted twice; ",""),""),""))</f>
        <v/>
      </c>
    </row>
    <row r="356" customFormat="false" ht="15" hidden="false" customHeight="false" outlineLevel="0" collapsed="false">
      <c r="A356" s="18" t="str">
        <f aca="false">IF(AND('SC Change Orders'!$A338="",'SC Change Orders'!$B338="",'SC Change Orders'!$C338=""),"",338)</f>
        <v/>
      </c>
      <c r="B356" s="31" t="str">
        <f aca="false">IF($A356="","",'SC Change Orders'!$A338)</f>
        <v/>
      </c>
      <c r="C356" s="18" t="str">
        <f aca="false">IF($A356="","",'SC Change Orders'!$B338)</f>
        <v/>
      </c>
      <c r="D356" s="32" t="str">
        <f aca="false">IF($A356="","",'SC Change Orders'!$C338)</f>
        <v/>
      </c>
      <c r="E356" s="31" t="str">
        <f aca="false">IF($A356="","",'SC Change Orders'!$D338)</f>
        <v/>
      </c>
      <c r="F356" s="33" t="str">
        <f aca="false">IF($A356="","",'SC Change Orders'!$E338)</f>
        <v/>
      </c>
      <c r="G356" s="33" t="str">
        <f aca="false">IF($A356="","",'SC Change Orders'!$F338)</f>
        <v/>
      </c>
      <c r="H356" s="33" t="str">
        <f aca="false">IF($A356="","",'SC Change Orders'!$G338)</f>
        <v/>
      </c>
      <c r="I356" s="34" t="str">
        <f aca="false">IF($A356="","",IF(AND(ISNUMBER('SC Change Orders'!$C338),'SC Change Orders'!$C338&gt;=Controls!$C$5,'SC Change Orders'!$C338&lt;=Controls!$C$6),"Yes","No"))</f>
        <v/>
      </c>
      <c r="J356" s="31" t="str">
        <f aca="false">IF($A356="","",IF($K356="","OK",$K356))</f>
        <v/>
      </c>
      <c r="K356" s="0" t="str">
        <f aca="false">IF($A356="","",IF(NOT(ISNUMBER('SC Change Orders'!$B338)),"PO not numeric — row is invisible to the tracker; ","")&amp;IF(NOT(ISNUMBER('SC Change Orders'!$C338)),"Date missing or text — row excluded; ",  IF(OR('SC Change Orders'!$C338&lt;Controls!$C$5,'SC Change Orders'!$C338&gt;Controls!$C$6),"Dated outside the FY window — excluded; ",""))&amp;IF(AND('SC Change Orders'!$E338&lt;&gt;"",NOT(ISNUMBER('SC Change Orders'!$E338))),"Original Amount held as text — ignored by MINIFS; ","")&amp;IF(AND('SC Change Orders'!$F338&lt;&gt;"",NOT(ISNUMBER('SC Change Orders'!$F338))),"Amount Added held as text — ignored by SUMIFS; ","")&amp;IF(ISNUMBER('SC Change Orders'!$E338),IF(ISNUMBER('SC Change Orders'!$F338),IF(ISNUMBER('SC Change Orders'!$G338),  IF('SC Change Orders'!$G338&gt;0,IF(ROUND('SC Change Orders'!$E338+'SC Change Orders'!$F338,2)&lt;&gt;ROUND('SC Change Orders'!$G338,2),  "Original + Added &lt;&gt; Total Line Cost Allotted; ",""),""),""),""),"")&amp;IF(AND(ISNUMBER('SC Change Orders'!$B338),COUNTIFS('SC Change Orders'!$B$2:$B$501,'SC Change Orders'!$B338,'SC Change Orders'!$C$2:$C$501,'SC Change Orders'!$C338,'SC Change Orders'!$D$2:$D$501,'SC Change Orders'!$D338,'SC Change Orders'!$F$2:$F$501,'SC Change Orders'!$F338,'SC Change Orders'!$E$2:$E$501,'SC Change Orders'!$E338)&gt;1),"Duplicate of another row — funds counted twice; ","")&amp;IF(ISNUMBER('SC Change Orders'!$F338),IF('SC Change Orders'!$F338&lt;&gt;0,IF(AND(ISNUMBER('SC Change Orders'!$B338),NOT(COUNTIFS('SC Change Orders'!$B$2:$B$501,'SC Change Orders'!$B338,'SC Change Orders'!$C$2:$C$501,'SC Change Orders'!$C338,'SC Change Orders'!$D$2:$D$501,'SC Change Orders'!$D338,'SC Change Orders'!$F$2:$F$501,'SC Change Orders'!$F338,'SC Change Orders'!$E$2:$E$501,'SC Change Orders'!$E338)&gt;1),COUNTIFS('SC Change Orders'!$B$2:$B$501,'SC Change Orders'!$B338,'SC Change Orders'!$F$2:$F$501,'SC Change Orders'!$F338)&gt;1),  "Same PO and Amount Added as another row — check for a restatement counted twice; ",""),""),""))</f>
        <v/>
      </c>
    </row>
    <row r="357" customFormat="false" ht="15" hidden="false" customHeight="false" outlineLevel="0" collapsed="false">
      <c r="A357" s="18" t="str">
        <f aca="false">IF(AND('SC Change Orders'!$A339="",'SC Change Orders'!$B339="",'SC Change Orders'!$C339=""),"",339)</f>
        <v/>
      </c>
      <c r="B357" s="31" t="str">
        <f aca="false">IF($A357="","",'SC Change Orders'!$A339)</f>
        <v/>
      </c>
      <c r="C357" s="18" t="str">
        <f aca="false">IF($A357="","",'SC Change Orders'!$B339)</f>
        <v/>
      </c>
      <c r="D357" s="32" t="str">
        <f aca="false">IF($A357="","",'SC Change Orders'!$C339)</f>
        <v/>
      </c>
      <c r="E357" s="31" t="str">
        <f aca="false">IF($A357="","",'SC Change Orders'!$D339)</f>
        <v/>
      </c>
      <c r="F357" s="33" t="str">
        <f aca="false">IF($A357="","",'SC Change Orders'!$E339)</f>
        <v/>
      </c>
      <c r="G357" s="33" t="str">
        <f aca="false">IF($A357="","",'SC Change Orders'!$F339)</f>
        <v/>
      </c>
      <c r="H357" s="33" t="str">
        <f aca="false">IF($A357="","",'SC Change Orders'!$G339)</f>
        <v/>
      </c>
      <c r="I357" s="34" t="str">
        <f aca="false">IF($A357="","",IF(AND(ISNUMBER('SC Change Orders'!$C339),'SC Change Orders'!$C339&gt;=Controls!$C$5,'SC Change Orders'!$C339&lt;=Controls!$C$6),"Yes","No"))</f>
        <v/>
      </c>
      <c r="J357" s="31" t="str">
        <f aca="false">IF($A357="","",IF($K357="","OK",$K357))</f>
        <v/>
      </c>
      <c r="K357" s="0" t="str">
        <f aca="false">IF($A357="","",IF(NOT(ISNUMBER('SC Change Orders'!$B339)),"PO not numeric — row is invisible to the tracker; ","")&amp;IF(NOT(ISNUMBER('SC Change Orders'!$C339)),"Date missing or text — row excluded; ",  IF(OR('SC Change Orders'!$C339&lt;Controls!$C$5,'SC Change Orders'!$C339&gt;Controls!$C$6),"Dated outside the FY window — excluded; ",""))&amp;IF(AND('SC Change Orders'!$E339&lt;&gt;"",NOT(ISNUMBER('SC Change Orders'!$E339))),"Original Amount held as text — ignored by MINIFS; ","")&amp;IF(AND('SC Change Orders'!$F339&lt;&gt;"",NOT(ISNUMBER('SC Change Orders'!$F339))),"Amount Added held as text — ignored by SUMIFS; ","")&amp;IF(ISNUMBER('SC Change Orders'!$E339),IF(ISNUMBER('SC Change Orders'!$F339),IF(ISNUMBER('SC Change Orders'!$G339),  IF('SC Change Orders'!$G339&gt;0,IF(ROUND('SC Change Orders'!$E339+'SC Change Orders'!$F339,2)&lt;&gt;ROUND('SC Change Orders'!$G339,2),  "Original + Added &lt;&gt; Total Line Cost Allotted; ",""),""),""),""),"")&amp;IF(AND(ISNUMBER('SC Change Orders'!$B339),COUNTIFS('SC Change Orders'!$B$2:$B$501,'SC Change Orders'!$B339,'SC Change Orders'!$C$2:$C$501,'SC Change Orders'!$C339,'SC Change Orders'!$D$2:$D$501,'SC Change Orders'!$D339,'SC Change Orders'!$F$2:$F$501,'SC Change Orders'!$F339,'SC Change Orders'!$E$2:$E$501,'SC Change Orders'!$E339)&gt;1),"Duplicate of another row — funds counted twice; ","")&amp;IF(ISNUMBER('SC Change Orders'!$F339),IF('SC Change Orders'!$F339&lt;&gt;0,IF(AND(ISNUMBER('SC Change Orders'!$B339),NOT(COUNTIFS('SC Change Orders'!$B$2:$B$501,'SC Change Orders'!$B339,'SC Change Orders'!$C$2:$C$501,'SC Change Orders'!$C339,'SC Change Orders'!$D$2:$D$501,'SC Change Orders'!$D339,'SC Change Orders'!$F$2:$F$501,'SC Change Orders'!$F339,'SC Change Orders'!$E$2:$E$501,'SC Change Orders'!$E339)&gt;1),COUNTIFS('SC Change Orders'!$B$2:$B$501,'SC Change Orders'!$B339,'SC Change Orders'!$F$2:$F$501,'SC Change Orders'!$F339)&gt;1),  "Same PO and Amount Added as another row — check for a restatement counted twice; ",""),""),""))</f>
        <v/>
      </c>
    </row>
    <row r="358" customFormat="false" ht="15" hidden="false" customHeight="false" outlineLevel="0" collapsed="false">
      <c r="A358" s="18" t="str">
        <f aca="false">IF(AND('SC Change Orders'!$A340="",'SC Change Orders'!$B340="",'SC Change Orders'!$C340=""),"",340)</f>
        <v/>
      </c>
      <c r="B358" s="31" t="str">
        <f aca="false">IF($A358="","",'SC Change Orders'!$A340)</f>
        <v/>
      </c>
      <c r="C358" s="18" t="str">
        <f aca="false">IF($A358="","",'SC Change Orders'!$B340)</f>
        <v/>
      </c>
      <c r="D358" s="32" t="str">
        <f aca="false">IF($A358="","",'SC Change Orders'!$C340)</f>
        <v/>
      </c>
      <c r="E358" s="31" t="str">
        <f aca="false">IF($A358="","",'SC Change Orders'!$D340)</f>
        <v/>
      </c>
      <c r="F358" s="33" t="str">
        <f aca="false">IF($A358="","",'SC Change Orders'!$E340)</f>
        <v/>
      </c>
      <c r="G358" s="33" t="str">
        <f aca="false">IF($A358="","",'SC Change Orders'!$F340)</f>
        <v/>
      </c>
      <c r="H358" s="33" t="str">
        <f aca="false">IF($A358="","",'SC Change Orders'!$G340)</f>
        <v/>
      </c>
      <c r="I358" s="34" t="str">
        <f aca="false">IF($A358="","",IF(AND(ISNUMBER('SC Change Orders'!$C340),'SC Change Orders'!$C340&gt;=Controls!$C$5,'SC Change Orders'!$C340&lt;=Controls!$C$6),"Yes","No"))</f>
        <v/>
      </c>
      <c r="J358" s="31" t="str">
        <f aca="false">IF($A358="","",IF($K358="","OK",$K358))</f>
        <v/>
      </c>
      <c r="K358" s="0" t="str">
        <f aca="false">IF($A358="","",IF(NOT(ISNUMBER('SC Change Orders'!$B340)),"PO not numeric — row is invisible to the tracker; ","")&amp;IF(NOT(ISNUMBER('SC Change Orders'!$C340)),"Date missing or text — row excluded; ",  IF(OR('SC Change Orders'!$C340&lt;Controls!$C$5,'SC Change Orders'!$C340&gt;Controls!$C$6),"Dated outside the FY window — excluded; ",""))&amp;IF(AND('SC Change Orders'!$E340&lt;&gt;"",NOT(ISNUMBER('SC Change Orders'!$E340))),"Original Amount held as text — ignored by MINIFS; ","")&amp;IF(AND('SC Change Orders'!$F340&lt;&gt;"",NOT(ISNUMBER('SC Change Orders'!$F340))),"Amount Added held as text — ignored by SUMIFS; ","")&amp;IF(ISNUMBER('SC Change Orders'!$E340),IF(ISNUMBER('SC Change Orders'!$F340),IF(ISNUMBER('SC Change Orders'!$G340),  IF('SC Change Orders'!$G340&gt;0,IF(ROUND('SC Change Orders'!$E340+'SC Change Orders'!$F340,2)&lt;&gt;ROUND('SC Change Orders'!$G340,2),  "Original + Added &lt;&gt; Total Line Cost Allotted; ",""),""),""),""),"")&amp;IF(AND(ISNUMBER('SC Change Orders'!$B340),COUNTIFS('SC Change Orders'!$B$2:$B$501,'SC Change Orders'!$B340,'SC Change Orders'!$C$2:$C$501,'SC Change Orders'!$C340,'SC Change Orders'!$D$2:$D$501,'SC Change Orders'!$D340,'SC Change Orders'!$F$2:$F$501,'SC Change Orders'!$F340,'SC Change Orders'!$E$2:$E$501,'SC Change Orders'!$E340)&gt;1),"Duplicate of another row — funds counted twice; ","")&amp;IF(ISNUMBER('SC Change Orders'!$F340),IF('SC Change Orders'!$F340&lt;&gt;0,IF(AND(ISNUMBER('SC Change Orders'!$B340),NOT(COUNTIFS('SC Change Orders'!$B$2:$B$501,'SC Change Orders'!$B340,'SC Change Orders'!$C$2:$C$501,'SC Change Orders'!$C340,'SC Change Orders'!$D$2:$D$501,'SC Change Orders'!$D340,'SC Change Orders'!$F$2:$F$501,'SC Change Orders'!$F340,'SC Change Orders'!$E$2:$E$501,'SC Change Orders'!$E340)&gt;1),COUNTIFS('SC Change Orders'!$B$2:$B$501,'SC Change Orders'!$B340,'SC Change Orders'!$F$2:$F$501,'SC Change Orders'!$F340)&gt;1),  "Same PO and Amount Added as another row — check for a restatement counted twice; ",""),""),""))</f>
        <v/>
      </c>
    </row>
    <row r="359" customFormat="false" ht="15" hidden="false" customHeight="false" outlineLevel="0" collapsed="false">
      <c r="A359" s="18" t="str">
        <f aca="false">IF(AND('SC Change Orders'!$A341="",'SC Change Orders'!$B341="",'SC Change Orders'!$C341=""),"",341)</f>
        <v/>
      </c>
      <c r="B359" s="31" t="str">
        <f aca="false">IF($A359="","",'SC Change Orders'!$A341)</f>
        <v/>
      </c>
      <c r="C359" s="18" t="str">
        <f aca="false">IF($A359="","",'SC Change Orders'!$B341)</f>
        <v/>
      </c>
      <c r="D359" s="32" t="str">
        <f aca="false">IF($A359="","",'SC Change Orders'!$C341)</f>
        <v/>
      </c>
      <c r="E359" s="31" t="str">
        <f aca="false">IF($A359="","",'SC Change Orders'!$D341)</f>
        <v/>
      </c>
      <c r="F359" s="33" t="str">
        <f aca="false">IF($A359="","",'SC Change Orders'!$E341)</f>
        <v/>
      </c>
      <c r="G359" s="33" t="str">
        <f aca="false">IF($A359="","",'SC Change Orders'!$F341)</f>
        <v/>
      </c>
      <c r="H359" s="33" t="str">
        <f aca="false">IF($A359="","",'SC Change Orders'!$G341)</f>
        <v/>
      </c>
      <c r="I359" s="34" t="str">
        <f aca="false">IF($A359="","",IF(AND(ISNUMBER('SC Change Orders'!$C341),'SC Change Orders'!$C341&gt;=Controls!$C$5,'SC Change Orders'!$C341&lt;=Controls!$C$6),"Yes","No"))</f>
        <v/>
      </c>
      <c r="J359" s="31" t="str">
        <f aca="false">IF($A359="","",IF($K359="","OK",$K359))</f>
        <v/>
      </c>
      <c r="K359" s="0" t="str">
        <f aca="false">IF($A359="","",IF(NOT(ISNUMBER('SC Change Orders'!$B341)),"PO not numeric — row is invisible to the tracker; ","")&amp;IF(NOT(ISNUMBER('SC Change Orders'!$C341)),"Date missing or text — row excluded; ",  IF(OR('SC Change Orders'!$C341&lt;Controls!$C$5,'SC Change Orders'!$C341&gt;Controls!$C$6),"Dated outside the FY window — excluded; ",""))&amp;IF(AND('SC Change Orders'!$E341&lt;&gt;"",NOT(ISNUMBER('SC Change Orders'!$E341))),"Original Amount held as text — ignored by MINIFS; ","")&amp;IF(AND('SC Change Orders'!$F341&lt;&gt;"",NOT(ISNUMBER('SC Change Orders'!$F341))),"Amount Added held as text — ignored by SUMIFS; ","")&amp;IF(ISNUMBER('SC Change Orders'!$E341),IF(ISNUMBER('SC Change Orders'!$F341),IF(ISNUMBER('SC Change Orders'!$G341),  IF('SC Change Orders'!$G341&gt;0,IF(ROUND('SC Change Orders'!$E341+'SC Change Orders'!$F341,2)&lt;&gt;ROUND('SC Change Orders'!$G341,2),  "Original + Added &lt;&gt; Total Line Cost Allotted; ",""),""),""),""),"")&amp;IF(AND(ISNUMBER('SC Change Orders'!$B341),COUNTIFS('SC Change Orders'!$B$2:$B$501,'SC Change Orders'!$B341,'SC Change Orders'!$C$2:$C$501,'SC Change Orders'!$C341,'SC Change Orders'!$D$2:$D$501,'SC Change Orders'!$D341,'SC Change Orders'!$F$2:$F$501,'SC Change Orders'!$F341,'SC Change Orders'!$E$2:$E$501,'SC Change Orders'!$E341)&gt;1),"Duplicate of another row — funds counted twice; ","")&amp;IF(ISNUMBER('SC Change Orders'!$F341),IF('SC Change Orders'!$F341&lt;&gt;0,IF(AND(ISNUMBER('SC Change Orders'!$B341),NOT(COUNTIFS('SC Change Orders'!$B$2:$B$501,'SC Change Orders'!$B341,'SC Change Orders'!$C$2:$C$501,'SC Change Orders'!$C341,'SC Change Orders'!$D$2:$D$501,'SC Change Orders'!$D341,'SC Change Orders'!$F$2:$F$501,'SC Change Orders'!$F341,'SC Change Orders'!$E$2:$E$501,'SC Change Orders'!$E341)&gt;1),COUNTIFS('SC Change Orders'!$B$2:$B$501,'SC Change Orders'!$B341,'SC Change Orders'!$F$2:$F$501,'SC Change Orders'!$F341)&gt;1),  "Same PO and Amount Added as another row — check for a restatement counted twice; ",""),""),""))</f>
        <v/>
      </c>
    </row>
    <row r="360" customFormat="false" ht="15" hidden="false" customHeight="false" outlineLevel="0" collapsed="false">
      <c r="A360" s="18" t="str">
        <f aca="false">IF(AND('SC Change Orders'!$A342="",'SC Change Orders'!$B342="",'SC Change Orders'!$C342=""),"",342)</f>
        <v/>
      </c>
      <c r="B360" s="31" t="str">
        <f aca="false">IF($A360="","",'SC Change Orders'!$A342)</f>
        <v/>
      </c>
      <c r="C360" s="18" t="str">
        <f aca="false">IF($A360="","",'SC Change Orders'!$B342)</f>
        <v/>
      </c>
      <c r="D360" s="32" t="str">
        <f aca="false">IF($A360="","",'SC Change Orders'!$C342)</f>
        <v/>
      </c>
      <c r="E360" s="31" t="str">
        <f aca="false">IF($A360="","",'SC Change Orders'!$D342)</f>
        <v/>
      </c>
      <c r="F360" s="33" t="str">
        <f aca="false">IF($A360="","",'SC Change Orders'!$E342)</f>
        <v/>
      </c>
      <c r="G360" s="33" t="str">
        <f aca="false">IF($A360="","",'SC Change Orders'!$F342)</f>
        <v/>
      </c>
      <c r="H360" s="33" t="str">
        <f aca="false">IF($A360="","",'SC Change Orders'!$G342)</f>
        <v/>
      </c>
      <c r="I360" s="34" t="str">
        <f aca="false">IF($A360="","",IF(AND(ISNUMBER('SC Change Orders'!$C342),'SC Change Orders'!$C342&gt;=Controls!$C$5,'SC Change Orders'!$C342&lt;=Controls!$C$6),"Yes","No"))</f>
        <v/>
      </c>
      <c r="J360" s="31" t="str">
        <f aca="false">IF($A360="","",IF($K360="","OK",$K360))</f>
        <v/>
      </c>
      <c r="K360" s="0" t="str">
        <f aca="false">IF($A360="","",IF(NOT(ISNUMBER('SC Change Orders'!$B342)),"PO not numeric — row is invisible to the tracker; ","")&amp;IF(NOT(ISNUMBER('SC Change Orders'!$C342)),"Date missing or text — row excluded; ",  IF(OR('SC Change Orders'!$C342&lt;Controls!$C$5,'SC Change Orders'!$C342&gt;Controls!$C$6),"Dated outside the FY window — excluded; ",""))&amp;IF(AND('SC Change Orders'!$E342&lt;&gt;"",NOT(ISNUMBER('SC Change Orders'!$E342))),"Original Amount held as text — ignored by MINIFS; ","")&amp;IF(AND('SC Change Orders'!$F342&lt;&gt;"",NOT(ISNUMBER('SC Change Orders'!$F342))),"Amount Added held as text — ignored by SUMIFS; ","")&amp;IF(ISNUMBER('SC Change Orders'!$E342),IF(ISNUMBER('SC Change Orders'!$F342),IF(ISNUMBER('SC Change Orders'!$G342),  IF('SC Change Orders'!$G342&gt;0,IF(ROUND('SC Change Orders'!$E342+'SC Change Orders'!$F342,2)&lt;&gt;ROUND('SC Change Orders'!$G342,2),  "Original + Added &lt;&gt; Total Line Cost Allotted; ",""),""),""),""),"")&amp;IF(AND(ISNUMBER('SC Change Orders'!$B342),COUNTIFS('SC Change Orders'!$B$2:$B$501,'SC Change Orders'!$B342,'SC Change Orders'!$C$2:$C$501,'SC Change Orders'!$C342,'SC Change Orders'!$D$2:$D$501,'SC Change Orders'!$D342,'SC Change Orders'!$F$2:$F$501,'SC Change Orders'!$F342,'SC Change Orders'!$E$2:$E$501,'SC Change Orders'!$E342)&gt;1),"Duplicate of another row — funds counted twice; ","")&amp;IF(ISNUMBER('SC Change Orders'!$F342),IF('SC Change Orders'!$F342&lt;&gt;0,IF(AND(ISNUMBER('SC Change Orders'!$B342),NOT(COUNTIFS('SC Change Orders'!$B$2:$B$501,'SC Change Orders'!$B342,'SC Change Orders'!$C$2:$C$501,'SC Change Orders'!$C342,'SC Change Orders'!$D$2:$D$501,'SC Change Orders'!$D342,'SC Change Orders'!$F$2:$F$501,'SC Change Orders'!$F342,'SC Change Orders'!$E$2:$E$501,'SC Change Orders'!$E342)&gt;1),COUNTIFS('SC Change Orders'!$B$2:$B$501,'SC Change Orders'!$B342,'SC Change Orders'!$F$2:$F$501,'SC Change Orders'!$F342)&gt;1),  "Same PO and Amount Added as another row — check for a restatement counted twice; ",""),""),""))</f>
        <v/>
      </c>
    </row>
    <row r="361" customFormat="false" ht="15" hidden="false" customHeight="false" outlineLevel="0" collapsed="false">
      <c r="A361" s="18" t="str">
        <f aca="false">IF(AND('SC Change Orders'!$A343="",'SC Change Orders'!$B343="",'SC Change Orders'!$C343=""),"",343)</f>
        <v/>
      </c>
      <c r="B361" s="31" t="str">
        <f aca="false">IF($A361="","",'SC Change Orders'!$A343)</f>
        <v/>
      </c>
      <c r="C361" s="18" t="str">
        <f aca="false">IF($A361="","",'SC Change Orders'!$B343)</f>
        <v/>
      </c>
      <c r="D361" s="32" t="str">
        <f aca="false">IF($A361="","",'SC Change Orders'!$C343)</f>
        <v/>
      </c>
      <c r="E361" s="31" t="str">
        <f aca="false">IF($A361="","",'SC Change Orders'!$D343)</f>
        <v/>
      </c>
      <c r="F361" s="33" t="str">
        <f aca="false">IF($A361="","",'SC Change Orders'!$E343)</f>
        <v/>
      </c>
      <c r="G361" s="33" t="str">
        <f aca="false">IF($A361="","",'SC Change Orders'!$F343)</f>
        <v/>
      </c>
      <c r="H361" s="33" t="str">
        <f aca="false">IF($A361="","",'SC Change Orders'!$G343)</f>
        <v/>
      </c>
      <c r="I361" s="34" t="str">
        <f aca="false">IF($A361="","",IF(AND(ISNUMBER('SC Change Orders'!$C343),'SC Change Orders'!$C343&gt;=Controls!$C$5,'SC Change Orders'!$C343&lt;=Controls!$C$6),"Yes","No"))</f>
        <v/>
      </c>
      <c r="J361" s="31" t="str">
        <f aca="false">IF($A361="","",IF($K361="","OK",$K361))</f>
        <v/>
      </c>
      <c r="K361" s="0" t="str">
        <f aca="false">IF($A361="","",IF(NOT(ISNUMBER('SC Change Orders'!$B343)),"PO not numeric — row is invisible to the tracker; ","")&amp;IF(NOT(ISNUMBER('SC Change Orders'!$C343)),"Date missing or text — row excluded; ",  IF(OR('SC Change Orders'!$C343&lt;Controls!$C$5,'SC Change Orders'!$C343&gt;Controls!$C$6),"Dated outside the FY window — excluded; ",""))&amp;IF(AND('SC Change Orders'!$E343&lt;&gt;"",NOT(ISNUMBER('SC Change Orders'!$E343))),"Original Amount held as text — ignored by MINIFS; ","")&amp;IF(AND('SC Change Orders'!$F343&lt;&gt;"",NOT(ISNUMBER('SC Change Orders'!$F343))),"Amount Added held as text — ignored by SUMIFS; ","")&amp;IF(ISNUMBER('SC Change Orders'!$E343),IF(ISNUMBER('SC Change Orders'!$F343),IF(ISNUMBER('SC Change Orders'!$G343),  IF('SC Change Orders'!$G343&gt;0,IF(ROUND('SC Change Orders'!$E343+'SC Change Orders'!$F343,2)&lt;&gt;ROUND('SC Change Orders'!$G343,2),  "Original + Added &lt;&gt; Total Line Cost Allotted; ",""),""),""),""),"")&amp;IF(AND(ISNUMBER('SC Change Orders'!$B343),COUNTIFS('SC Change Orders'!$B$2:$B$501,'SC Change Orders'!$B343,'SC Change Orders'!$C$2:$C$501,'SC Change Orders'!$C343,'SC Change Orders'!$D$2:$D$501,'SC Change Orders'!$D343,'SC Change Orders'!$F$2:$F$501,'SC Change Orders'!$F343,'SC Change Orders'!$E$2:$E$501,'SC Change Orders'!$E343)&gt;1),"Duplicate of another row — funds counted twice; ","")&amp;IF(ISNUMBER('SC Change Orders'!$F343),IF('SC Change Orders'!$F343&lt;&gt;0,IF(AND(ISNUMBER('SC Change Orders'!$B343),NOT(COUNTIFS('SC Change Orders'!$B$2:$B$501,'SC Change Orders'!$B343,'SC Change Orders'!$C$2:$C$501,'SC Change Orders'!$C343,'SC Change Orders'!$D$2:$D$501,'SC Change Orders'!$D343,'SC Change Orders'!$F$2:$F$501,'SC Change Orders'!$F343,'SC Change Orders'!$E$2:$E$501,'SC Change Orders'!$E343)&gt;1),COUNTIFS('SC Change Orders'!$B$2:$B$501,'SC Change Orders'!$B343,'SC Change Orders'!$F$2:$F$501,'SC Change Orders'!$F343)&gt;1),  "Same PO and Amount Added as another row — check for a restatement counted twice; ",""),""),""))</f>
        <v/>
      </c>
    </row>
    <row r="362" customFormat="false" ht="15" hidden="false" customHeight="false" outlineLevel="0" collapsed="false">
      <c r="A362" s="18" t="str">
        <f aca="false">IF(AND('SC Change Orders'!$A344="",'SC Change Orders'!$B344="",'SC Change Orders'!$C344=""),"",344)</f>
        <v/>
      </c>
      <c r="B362" s="31" t="str">
        <f aca="false">IF($A362="","",'SC Change Orders'!$A344)</f>
        <v/>
      </c>
      <c r="C362" s="18" t="str">
        <f aca="false">IF($A362="","",'SC Change Orders'!$B344)</f>
        <v/>
      </c>
      <c r="D362" s="32" t="str">
        <f aca="false">IF($A362="","",'SC Change Orders'!$C344)</f>
        <v/>
      </c>
      <c r="E362" s="31" t="str">
        <f aca="false">IF($A362="","",'SC Change Orders'!$D344)</f>
        <v/>
      </c>
      <c r="F362" s="33" t="str">
        <f aca="false">IF($A362="","",'SC Change Orders'!$E344)</f>
        <v/>
      </c>
      <c r="G362" s="33" t="str">
        <f aca="false">IF($A362="","",'SC Change Orders'!$F344)</f>
        <v/>
      </c>
      <c r="H362" s="33" t="str">
        <f aca="false">IF($A362="","",'SC Change Orders'!$G344)</f>
        <v/>
      </c>
      <c r="I362" s="34" t="str">
        <f aca="false">IF($A362="","",IF(AND(ISNUMBER('SC Change Orders'!$C344),'SC Change Orders'!$C344&gt;=Controls!$C$5,'SC Change Orders'!$C344&lt;=Controls!$C$6),"Yes","No"))</f>
        <v/>
      </c>
      <c r="J362" s="31" t="str">
        <f aca="false">IF($A362="","",IF($K362="","OK",$K362))</f>
        <v/>
      </c>
      <c r="K362" s="0" t="str">
        <f aca="false">IF($A362="","",IF(NOT(ISNUMBER('SC Change Orders'!$B344)),"PO not numeric — row is invisible to the tracker; ","")&amp;IF(NOT(ISNUMBER('SC Change Orders'!$C344)),"Date missing or text — row excluded; ",  IF(OR('SC Change Orders'!$C344&lt;Controls!$C$5,'SC Change Orders'!$C344&gt;Controls!$C$6),"Dated outside the FY window — excluded; ",""))&amp;IF(AND('SC Change Orders'!$E344&lt;&gt;"",NOT(ISNUMBER('SC Change Orders'!$E344))),"Original Amount held as text — ignored by MINIFS; ","")&amp;IF(AND('SC Change Orders'!$F344&lt;&gt;"",NOT(ISNUMBER('SC Change Orders'!$F344))),"Amount Added held as text — ignored by SUMIFS; ","")&amp;IF(ISNUMBER('SC Change Orders'!$E344),IF(ISNUMBER('SC Change Orders'!$F344),IF(ISNUMBER('SC Change Orders'!$G344),  IF('SC Change Orders'!$G344&gt;0,IF(ROUND('SC Change Orders'!$E344+'SC Change Orders'!$F344,2)&lt;&gt;ROUND('SC Change Orders'!$G344,2),  "Original + Added &lt;&gt; Total Line Cost Allotted; ",""),""),""),""),"")&amp;IF(AND(ISNUMBER('SC Change Orders'!$B344),COUNTIFS('SC Change Orders'!$B$2:$B$501,'SC Change Orders'!$B344,'SC Change Orders'!$C$2:$C$501,'SC Change Orders'!$C344,'SC Change Orders'!$D$2:$D$501,'SC Change Orders'!$D344,'SC Change Orders'!$F$2:$F$501,'SC Change Orders'!$F344,'SC Change Orders'!$E$2:$E$501,'SC Change Orders'!$E344)&gt;1),"Duplicate of another row — funds counted twice; ","")&amp;IF(ISNUMBER('SC Change Orders'!$F344),IF('SC Change Orders'!$F344&lt;&gt;0,IF(AND(ISNUMBER('SC Change Orders'!$B344),NOT(COUNTIFS('SC Change Orders'!$B$2:$B$501,'SC Change Orders'!$B344,'SC Change Orders'!$C$2:$C$501,'SC Change Orders'!$C344,'SC Change Orders'!$D$2:$D$501,'SC Change Orders'!$D344,'SC Change Orders'!$F$2:$F$501,'SC Change Orders'!$F344,'SC Change Orders'!$E$2:$E$501,'SC Change Orders'!$E344)&gt;1),COUNTIFS('SC Change Orders'!$B$2:$B$501,'SC Change Orders'!$B344,'SC Change Orders'!$F$2:$F$501,'SC Change Orders'!$F344)&gt;1),  "Same PO and Amount Added as another row — check for a restatement counted twice; ",""),""),""))</f>
        <v/>
      </c>
    </row>
    <row r="363" customFormat="false" ht="15" hidden="false" customHeight="false" outlineLevel="0" collapsed="false">
      <c r="A363" s="18" t="str">
        <f aca="false">IF(AND('SC Change Orders'!$A345="",'SC Change Orders'!$B345="",'SC Change Orders'!$C345=""),"",345)</f>
        <v/>
      </c>
      <c r="B363" s="31" t="str">
        <f aca="false">IF($A363="","",'SC Change Orders'!$A345)</f>
        <v/>
      </c>
      <c r="C363" s="18" t="str">
        <f aca="false">IF($A363="","",'SC Change Orders'!$B345)</f>
        <v/>
      </c>
      <c r="D363" s="32" t="str">
        <f aca="false">IF($A363="","",'SC Change Orders'!$C345)</f>
        <v/>
      </c>
      <c r="E363" s="31" t="str">
        <f aca="false">IF($A363="","",'SC Change Orders'!$D345)</f>
        <v/>
      </c>
      <c r="F363" s="33" t="str">
        <f aca="false">IF($A363="","",'SC Change Orders'!$E345)</f>
        <v/>
      </c>
      <c r="G363" s="33" t="str">
        <f aca="false">IF($A363="","",'SC Change Orders'!$F345)</f>
        <v/>
      </c>
      <c r="H363" s="33" t="str">
        <f aca="false">IF($A363="","",'SC Change Orders'!$G345)</f>
        <v/>
      </c>
      <c r="I363" s="34" t="str">
        <f aca="false">IF($A363="","",IF(AND(ISNUMBER('SC Change Orders'!$C345),'SC Change Orders'!$C345&gt;=Controls!$C$5,'SC Change Orders'!$C345&lt;=Controls!$C$6),"Yes","No"))</f>
        <v/>
      </c>
      <c r="J363" s="31" t="str">
        <f aca="false">IF($A363="","",IF($K363="","OK",$K363))</f>
        <v/>
      </c>
      <c r="K363" s="0" t="str">
        <f aca="false">IF($A363="","",IF(NOT(ISNUMBER('SC Change Orders'!$B345)),"PO not numeric — row is invisible to the tracker; ","")&amp;IF(NOT(ISNUMBER('SC Change Orders'!$C345)),"Date missing or text — row excluded; ",  IF(OR('SC Change Orders'!$C345&lt;Controls!$C$5,'SC Change Orders'!$C345&gt;Controls!$C$6),"Dated outside the FY window — excluded; ",""))&amp;IF(AND('SC Change Orders'!$E345&lt;&gt;"",NOT(ISNUMBER('SC Change Orders'!$E345))),"Original Amount held as text — ignored by MINIFS; ","")&amp;IF(AND('SC Change Orders'!$F345&lt;&gt;"",NOT(ISNUMBER('SC Change Orders'!$F345))),"Amount Added held as text — ignored by SUMIFS; ","")&amp;IF(ISNUMBER('SC Change Orders'!$E345),IF(ISNUMBER('SC Change Orders'!$F345),IF(ISNUMBER('SC Change Orders'!$G345),  IF('SC Change Orders'!$G345&gt;0,IF(ROUND('SC Change Orders'!$E345+'SC Change Orders'!$F345,2)&lt;&gt;ROUND('SC Change Orders'!$G345,2),  "Original + Added &lt;&gt; Total Line Cost Allotted; ",""),""),""),""),"")&amp;IF(AND(ISNUMBER('SC Change Orders'!$B345),COUNTIFS('SC Change Orders'!$B$2:$B$501,'SC Change Orders'!$B345,'SC Change Orders'!$C$2:$C$501,'SC Change Orders'!$C345,'SC Change Orders'!$D$2:$D$501,'SC Change Orders'!$D345,'SC Change Orders'!$F$2:$F$501,'SC Change Orders'!$F345,'SC Change Orders'!$E$2:$E$501,'SC Change Orders'!$E345)&gt;1),"Duplicate of another row — funds counted twice; ","")&amp;IF(ISNUMBER('SC Change Orders'!$F345),IF('SC Change Orders'!$F345&lt;&gt;0,IF(AND(ISNUMBER('SC Change Orders'!$B345),NOT(COUNTIFS('SC Change Orders'!$B$2:$B$501,'SC Change Orders'!$B345,'SC Change Orders'!$C$2:$C$501,'SC Change Orders'!$C345,'SC Change Orders'!$D$2:$D$501,'SC Change Orders'!$D345,'SC Change Orders'!$F$2:$F$501,'SC Change Orders'!$F345,'SC Change Orders'!$E$2:$E$501,'SC Change Orders'!$E345)&gt;1),COUNTIFS('SC Change Orders'!$B$2:$B$501,'SC Change Orders'!$B345,'SC Change Orders'!$F$2:$F$501,'SC Change Orders'!$F345)&gt;1),  "Same PO and Amount Added as another row — check for a restatement counted twice; ",""),""),""))</f>
        <v/>
      </c>
    </row>
    <row r="364" customFormat="false" ht="15" hidden="false" customHeight="false" outlineLevel="0" collapsed="false">
      <c r="A364" s="18" t="str">
        <f aca="false">IF(AND('SC Change Orders'!$A346="",'SC Change Orders'!$B346="",'SC Change Orders'!$C346=""),"",346)</f>
        <v/>
      </c>
      <c r="B364" s="31" t="str">
        <f aca="false">IF($A364="","",'SC Change Orders'!$A346)</f>
        <v/>
      </c>
      <c r="C364" s="18" t="str">
        <f aca="false">IF($A364="","",'SC Change Orders'!$B346)</f>
        <v/>
      </c>
      <c r="D364" s="32" t="str">
        <f aca="false">IF($A364="","",'SC Change Orders'!$C346)</f>
        <v/>
      </c>
      <c r="E364" s="31" t="str">
        <f aca="false">IF($A364="","",'SC Change Orders'!$D346)</f>
        <v/>
      </c>
      <c r="F364" s="33" t="str">
        <f aca="false">IF($A364="","",'SC Change Orders'!$E346)</f>
        <v/>
      </c>
      <c r="G364" s="33" t="str">
        <f aca="false">IF($A364="","",'SC Change Orders'!$F346)</f>
        <v/>
      </c>
      <c r="H364" s="33" t="str">
        <f aca="false">IF($A364="","",'SC Change Orders'!$G346)</f>
        <v/>
      </c>
      <c r="I364" s="34" t="str">
        <f aca="false">IF($A364="","",IF(AND(ISNUMBER('SC Change Orders'!$C346),'SC Change Orders'!$C346&gt;=Controls!$C$5,'SC Change Orders'!$C346&lt;=Controls!$C$6),"Yes","No"))</f>
        <v/>
      </c>
      <c r="J364" s="31" t="str">
        <f aca="false">IF($A364="","",IF($K364="","OK",$K364))</f>
        <v/>
      </c>
      <c r="K364" s="0" t="str">
        <f aca="false">IF($A364="","",IF(NOT(ISNUMBER('SC Change Orders'!$B346)),"PO not numeric — row is invisible to the tracker; ","")&amp;IF(NOT(ISNUMBER('SC Change Orders'!$C346)),"Date missing or text — row excluded; ",  IF(OR('SC Change Orders'!$C346&lt;Controls!$C$5,'SC Change Orders'!$C346&gt;Controls!$C$6),"Dated outside the FY window — excluded; ",""))&amp;IF(AND('SC Change Orders'!$E346&lt;&gt;"",NOT(ISNUMBER('SC Change Orders'!$E346))),"Original Amount held as text — ignored by MINIFS; ","")&amp;IF(AND('SC Change Orders'!$F346&lt;&gt;"",NOT(ISNUMBER('SC Change Orders'!$F346))),"Amount Added held as text — ignored by SUMIFS; ","")&amp;IF(ISNUMBER('SC Change Orders'!$E346),IF(ISNUMBER('SC Change Orders'!$F346),IF(ISNUMBER('SC Change Orders'!$G346),  IF('SC Change Orders'!$G346&gt;0,IF(ROUND('SC Change Orders'!$E346+'SC Change Orders'!$F346,2)&lt;&gt;ROUND('SC Change Orders'!$G346,2),  "Original + Added &lt;&gt; Total Line Cost Allotted; ",""),""),""),""),"")&amp;IF(AND(ISNUMBER('SC Change Orders'!$B346),COUNTIFS('SC Change Orders'!$B$2:$B$501,'SC Change Orders'!$B346,'SC Change Orders'!$C$2:$C$501,'SC Change Orders'!$C346,'SC Change Orders'!$D$2:$D$501,'SC Change Orders'!$D346,'SC Change Orders'!$F$2:$F$501,'SC Change Orders'!$F346,'SC Change Orders'!$E$2:$E$501,'SC Change Orders'!$E346)&gt;1),"Duplicate of another row — funds counted twice; ","")&amp;IF(ISNUMBER('SC Change Orders'!$F346),IF('SC Change Orders'!$F346&lt;&gt;0,IF(AND(ISNUMBER('SC Change Orders'!$B346),NOT(COUNTIFS('SC Change Orders'!$B$2:$B$501,'SC Change Orders'!$B346,'SC Change Orders'!$C$2:$C$501,'SC Change Orders'!$C346,'SC Change Orders'!$D$2:$D$501,'SC Change Orders'!$D346,'SC Change Orders'!$F$2:$F$501,'SC Change Orders'!$F346,'SC Change Orders'!$E$2:$E$501,'SC Change Orders'!$E346)&gt;1),COUNTIFS('SC Change Orders'!$B$2:$B$501,'SC Change Orders'!$B346,'SC Change Orders'!$F$2:$F$501,'SC Change Orders'!$F346)&gt;1),  "Same PO and Amount Added as another row — check for a restatement counted twice; ",""),""),""))</f>
        <v/>
      </c>
    </row>
    <row r="365" customFormat="false" ht="15" hidden="false" customHeight="false" outlineLevel="0" collapsed="false">
      <c r="A365" s="18" t="str">
        <f aca="false">IF(AND('SC Change Orders'!$A347="",'SC Change Orders'!$B347="",'SC Change Orders'!$C347=""),"",347)</f>
        <v/>
      </c>
      <c r="B365" s="31" t="str">
        <f aca="false">IF($A365="","",'SC Change Orders'!$A347)</f>
        <v/>
      </c>
      <c r="C365" s="18" t="str">
        <f aca="false">IF($A365="","",'SC Change Orders'!$B347)</f>
        <v/>
      </c>
      <c r="D365" s="32" t="str">
        <f aca="false">IF($A365="","",'SC Change Orders'!$C347)</f>
        <v/>
      </c>
      <c r="E365" s="31" t="str">
        <f aca="false">IF($A365="","",'SC Change Orders'!$D347)</f>
        <v/>
      </c>
      <c r="F365" s="33" t="str">
        <f aca="false">IF($A365="","",'SC Change Orders'!$E347)</f>
        <v/>
      </c>
      <c r="G365" s="33" t="str">
        <f aca="false">IF($A365="","",'SC Change Orders'!$F347)</f>
        <v/>
      </c>
      <c r="H365" s="33" t="str">
        <f aca="false">IF($A365="","",'SC Change Orders'!$G347)</f>
        <v/>
      </c>
      <c r="I365" s="34" t="str">
        <f aca="false">IF($A365="","",IF(AND(ISNUMBER('SC Change Orders'!$C347),'SC Change Orders'!$C347&gt;=Controls!$C$5,'SC Change Orders'!$C347&lt;=Controls!$C$6),"Yes","No"))</f>
        <v/>
      </c>
      <c r="J365" s="31" t="str">
        <f aca="false">IF($A365="","",IF($K365="","OK",$K365))</f>
        <v/>
      </c>
      <c r="K365" s="0" t="str">
        <f aca="false">IF($A365="","",IF(NOT(ISNUMBER('SC Change Orders'!$B347)),"PO not numeric — row is invisible to the tracker; ","")&amp;IF(NOT(ISNUMBER('SC Change Orders'!$C347)),"Date missing or text — row excluded; ",  IF(OR('SC Change Orders'!$C347&lt;Controls!$C$5,'SC Change Orders'!$C347&gt;Controls!$C$6),"Dated outside the FY window — excluded; ",""))&amp;IF(AND('SC Change Orders'!$E347&lt;&gt;"",NOT(ISNUMBER('SC Change Orders'!$E347))),"Original Amount held as text — ignored by MINIFS; ","")&amp;IF(AND('SC Change Orders'!$F347&lt;&gt;"",NOT(ISNUMBER('SC Change Orders'!$F347))),"Amount Added held as text — ignored by SUMIFS; ","")&amp;IF(ISNUMBER('SC Change Orders'!$E347),IF(ISNUMBER('SC Change Orders'!$F347),IF(ISNUMBER('SC Change Orders'!$G347),  IF('SC Change Orders'!$G347&gt;0,IF(ROUND('SC Change Orders'!$E347+'SC Change Orders'!$F347,2)&lt;&gt;ROUND('SC Change Orders'!$G347,2),  "Original + Added &lt;&gt; Total Line Cost Allotted; ",""),""),""),""),"")&amp;IF(AND(ISNUMBER('SC Change Orders'!$B347),COUNTIFS('SC Change Orders'!$B$2:$B$501,'SC Change Orders'!$B347,'SC Change Orders'!$C$2:$C$501,'SC Change Orders'!$C347,'SC Change Orders'!$D$2:$D$501,'SC Change Orders'!$D347,'SC Change Orders'!$F$2:$F$501,'SC Change Orders'!$F347,'SC Change Orders'!$E$2:$E$501,'SC Change Orders'!$E347)&gt;1),"Duplicate of another row — funds counted twice; ","")&amp;IF(ISNUMBER('SC Change Orders'!$F347),IF('SC Change Orders'!$F347&lt;&gt;0,IF(AND(ISNUMBER('SC Change Orders'!$B347),NOT(COUNTIFS('SC Change Orders'!$B$2:$B$501,'SC Change Orders'!$B347,'SC Change Orders'!$C$2:$C$501,'SC Change Orders'!$C347,'SC Change Orders'!$D$2:$D$501,'SC Change Orders'!$D347,'SC Change Orders'!$F$2:$F$501,'SC Change Orders'!$F347,'SC Change Orders'!$E$2:$E$501,'SC Change Orders'!$E347)&gt;1),COUNTIFS('SC Change Orders'!$B$2:$B$501,'SC Change Orders'!$B347,'SC Change Orders'!$F$2:$F$501,'SC Change Orders'!$F347)&gt;1),  "Same PO and Amount Added as another row — check for a restatement counted twice; ",""),""),""))</f>
        <v/>
      </c>
    </row>
    <row r="366" customFormat="false" ht="15" hidden="false" customHeight="false" outlineLevel="0" collapsed="false">
      <c r="A366" s="18" t="str">
        <f aca="false">IF(AND('SC Change Orders'!$A348="",'SC Change Orders'!$B348="",'SC Change Orders'!$C348=""),"",348)</f>
        <v/>
      </c>
      <c r="B366" s="31" t="str">
        <f aca="false">IF($A366="","",'SC Change Orders'!$A348)</f>
        <v/>
      </c>
      <c r="C366" s="18" t="str">
        <f aca="false">IF($A366="","",'SC Change Orders'!$B348)</f>
        <v/>
      </c>
      <c r="D366" s="32" t="str">
        <f aca="false">IF($A366="","",'SC Change Orders'!$C348)</f>
        <v/>
      </c>
      <c r="E366" s="31" t="str">
        <f aca="false">IF($A366="","",'SC Change Orders'!$D348)</f>
        <v/>
      </c>
      <c r="F366" s="33" t="str">
        <f aca="false">IF($A366="","",'SC Change Orders'!$E348)</f>
        <v/>
      </c>
      <c r="G366" s="33" t="str">
        <f aca="false">IF($A366="","",'SC Change Orders'!$F348)</f>
        <v/>
      </c>
      <c r="H366" s="33" t="str">
        <f aca="false">IF($A366="","",'SC Change Orders'!$G348)</f>
        <v/>
      </c>
      <c r="I366" s="34" t="str">
        <f aca="false">IF($A366="","",IF(AND(ISNUMBER('SC Change Orders'!$C348),'SC Change Orders'!$C348&gt;=Controls!$C$5,'SC Change Orders'!$C348&lt;=Controls!$C$6),"Yes","No"))</f>
        <v/>
      </c>
      <c r="J366" s="31" t="str">
        <f aca="false">IF($A366="","",IF($K366="","OK",$K366))</f>
        <v/>
      </c>
      <c r="K366" s="0" t="str">
        <f aca="false">IF($A366="","",IF(NOT(ISNUMBER('SC Change Orders'!$B348)),"PO not numeric — row is invisible to the tracker; ","")&amp;IF(NOT(ISNUMBER('SC Change Orders'!$C348)),"Date missing or text — row excluded; ",  IF(OR('SC Change Orders'!$C348&lt;Controls!$C$5,'SC Change Orders'!$C348&gt;Controls!$C$6),"Dated outside the FY window — excluded; ",""))&amp;IF(AND('SC Change Orders'!$E348&lt;&gt;"",NOT(ISNUMBER('SC Change Orders'!$E348))),"Original Amount held as text — ignored by MINIFS; ","")&amp;IF(AND('SC Change Orders'!$F348&lt;&gt;"",NOT(ISNUMBER('SC Change Orders'!$F348))),"Amount Added held as text — ignored by SUMIFS; ","")&amp;IF(ISNUMBER('SC Change Orders'!$E348),IF(ISNUMBER('SC Change Orders'!$F348),IF(ISNUMBER('SC Change Orders'!$G348),  IF('SC Change Orders'!$G348&gt;0,IF(ROUND('SC Change Orders'!$E348+'SC Change Orders'!$F348,2)&lt;&gt;ROUND('SC Change Orders'!$G348,2),  "Original + Added &lt;&gt; Total Line Cost Allotted; ",""),""),""),""),"")&amp;IF(AND(ISNUMBER('SC Change Orders'!$B348),COUNTIFS('SC Change Orders'!$B$2:$B$501,'SC Change Orders'!$B348,'SC Change Orders'!$C$2:$C$501,'SC Change Orders'!$C348,'SC Change Orders'!$D$2:$D$501,'SC Change Orders'!$D348,'SC Change Orders'!$F$2:$F$501,'SC Change Orders'!$F348,'SC Change Orders'!$E$2:$E$501,'SC Change Orders'!$E348)&gt;1),"Duplicate of another row — funds counted twice; ","")&amp;IF(ISNUMBER('SC Change Orders'!$F348),IF('SC Change Orders'!$F348&lt;&gt;0,IF(AND(ISNUMBER('SC Change Orders'!$B348),NOT(COUNTIFS('SC Change Orders'!$B$2:$B$501,'SC Change Orders'!$B348,'SC Change Orders'!$C$2:$C$501,'SC Change Orders'!$C348,'SC Change Orders'!$D$2:$D$501,'SC Change Orders'!$D348,'SC Change Orders'!$F$2:$F$501,'SC Change Orders'!$F348,'SC Change Orders'!$E$2:$E$501,'SC Change Orders'!$E348)&gt;1),COUNTIFS('SC Change Orders'!$B$2:$B$501,'SC Change Orders'!$B348,'SC Change Orders'!$F$2:$F$501,'SC Change Orders'!$F348)&gt;1),  "Same PO and Amount Added as another row — check for a restatement counted twice; ",""),""),""))</f>
        <v/>
      </c>
    </row>
    <row r="367" customFormat="false" ht="15" hidden="false" customHeight="false" outlineLevel="0" collapsed="false">
      <c r="A367" s="18" t="str">
        <f aca="false">IF(AND('SC Change Orders'!$A349="",'SC Change Orders'!$B349="",'SC Change Orders'!$C349=""),"",349)</f>
        <v/>
      </c>
      <c r="B367" s="31" t="str">
        <f aca="false">IF($A367="","",'SC Change Orders'!$A349)</f>
        <v/>
      </c>
      <c r="C367" s="18" t="str">
        <f aca="false">IF($A367="","",'SC Change Orders'!$B349)</f>
        <v/>
      </c>
      <c r="D367" s="32" t="str">
        <f aca="false">IF($A367="","",'SC Change Orders'!$C349)</f>
        <v/>
      </c>
      <c r="E367" s="31" t="str">
        <f aca="false">IF($A367="","",'SC Change Orders'!$D349)</f>
        <v/>
      </c>
      <c r="F367" s="33" t="str">
        <f aca="false">IF($A367="","",'SC Change Orders'!$E349)</f>
        <v/>
      </c>
      <c r="G367" s="33" t="str">
        <f aca="false">IF($A367="","",'SC Change Orders'!$F349)</f>
        <v/>
      </c>
      <c r="H367" s="33" t="str">
        <f aca="false">IF($A367="","",'SC Change Orders'!$G349)</f>
        <v/>
      </c>
      <c r="I367" s="34" t="str">
        <f aca="false">IF($A367="","",IF(AND(ISNUMBER('SC Change Orders'!$C349),'SC Change Orders'!$C349&gt;=Controls!$C$5,'SC Change Orders'!$C349&lt;=Controls!$C$6),"Yes","No"))</f>
        <v/>
      </c>
      <c r="J367" s="31" t="str">
        <f aca="false">IF($A367="","",IF($K367="","OK",$K367))</f>
        <v/>
      </c>
      <c r="K367" s="0" t="str">
        <f aca="false">IF($A367="","",IF(NOT(ISNUMBER('SC Change Orders'!$B349)),"PO not numeric — row is invisible to the tracker; ","")&amp;IF(NOT(ISNUMBER('SC Change Orders'!$C349)),"Date missing or text — row excluded; ",  IF(OR('SC Change Orders'!$C349&lt;Controls!$C$5,'SC Change Orders'!$C349&gt;Controls!$C$6),"Dated outside the FY window — excluded; ",""))&amp;IF(AND('SC Change Orders'!$E349&lt;&gt;"",NOT(ISNUMBER('SC Change Orders'!$E349))),"Original Amount held as text — ignored by MINIFS; ","")&amp;IF(AND('SC Change Orders'!$F349&lt;&gt;"",NOT(ISNUMBER('SC Change Orders'!$F349))),"Amount Added held as text — ignored by SUMIFS; ","")&amp;IF(ISNUMBER('SC Change Orders'!$E349),IF(ISNUMBER('SC Change Orders'!$F349),IF(ISNUMBER('SC Change Orders'!$G349),  IF('SC Change Orders'!$G349&gt;0,IF(ROUND('SC Change Orders'!$E349+'SC Change Orders'!$F349,2)&lt;&gt;ROUND('SC Change Orders'!$G349,2),  "Original + Added &lt;&gt; Total Line Cost Allotted; ",""),""),""),""),"")&amp;IF(AND(ISNUMBER('SC Change Orders'!$B349),COUNTIFS('SC Change Orders'!$B$2:$B$501,'SC Change Orders'!$B349,'SC Change Orders'!$C$2:$C$501,'SC Change Orders'!$C349,'SC Change Orders'!$D$2:$D$501,'SC Change Orders'!$D349,'SC Change Orders'!$F$2:$F$501,'SC Change Orders'!$F349,'SC Change Orders'!$E$2:$E$501,'SC Change Orders'!$E349)&gt;1),"Duplicate of another row — funds counted twice; ","")&amp;IF(ISNUMBER('SC Change Orders'!$F349),IF('SC Change Orders'!$F349&lt;&gt;0,IF(AND(ISNUMBER('SC Change Orders'!$B349),NOT(COUNTIFS('SC Change Orders'!$B$2:$B$501,'SC Change Orders'!$B349,'SC Change Orders'!$C$2:$C$501,'SC Change Orders'!$C349,'SC Change Orders'!$D$2:$D$501,'SC Change Orders'!$D349,'SC Change Orders'!$F$2:$F$501,'SC Change Orders'!$F349,'SC Change Orders'!$E$2:$E$501,'SC Change Orders'!$E349)&gt;1),COUNTIFS('SC Change Orders'!$B$2:$B$501,'SC Change Orders'!$B349,'SC Change Orders'!$F$2:$F$501,'SC Change Orders'!$F349)&gt;1),  "Same PO and Amount Added as another row — check for a restatement counted twice; ",""),""),""))</f>
        <v/>
      </c>
    </row>
    <row r="368" customFormat="false" ht="15" hidden="false" customHeight="false" outlineLevel="0" collapsed="false">
      <c r="A368" s="18" t="str">
        <f aca="false">IF(AND('SC Change Orders'!$A350="",'SC Change Orders'!$B350="",'SC Change Orders'!$C350=""),"",350)</f>
        <v/>
      </c>
      <c r="B368" s="31" t="str">
        <f aca="false">IF($A368="","",'SC Change Orders'!$A350)</f>
        <v/>
      </c>
      <c r="C368" s="18" t="str">
        <f aca="false">IF($A368="","",'SC Change Orders'!$B350)</f>
        <v/>
      </c>
      <c r="D368" s="32" t="str">
        <f aca="false">IF($A368="","",'SC Change Orders'!$C350)</f>
        <v/>
      </c>
      <c r="E368" s="31" t="str">
        <f aca="false">IF($A368="","",'SC Change Orders'!$D350)</f>
        <v/>
      </c>
      <c r="F368" s="33" t="str">
        <f aca="false">IF($A368="","",'SC Change Orders'!$E350)</f>
        <v/>
      </c>
      <c r="G368" s="33" t="str">
        <f aca="false">IF($A368="","",'SC Change Orders'!$F350)</f>
        <v/>
      </c>
      <c r="H368" s="33" t="str">
        <f aca="false">IF($A368="","",'SC Change Orders'!$G350)</f>
        <v/>
      </c>
      <c r="I368" s="34" t="str">
        <f aca="false">IF($A368="","",IF(AND(ISNUMBER('SC Change Orders'!$C350),'SC Change Orders'!$C350&gt;=Controls!$C$5,'SC Change Orders'!$C350&lt;=Controls!$C$6),"Yes","No"))</f>
        <v/>
      </c>
      <c r="J368" s="31" t="str">
        <f aca="false">IF($A368="","",IF($K368="","OK",$K368))</f>
        <v/>
      </c>
      <c r="K368" s="0" t="str">
        <f aca="false">IF($A368="","",IF(NOT(ISNUMBER('SC Change Orders'!$B350)),"PO not numeric — row is invisible to the tracker; ","")&amp;IF(NOT(ISNUMBER('SC Change Orders'!$C350)),"Date missing or text — row excluded; ",  IF(OR('SC Change Orders'!$C350&lt;Controls!$C$5,'SC Change Orders'!$C350&gt;Controls!$C$6),"Dated outside the FY window — excluded; ",""))&amp;IF(AND('SC Change Orders'!$E350&lt;&gt;"",NOT(ISNUMBER('SC Change Orders'!$E350))),"Original Amount held as text — ignored by MINIFS; ","")&amp;IF(AND('SC Change Orders'!$F350&lt;&gt;"",NOT(ISNUMBER('SC Change Orders'!$F350))),"Amount Added held as text — ignored by SUMIFS; ","")&amp;IF(ISNUMBER('SC Change Orders'!$E350),IF(ISNUMBER('SC Change Orders'!$F350),IF(ISNUMBER('SC Change Orders'!$G350),  IF('SC Change Orders'!$G350&gt;0,IF(ROUND('SC Change Orders'!$E350+'SC Change Orders'!$F350,2)&lt;&gt;ROUND('SC Change Orders'!$G350,2),  "Original + Added &lt;&gt; Total Line Cost Allotted; ",""),""),""),""),"")&amp;IF(AND(ISNUMBER('SC Change Orders'!$B350),COUNTIFS('SC Change Orders'!$B$2:$B$501,'SC Change Orders'!$B350,'SC Change Orders'!$C$2:$C$501,'SC Change Orders'!$C350,'SC Change Orders'!$D$2:$D$501,'SC Change Orders'!$D350,'SC Change Orders'!$F$2:$F$501,'SC Change Orders'!$F350,'SC Change Orders'!$E$2:$E$501,'SC Change Orders'!$E350)&gt;1),"Duplicate of another row — funds counted twice; ","")&amp;IF(ISNUMBER('SC Change Orders'!$F350),IF('SC Change Orders'!$F350&lt;&gt;0,IF(AND(ISNUMBER('SC Change Orders'!$B350),NOT(COUNTIFS('SC Change Orders'!$B$2:$B$501,'SC Change Orders'!$B350,'SC Change Orders'!$C$2:$C$501,'SC Change Orders'!$C350,'SC Change Orders'!$D$2:$D$501,'SC Change Orders'!$D350,'SC Change Orders'!$F$2:$F$501,'SC Change Orders'!$F350,'SC Change Orders'!$E$2:$E$501,'SC Change Orders'!$E350)&gt;1),COUNTIFS('SC Change Orders'!$B$2:$B$501,'SC Change Orders'!$B350,'SC Change Orders'!$F$2:$F$501,'SC Change Orders'!$F350)&gt;1),  "Same PO and Amount Added as another row — check for a restatement counted twice; ",""),""),""))</f>
        <v/>
      </c>
    </row>
    <row r="369" customFormat="false" ht="15" hidden="false" customHeight="false" outlineLevel="0" collapsed="false">
      <c r="A369" s="18" t="str">
        <f aca="false">IF(AND('SC Change Orders'!$A351="",'SC Change Orders'!$B351="",'SC Change Orders'!$C351=""),"",351)</f>
        <v/>
      </c>
      <c r="B369" s="31" t="str">
        <f aca="false">IF($A369="","",'SC Change Orders'!$A351)</f>
        <v/>
      </c>
      <c r="C369" s="18" t="str">
        <f aca="false">IF($A369="","",'SC Change Orders'!$B351)</f>
        <v/>
      </c>
      <c r="D369" s="32" t="str">
        <f aca="false">IF($A369="","",'SC Change Orders'!$C351)</f>
        <v/>
      </c>
      <c r="E369" s="31" t="str">
        <f aca="false">IF($A369="","",'SC Change Orders'!$D351)</f>
        <v/>
      </c>
      <c r="F369" s="33" t="str">
        <f aca="false">IF($A369="","",'SC Change Orders'!$E351)</f>
        <v/>
      </c>
      <c r="G369" s="33" t="str">
        <f aca="false">IF($A369="","",'SC Change Orders'!$F351)</f>
        <v/>
      </c>
      <c r="H369" s="33" t="str">
        <f aca="false">IF($A369="","",'SC Change Orders'!$G351)</f>
        <v/>
      </c>
      <c r="I369" s="34" t="str">
        <f aca="false">IF($A369="","",IF(AND(ISNUMBER('SC Change Orders'!$C351),'SC Change Orders'!$C351&gt;=Controls!$C$5,'SC Change Orders'!$C351&lt;=Controls!$C$6),"Yes","No"))</f>
        <v/>
      </c>
      <c r="J369" s="31" t="str">
        <f aca="false">IF($A369="","",IF($K369="","OK",$K369))</f>
        <v/>
      </c>
      <c r="K369" s="0" t="str">
        <f aca="false">IF($A369="","",IF(NOT(ISNUMBER('SC Change Orders'!$B351)),"PO not numeric — row is invisible to the tracker; ","")&amp;IF(NOT(ISNUMBER('SC Change Orders'!$C351)),"Date missing or text — row excluded; ",  IF(OR('SC Change Orders'!$C351&lt;Controls!$C$5,'SC Change Orders'!$C351&gt;Controls!$C$6),"Dated outside the FY window — excluded; ",""))&amp;IF(AND('SC Change Orders'!$E351&lt;&gt;"",NOT(ISNUMBER('SC Change Orders'!$E351))),"Original Amount held as text — ignored by MINIFS; ","")&amp;IF(AND('SC Change Orders'!$F351&lt;&gt;"",NOT(ISNUMBER('SC Change Orders'!$F351))),"Amount Added held as text — ignored by SUMIFS; ","")&amp;IF(ISNUMBER('SC Change Orders'!$E351),IF(ISNUMBER('SC Change Orders'!$F351),IF(ISNUMBER('SC Change Orders'!$G351),  IF('SC Change Orders'!$G351&gt;0,IF(ROUND('SC Change Orders'!$E351+'SC Change Orders'!$F351,2)&lt;&gt;ROUND('SC Change Orders'!$G351,2),  "Original + Added &lt;&gt; Total Line Cost Allotted; ",""),""),""),""),"")&amp;IF(AND(ISNUMBER('SC Change Orders'!$B351),COUNTIFS('SC Change Orders'!$B$2:$B$501,'SC Change Orders'!$B351,'SC Change Orders'!$C$2:$C$501,'SC Change Orders'!$C351,'SC Change Orders'!$D$2:$D$501,'SC Change Orders'!$D351,'SC Change Orders'!$F$2:$F$501,'SC Change Orders'!$F351,'SC Change Orders'!$E$2:$E$501,'SC Change Orders'!$E351)&gt;1),"Duplicate of another row — funds counted twice; ","")&amp;IF(ISNUMBER('SC Change Orders'!$F351),IF('SC Change Orders'!$F351&lt;&gt;0,IF(AND(ISNUMBER('SC Change Orders'!$B351),NOT(COUNTIFS('SC Change Orders'!$B$2:$B$501,'SC Change Orders'!$B351,'SC Change Orders'!$C$2:$C$501,'SC Change Orders'!$C351,'SC Change Orders'!$D$2:$D$501,'SC Change Orders'!$D351,'SC Change Orders'!$F$2:$F$501,'SC Change Orders'!$F351,'SC Change Orders'!$E$2:$E$501,'SC Change Orders'!$E351)&gt;1),COUNTIFS('SC Change Orders'!$B$2:$B$501,'SC Change Orders'!$B351,'SC Change Orders'!$F$2:$F$501,'SC Change Orders'!$F351)&gt;1),  "Same PO and Amount Added as another row — check for a restatement counted twice; ",""),""),""))</f>
        <v/>
      </c>
    </row>
    <row r="370" customFormat="false" ht="15" hidden="false" customHeight="false" outlineLevel="0" collapsed="false">
      <c r="A370" s="18" t="str">
        <f aca="false">IF(AND('SC Change Orders'!$A352="",'SC Change Orders'!$B352="",'SC Change Orders'!$C352=""),"",352)</f>
        <v/>
      </c>
      <c r="B370" s="31" t="str">
        <f aca="false">IF($A370="","",'SC Change Orders'!$A352)</f>
        <v/>
      </c>
      <c r="C370" s="18" t="str">
        <f aca="false">IF($A370="","",'SC Change Orders'!$B352)</f>
        <v/>
      </c>
      <c r="D370" s="32" t="str">
        <f aca="false">IF($A370="","",'SC Change Orders'!$C352)</f>
        <v/>
      </c>
      <c r="E370" s="31" t="str">
        <f aca="false">IF($A370="","",'SC Change Orders'!$D352)</f>
        <v/>
      </c>
      <c r="F370" s="33" t="str">
        <f aca="false">IF($A370="","",'SC Change Orders'!$E352)</f>
        <v/>
      </c>
      <c r="G370" s="33" t="str">
        <f aca="false">IF($A370="","",'SC Change Orders'!$F352)</f>
        <v/>
      </c>
      <c r="H370" s="33" t="str">
        <f aca="false">IF($A370="","",'SC Change Orders'!$G352)</f>
        <v/>
      </c>
      <c r="I370" s="34" t="str">
        <f aca="false">IF($A370="","",IF(AND(ISNUMBER('SC Change Orders'!$C352),'SC Change Orders'!$C352&gt;=Controls!$C$5,'SC Change Orders'!$C352&lt;=Controls!$C$6),"Yes","No"))</f>
        <v/>
      </c>
      <c r="J370" s="31" t="str">
        <f aca="false">IF($A370="","",IF($K370="","OK",$K370))</f>
        <v/>
      </c>
      <c r="K370" s="0" t="str">
        <f aca="false">IF($A370="","",IF(NOT(ISNUMBER('SC Change Orders'!$B352)),"PO not numeric — row is invisible to the tracker; ","")&amp;IF(NOT(ISNUMBER('SC Change Orders'!$C352)),"Date missing or text — row excluded; ",  IF(OR('SC Change Orders'!$C352&lt;Controls!$C$5,'SC Change Orders'!$C352&gt;Controls!$C$6),"Dated outside the FY window — excluded; ",""))&amp;IF(AND('SC Change Orders'!$E352&lt;&gt;"",NOT(ISNUMBER('SC Change Orders'!$E352))),"Original Amount held as text — ignored by MINIFS; ","")&amp;IF(AND('SC Change Orders'!$F352&lt;&gt;"",NOT(ISNUMBER('SC Change Orders'!$F352))),"Amount Added held as text — ignored by SUMIFS; ","")&amp;IF(ISNUMBER('SC Change Orders'!$E352),IF(ISNUMBER('SC Change Orders'!$F352),IF(ISNUMBER('SC Change Orders'!$G352),  IF('SC Change Orders'!$G352&gt;0,IF(ROUND('SC Change Orders'!$E352+'SC Change Orders'!$F352,2)&lt;&gt;ROUND('SC Change Orders'!$G352,2),  "Original + Added &lt;&gt; Total Line Cost Allotted; ",""),""),""),""),"")&amp;IF(AND(ISNUMBER('SC Change Orders'!$B352),COUNTIFS('SC Change Orders'!$B$2:$B$501,'SC Change Orders'!$B352,'SC Change Orders'!$C$2:$C$501,'SC Change Orders'!$C352,'SC Change Orders'!$D$2:$D$501,'SC Change Orders'!$D352,'SC Change Orders'!$F$2:$F$501,'SC Change Orders'!$F352,'SC Change Orders'!$E$2:$E$501,'SC Change Orders'!$E352)&gt;1),"Duplicate of another row — funds counted twice; ","")&amp;IF(ISNUMBER('SC Change Orders'!$F352),IF('SC Change Orders'!$F352&lt;&gt;0,IF(AND(ISNUMBER('SC Change Orders'!$B352),NOT(COUNTIFS('SC Change Orders'!$B$2:$B$501,'SC Change Orders'!$B352,'SC Change Orders'!$C$2:$C$501,'SC Change Orders'!$C352,'SC Change Orders'!$D$2:$D$501,'SC Change Orders'!$D352,'SC Change Orders'!$F$2:$F$501,'SC Change Orders'!$F352,'SC Change Orders'!$E$2:$E$501,'SC Change Orders'!$E352)&gt;1),COUNTIFS('SC Change Orders'!$B$2:$B$501,'SC Change Orders'!$B352,'SC Change Orders'!$F$2:$F$501,'SC Change Orders'!$F352)&gt;1),  "Same PO and Amount Added as another row — check for a restatement counted twice; ",""),""),""))</f>
        <v/>
      </c>
    </row>
    <row r="371" customFormat="false" ht="15" hidden="false" customHeight="false" outlineLevel="0" collapsed="false">
      <c r="A371" s="18" t="str">
        <f aca="false">IF(AND('SC Change Orders'!$A353="",'SC Change Orders'!$B353="",'SC Change Orders'!$C353=""),"",353)</f>
        <v/>
      </c>
      <c r="B371" s="31" t="str">
        <f aca="false">IF($A371="","",'SC Change Orders'!$A353)</f>
        <v/>
      </c>
      <c r="C371" s="18" t="str">
        <f aca="false">IF($A371="","",'SC Change Orders'!$B353)</f>
        <v/>
      </c>
      <c r="D371" s="32" t="str">
        <f aca="false">IF($A371="","",'SC Change Orders'!$C353)</f>
        <v/>
      </c>
      <c r="E371" s="31" t="str">
        <f aca="false">IF($A371="","",'SC Change Orders'!$D353)</f>
        <v/>
      </c>
      <c r="F371" s="33" t="str">
        <f aca="false">IF($A371="","",'SC Change Orders'!$E353)</f>
        <v/>
      </c>
      <c r="G371" s="33" t="str">
        <f aca="false">IF($A371="","",'SC Change Orders'!$F353)</f>
        <v/>
      </c>
      <c r="H371" s="33" t="str">
        <f aca="false">IF($A371="","",'SC Change Orders'!$G353)</f>
        <v/>
      </c>
      <c r="I371" s="34" t="str">
        <f aca="false">IF($A371="","",IF(AND(ISNUMBER('SC Change Orders'!$C353),'SC Change Orders'!$C353&gt;=Controls!$C$5,'SC Change Orders'!$C353&lt;=Controls!$C$6),"Yes","No"))</f>
        <v/>
      </c>
      <c r="J371" s="31" t="str">
        <f aca="false">IF($A371="","",IF($K371="","OK",$K371))</f>
        <v/>
      </c>
      <c r="K371" s="0" t="str">
        <f aca="false">IF($A371="","",IF(NOT(ISNUMBER('SC Change Orders'!$B353)),"PO not numeric — row is invisible to the tracker; ","")&amp;IF(NOT(ISNUMBER('SC Change Orders'!$C353)),"Date missing or text — row excluded; ",  IF(OR('SC Change Orders'!$C353&lt;Controls!$C$5,'SC Change Orders'!$C353&gt;Controls!$C$6),"Dated outside the FY window — excluded; ",""))&amp;IF(AND('SC Change Orders'!$E353&lt;&gt;"",NOT(ISNUMBER('SC Change Orders'!$E353))),"Original Amount held as text — ignored by MINIFS; ","")&amp;IF(AND('SC Change Orders'!$F353&lt;&gt;"",NOT(ISNUMBER('SC Change Orders'!$F353))),"Amount Added held as text — ignored by SUMIFS; ","")&amp;IF(ISNUMBER('SC Change Orders'!$E353),IF(ISNUMBER('SC Change Orders'!$F353),IF(ISNUMBER('SC Change Orders'!$G353),  IF('SC Change Orders'!$G353&gt;0,IF(ROUND('SC Change Orders'!$E353+'SC Change Orders'!$F353,2)&lt;&gt;ROUND('SC Change Orders'!$G353,2),  "Original + Added &lt;&gt; Total Line Cost Allotted; ",""),""),""),""),"")&amp;IF(AND(ISNUMBER('SC Change Orders'!$B353),COUNTIFS('SC Change Orders'!$B$2:$B$501,'SC Change Orders'!$B353,'SC Change Orders'!$C$2:$C$501,'SC Change Orders'!$C353,'SC Change Orders'!$D$2:$D$501,'SC Change Orders'!$D353,'SC Change Orders'!$F$2:$F$501,'SC Change Orders'!$F353,'SC Change Orders'!$E$2:$E$501,'SC Change Orders'!$E353)&gt;1),"Duplicate of another row — funds counted twice; ","")&amp;IF(ISNUMBER('SC Change Orders'!$F353),IF('SC Change Orders'!$F353&lt;&gt;0,IF(AND(ISNUMBER('SC Change Orders'!$B353),NOT(COUNTIFS('SC Change Orders'!$B$2:$B$501,'SC Change Orders'!$B353,'SC Change Orders'!$C$2:$C$501,'SC Change Orders'!$C353,'SC Change Orders'!$D$2:$D$501,'SC Change Orders'!$D353,'SC Change Orders'!$F$2:$F$501,'SC Change Orders'!$F353,'SC Change Orders'!$E$2:$E$501,'SC Change Orders'!$E353)&gt;1),COUNTIFS('SC Change Orders'!$B$2:$B$501,'SC Change Orders'!$B353,'SC Change Orders'!$F$2:$F$501,'SC Change Orders'!$F353)&gt;1),  "Same PO and Amount Added as another row — check for a restatement counted twice; ",""),""),""))</f>
        <v/>
      </c>
    </row>
    <row r="372" customFormat="false" ht="15" hidden="false" customHeight="false" outlineLevel="0" collapsed="false">
      <c r="A372" s="18" t="str">
        <f aca="false">IF(AND('SC Change Orders'!$A354="",'SC Change Orders'!$B354="",'SC Change Orders'!$C354=""),"",354)</f>
        <v/>
      </c>
      <c r="B372" s="31" t="str">
        <f aca="false">IF($A372="","",'SC Change Orders'!$A354)</f>
        <v/>
      </c>
      <c r="C372" s="18" t="str">
        <f aca="false">IF($A372="","",'SC Change Orders'!$B354)</f>
        <v/>
      </c>
      <c r="D372" s="32" t="str">
        <f aca="false">IF($A372="","",'SC Change Orders'!$C354)</f>
        <v/>
      </c>
      <c r="E372" s="31" t="str">
        <f aca="false">IF($A372="","",'SC Change Orders'!$D354)</f>
        <v/>
      </c>
      <c r="F372" s="33" t="str">
        <f aca="false">IF($A372="","",'SC Change Orders'!$E354)</f>
        <v/>
      </c>
      <c r="G372" s="33" t="str">
        <f aca="false">IF($A372="","",'SC Change Orders'!$F354)</f>
        <v/>
      </c>
      <c r="H372" s="33" t="str">
        <f aca="false">IF($A372="","",'SC Change Orders'!$G354)</f>
        <v/>
      </c>
      <c r="I372" s="34" t="str">
        <f aca="false">IF($A372="","",IF(AND(ISNUMBER('SC Change Orders'!$C354),'SC Change Orders'!$C354&gt;=Controls!$C$5,'SC Change Orders'!$C354&lt;=Controls!$C$6),"Yes","No"))</f>
        <v/>
      </c>
      <c r="J372" s="31" t="str">
        <f aca="false">IF($A372="","",IF($K372="","OK",$K372))</f>
        <v/>
      </c>
      <c r="K372" s="0" t="str">
        <f aca="false">IF($A372="","",IF(NOT(ISNUMBER('SC Change Orders'!$B354)),"PO not numeric — row is invisible to the tracker; ","")&amp;IF(NOT(ISNUMBER('SC Change Orders'!$C354)),"Date missing or text — row excluded; ",  IF(OR('SC Change Orders'!$C354&lt;Controls!$C$5,'SC Change Orders'!$C354&gt;Controls!$C$6),"Dated outside the FY window — excluded; ",""))&amp;IF(AND('SC Change Orders'!$E354&lt;&gt;"",NOT(ISNUMBER('SC Change Orders'!$E354))),"Original Amount held as text — ignored by MINIFS; ","")&amp;IF(AND('SC Change Orders'!$F354&lt;&gt;"",NOT(ISNUMBER('SC Change Orders'!$F354))),"Amount Added held as text — ignored by SUMIFS; ","")&amp;IF(ISNUMBER('SC Change Orders'!$E354),IF(ISNUMBER('SC Change Orders'!$F354),IF(ISNUMBER('SC Change Orders'!$G354),  IF('SC Change Orders'!$G354&gt;0,IF(ROUND('SC Change Orders'!$E354+'SC Change Orders'!$F354,2)&lt;&gt;ROUND('SC Change Orders'!$G354,2),  "Original + Added &lt;&gt; Total Line Cost Allotted; ",""),""),""),""),"")&amp;IF(AND(ISNUMBER('SC Change Orders'!$B354),COUNTIFS('SC Change Orders'!$B$2:$B$501,'SC Change Orders'!$B354,'SC Change Orders'!$C$2:$C$501,'SC Change Orders'!$C354,'SC Change Orders'!$D$2:$D$501,'SC Change Orders'!$D354,'SC Change Orders'!$F$2:$F$501,'SC Change Orders'!$F354,'SC Change Orders'!$E$2:$E$501,'SC Change Orders'!$E354)&gt;1),"Duplicate of another row — funds counted twice; ","")&amp;IF(ISNUMBER('SC Change Orders'!$F354),IF('SC Change Orders'!$F354&lt;&gt;0,IF(AND(ISNUMBER('SC Change Orders'!$B354),NOT(COUNTIFS('SC Change Orders'!$B$2:$B$501,'SC Change Orders'!$B354,'SC Change Orders'!$C$2:$C$501,'SC Change Orders'!$C354,'SC Change Orders'!$D$2:$D$501,'SC Change Orders'!$D354,'SC Change Orders'!$F$2:$F$501,'SC Change Orders'!$F354,'SC Change Orders'!$E$2:$E$501,'SC Change Orders'!$E354)&gt;1),COUNTIFS('SC Change Orders'!$B$2:$B$501,'SC Change Orders'!$B354,'SC Change Orders'!$F$2:$F$501,'SC Change Orders'!$F354)&gt;1),  "Same PO and Amount Added as another row — check for a restatement counted twice; ",""),""),""))</f>
        <v/>
      </c>
    </row>
    <row r="373" customFormat="false" ht="15" hidden="false" customHeight="false" outlineLevel="0" collapsed="false">
      <c r="A373" s="18" t="str">
        <f aca="false">IF(AND('SC Change Orders'!$A355="",'SC Change Orders'!$B355="",'SC Change Orders'!$C355=""),"",355)</f>
        <v/>
      </c>
      <c r="B373" s="31" t="str">
        <f aca="false">IF($A373="","",'SC Change Orders'!$A355)</f>
        <v/>
      </c>
      <c r="C373" s="18" t="str">
        <f aca="false">IF($A373="","",'SC Change Orders'!$B355)</f>
        <v/>
      </c>
      <c r="D373" s="32" t="str">
        <f aca="false">IF($A373="","",'SC Change Orders'!$C355)</f>
        <v/>
      </c>
      <c r="E373" s="31" t="str">
        <f aca="false">IF($A373="","",'SC Change Orders'!$D355)</f>
        <v/>
      </c>
      <c r="F373" s="33" t="str">
        <f aca="false">IF($A373="","",'SC Change Orders'!$E355)</f>
        <v/>
      </c>
      <c r="G373" s="33" t="str">
        <f aca="false">IF($A373="","",'SC Change Orders'!$F355)</f>
        <v/>
      </c>
      <c r="H373" s="33" t="str">
        <f aca="false">IF($A373="","",'SC Change Orders'!$G355)</f>
        <v/>
      </c>
      <c r="I373" s="34" t="str">
        <f aca="false">IF($A373="","",IF(AND(ISNUMBER('SC Change Orders'!$C355),'SC Change Orders'!$C355&gt;=Controls!$C$5,'SC Change Orders'!$C355&lt;=Controls!$C$6),"Yes","No"))</f>
        <v/>
      </c>
      <c r="J373" s="31" t="str">
        <f aca="false">IF($A373="","",IF($K373="","OK",$K373))</f>
        <v/>
      </c>
      <c r="K373" s="0" t="str">
        <f aca="false">IF($A373="","",IF(NOT(ISNUMBER('SC Change Orders'!$B355)),"PO not numeric — row is invisible to the tracker; ","")&amp;IF(NOT(ISNUMBER('SC Change Orders'!$C355)),"Date missing or text — row excluded; ",  IF(OR('SC Change Orders'!$C355&lt;Controls!$C$5,'SC Change Orders'!$C355&gt;Controls!$C$6),"Dated outside the FY window — excluded; ",""))&amp;IF(AND('SC Change Orders'!$E355&lt;&gt;"",NOT(ISNUMBER('SC Change Orders'!$E355))),"Original Amount held as text — ignored by MINIFS; ","")&amp;IF(AND('SC Change Orders'!$F355&lt;&gt;"",NOT(ISNUMBER('SC Change Orders'!$F355))),"Amount Added held as text — ignored by SUMIFS; ","")&amp;IF(ISNUMBER('SC Change Orders'!$E355),IF(ISNUMBER('SC Change Orders'!$F355),IF(ISNUMBER('SC Change Orders'!$G355),  IF('SC Change Orders'!$G355&gt;0,IF(ROUND('SC Change Orders'!$E355+'SC Change Orders'!$F355,2)&lt;&gt;ROUND('SC Change Orders'!$G355,2),  "Original + Added &lt;&gt; Total Line Cost Allotted; ",""),""),""),""),"")&amp;IF(AND(ISNUMBER('SC Change Orders'!$B355),COUNTIFS('SC Change Orders'!$B$2:$B$501,'SC Change Orders'!$B355,'SC Change Orders'!$C$2:$C$501,'SC Change Orders'!$C355,'SC Change Orders'!$D$2:$D$501,'SC Change Orders'!$D355,'SC Change Orders'!$F$2:$F$501,'SC Change Orders'!$F355,'SC Change Orders'!$E$2:$E$501,'SC Change Orders'!$E355)&gt;1),"Duplicate of another row — funds counted twice; ","")&amp;IF(ISNUMBER('SC Change Orders'!$F355),IF('SC Change Orders'!$F355&lt;&gt;0,IF(AND(ISNUMBER('SC Change Orders'!$B355),NOT(COUNTIFS('SC Change Orders'!$B$2:$B$501,'SC Change Orders'!$B355,'SC Change Orders'!$C$2:$C$501,'SC Change Orders'!$C355,'SC Change Orders'!$D$2:$D$501,'SC Change Orders'!$D355,'SC Change Orders'!$F$2:$F$501,'SC Change Orders'!$F355,'SC Change Orders'!$E$2:$E$501,'SC Change Orders'!$E355)&gt;1),COUNTIFS('SC Change Orders'!$B$2:$B$501,'SC Change Orders'!$B355,'SC Change Orders'!$F$2:$F$501,'SC Change Orders'!$F355)&gt;1),  "Same PO and Amount Added as another row — check for a restatement counted twice; ",""),""),""))</f>
        <v/>
      </c>
    </row>
    <row r="374" customFormat="false" ht="15" hidden="false" customHeight="false" outlineLevel="0" collapsed="false">
      <c r="A374" s="18" t="str">
        <f aca="false">IF(AND('SC Change Orders'!$A356="",'SC Change Orders'!$B356="",'SC Change Orders'!$C356=""),"",356)</f>
        <v/>
      </c>
      <c r="B374" s="31" t="str">
        <f aca="false">IF($A374="","",'SC Change Orders'!$A356)</f>
        <v/>
      </c>
      <c r="C374" s="18" t="str">
        <f aca="false">IF($A374="","",'SC Change Orders'!$B356)</f>
        <v/>
      </c>
      <c r="D374" s="32" t="str">
        <f aca="false">IF($A374="","",'SC Change Orders'!$C356)</f>
        <v/>
      </c>
      <c r="E374" s="31" t="str">
        <f aca="false">IF($A374="","",'SC Change Orders'!$D356)</f>
        <v/>
      </c>
      <c r="F374" s="33" t="str">
        <f aca="false">IF($A374="","",'SC Change Orders'!$E356)</f>
        <v/>
      </c>
      <c r="G374" s="33" t="str">
        <f aca="false">IF($A374="","",'SC Change Orders'!$F356)</f>
        <v/>
      </c>
      <c r="H374" s="33" t="str">
        <f aca="false">IF($A374="","",'SC Change Orders'!$G356)</f>
        <v/>
      </c>
      <c r="I374" s="34" t="str">
        <f aca="false">IF($A374="","",IF(AND(ISNUMBER('SC Change Orders'!$C356),'SC Change Orders'!$C356&gt;=Controls!$C$5,'SC Change Orders'!$C356&lt;=Controls!$C$6),"Yes","No"))</f>
        <v/>
      </c>
      <c r="J374" s="31" t="str">
        <f aca="false">IF($A374="","",IF($K374="","OK",$K374))</f>
        <v/>
      </c>
      <c r="K374" s="0" t="str">
        <f aca="false">IF($A374="","",IF(NOT(ISNUMBER('SC Change Orders'!$B356)),"PO not numeric — row is invisible to the tracker; ","")&amp;IF(NOT(ISNUMBER('SC Change Orders'!$C356)),"Date missing or text — row excluded; ",  IF(OR('SC Change Orders'!$C356&lt;Controls!$C$5,'SC Change Orders'!$C356&gt;Controls!$C$6),"Dated outside the FY window — excluded; ",""))&amp;IF(AND('SC Change Orders'!$E356&lt;&gt;"",NOT(ISNUMBER('SC Change Orders'!$E356))),"Original Amount held as text — ignored by MINIFS; ","")&amp;IF(AND('SC Change Orders'!$F356&lt;&gt;"",NOT(ISNUMBER('SC Change Orders'!$F356))),"Amount Added held as text — ignored by SUMIFS; ","")&amp;IF(ISNUMBER('SC Change Orders'!$E356),IF(ISNUMBER('SC Change Orders'!$F356),IF(ISNUMBER('SC Change Orders'!$G356),  IF('SC Change Orders'!$G356&gt;0,IF(ROUND('SC Change Orders'!$E356+'SC Change Orders'!$F356,2)&lt;&gt;ROUND('SC Change Orders'!$G356,2),  "Original + Added &lt;&gt; Total Line Cost Allotted; ",""),""),""),""),"")&amp;IF(AND(ISNUMBER('SC Change Orders'!$B356),COUNTIFS('SC Change Orders'!$B$2:$B$501,'SC Change Orders'!$B356,'SC Change Orders'!$C$2:$C$501,'SC Change Orders'!$C356,'SC Change Orders'!$D$2:$D$501,'SC Change Orders'!$D356,'SC Change Orders'!$F$2:$F$501,'SC Change Orders'!$F356,'SC Change Orders'!$E$2:$E$501,'SC Change Orders'!$E356)&gt;1),"Duplicate of another row — funds counted twice; ","")&amp;IF(ISNUMBER('SC Change Orders'!$F356),IF('SC Change Orders'!$F356&lt;&gt;0,IF(AND(ISNUMBER('SC Change Orders'!$B356),NOT(COUNTIFS('SC Change Orders'!$B$2:$B$501,'SC Change Orders'!$B356,'SC Change Orders'!$C$2:$C$501,'SC Change Orders'!$C356,'SC Change Orders'!$D$2:$D$501,'SC Change Orders'!$D356,'SC Change Orders'!$F$2:$F$501,'SC Change Orders'!$F356,'SC Change Orders'!$E$2:$E$501,'SC Change Orders'!$E356)&gt;1),COUNTIFS('SC Change Orders'!$B$2:$B$501,'SC Change Orders'!$B356,'SC Change Orders'!$F$2:$F$501,'SC Change Orders'!$F356)&gt;1),  "Same PO and Amount Added as another row — check for a restatement counted twice; ",""),""),""))</f>
        <v/>
      </c>
    </row>
    <row r="375" customFormat="false" ht="15" hidden="false" customHeight="false" outlineLevel="0" collapsed="false">
      <c r="A375" s="18" t="str">
        <f aca="false">IF(AND('SC Change Orders'!$A357="",'SC Change Orders'!$B357="",'SC Change Orders'!$C357=""),"",357)</f>
        <v/>
      </c>
      <c r="B375" s="31" t="str">
        <f aca="false">IF($A375="","",'SC Change Orders'!$A357)</f>
        <v/>
      </c>
      <c r="C375" s="18" t="str">
        <f aca="false">IF($A375="","",'SC Change Orders'!$B357)</f>
        <v/>
      </c>
      <c r="D375" s="32" t="str">
        <f aca="false">IF($A375="","",'SC Change Orders'!$C357)</f>
        <v/>
      </c>
      <c r="E375" s="31" t="str">
        <f aca="false">IF($A375="","",'SC Change Orders'!$D357)</f>
        <v/>
      </c>
      <c r="F375" s="33" t="str">
        <f aca="false">IF($A375="","",'SC Change Orders'!$E357)</f>
        <v/>
      </c>
      <c r="G375" s="33" t="str">
        <f aca="false">IF($A375="","",'SC Change Orders'!$F357)</f>
        <v/>
      </c>
      <c r="H375" s="33" t="str">
        <f aca="false">IF($A375="","",'SC Change Orders'!$G357)</f>
        <v/>
      </c>
      <c r="I375" s="34" t="str">
        <f aca="false">IF($A375="","",IF(AND(ISNUMBER('SC Change Orders'!$C357),'SC Change Orders'!$C357&gt;=Controls!$C$5,'SC Change Orders'!$C357&lt;=Controls!$C$6),"Yes","No"))</f>
        <v/>
      </c>
      <c r="J375" s="31" t="str">
        <f aca="false">IF($A375="","",IF($K375="","OK",$K375))</f>
        <v/>
      </c>
      <c r="K375" s="0" t="str">
        <f aca="false">IF($A375="","",IF(NOT(ISNUMBER('SC Change Orders'!$B357)),"PO not numeric — row is invisible to the tracker; ","")&amp;IF(NOT(ISNUMBER('SC Change Orders'!$C357)),"Date missing or text — row excluded; ",  IF(OR('SC Change Orders'!$C357&lt;Controls!$C$5,'SC Change Orders'!$C357&gt;Controls!$C$6),"Dated outside the FY window — excluded; ",""))&amp;IF(AND('SC Change Orders'!$E357&lt;&gt;"",NOT(ISNUMBER('SC Change Orders'!$E357))),"Original Amount held as text — ignored by MINIFS; ","")&amp;IF(AND('SC Change Orders'!$F357&lt;&gt;"",NOT(ISNUMBER('SC Change Orders'!$F357))),"Amount Added held as text — ignored by SUMIFS; ","")&amp;IF(ISNUMBER('SC Change Orders'!$E357),IF(ISNUMBER('SC Change Orders'!$F357),IF(ISNUMBER('SC Change Orders'!$G357),  IF('SC Change Orders'!$G357&gt;0,IF(ROUND('SC Change Orders'!$E357+'SC Change Orders'!$F357,2)&lt;&gt;ROUND('SC Change Orders'!$G357,2),  "Original + Added &lt;&gt; Total Line Cost Allotted; ",""),""),""),""),"")&amp;IF(AND(ISNUMBER('SC Change Orders'!$B357),COUNTIFS('SC Change Orders'!$B$2:$B$501,'SC Change Orders'!$B357,'SC Change Orders'!$C$2:$C$501,'SC Change Orders'!$C357,'SC Change Orders'!$D$2:$D$501,'SC Change Orders'!$D357,'SC Change Orders'!$F$2:$F$501,'SC Change Orders'!$F357,'SC Change Orders'!$E$2:$E$501,'SC Change Orders'!$E357)&gt;1),"Duplicate of another row — funds counted twice; ","")&amp;IF(ISNUMBER('SC Change Orders'!$F357),IF('SC Change Orders'!$F357&lt;&gt;0,IF(AND(ISNUMBER('SC Change Orders'!$B357),NOT(COUNTIFS('SC Change Orders'!$B$2:$B$501,'SC Change Orders'!$B357,'SC Change Orders'!$C$2:$C$501,'SC Change Orders'!$C357,'SC Change Orders'!$D$2:$D$501,'SC Change Orders'!$D357,'SC Change Orders'!$F$2:$F$501,'SC Change Orders'!$F357,'SC Change Orders'!$E$2:$E$501,'SC Change Orders'!$E357)&gt;1),COUNTIFS('SC Change Orders'!$B$2:$B$501,'SC Change Orders'!$B357,'SC Change Orders'!$F$2:$F$501,'SC Change Orders'!$F357)&gt;1),  "Same PO and Amount Added as another row — check for a restatement counted twice; ",""),""),""))</f>
        <v/>
      </c>
    </row>
    <row r="376" customFormat="false" ht="15" hidden="false" customHeight="false" outlineLevel="0" collapsed="false">
      <c r="A376" s="18" t="str">
        <f aca="false">IF(AND('SC Change Orders'!$A358="",'SC Change Orders'!$B358="",'SC Change Orders'!$C358=""),"",358)</f>
        <v/>
      </c>
      <c r="B376" s="31" t="str">
        <f aca="false">IF($A376="","",'SC Change Orders'!$A358)</f>
        <v/>
      </c>
      <c r="C376" s="18" t="str">
        <f aca="false">IF($A376="","",'SC Change Orders'!$B358)</f>
        <v/>
      </c>
      <c r="D376" s="32" t="str">
        <f aca="false">IF($A376="","",'SC Change Orders'!$C358)</f>
        <v/>
      </c>
      <c r="E376" s="31" t="str">
        <f aca="false">IF($A376="","",'SC Change Orders'!$D358)</f>
        <v/>
      </c>
      <c r="F376" s="33" t="str">
        <f aca="false">IF($A376="","",'SC Change Orders'!$E358)</f>
        <v/>
      </c>
      <c r="G376" s="33" t="str">
        <f aca="false">IF($A376="","",'SC Change Orders'!$F358)</f>
        <v/>
      </c>
      <c r="H376" s="33" t="str">
        <f aca="false">IF($A376="","",'SC Change Orders'!$G358)</f>
        <v/>
      </c>
      <c r="I376" s="34" t="str">
        <f aca="false">IF($A376="","",IF(AND(ISNUMBER('SC Change Orders'!$C358),'SC Change Orders'!$C358&gt;=Controls!$C$5,'SC Change Orders'!$C358&lt;=Controls!$C$6),"Yes","No"))</f>
        <v/>
      </c>
      <c r="J376" s="31" t="str">
        <f aca="false">IF($A376="","",IF($K376="","OK",$K376))</f>
        <v/>
      </c>
      <c r="K376" s="0" t="str">
        <f aca="false">IF($A376="","",IF(NOT(ISNUMBER('SC Change Orders'!$B358)),"PO not numeric — row is invisible to the tracker; ","")&amp;IF(NOT(ISNUMBER('SC Change Orders'!$C358)),"Date missing or text — row excluded; ",  IF(OR('SC Change Orders'!$C358&lt;Controls!$C$5,'SC Change Orders'!$C358&gt;Controls!$C$6),"Dated outside the FY window — excluded; ",""))&amp;IF(AND('SC Change Orders'!$E358&lt;&gt;"",NOT(ISNUMBER('SC Change Orders'!$E358))),"Original Amount held as text — ignored by MINIFS; ","")&amp;IF(AND('SC Change Orders'!$F358&lt;&gt;"",NOT(ISNUMBER('SC Change Orders'!$F358))),"Amount Added held as text — ignored by SUMIFS; ","")&amp;IF(ISNUMBER('SC Change Orders'!$E358),IF(ISNUMBER('SC Change Orders'!$F358),IF(ISNUMBER('SC Change Orders'!$G358),  IF('SC Change Orders'!$G358&gt;0,IF(ROUND('SC Change Orders'!$E358+'SC Change Orders'!$F358,2)&lt;&gt;ROUND('SC Change Orders'!$G358,2),  "Original + Added &lt;&gt; Total Line Cost Allotted; ",""),""),""),""),"")&amp;IF(AND(ISNUMBER('SC Change Orders'!$B358),COUNTIFS('SC Change Orders'!$B$2:$B$501,'SC Change Orders'!$B358,'SC Change Orders'!$C$2:$C$501,'SC Change Orders'!$C358,'SC Change Orders'!$D$2:$D$501,'SC Change Orders'!$D358,'SC Change Orders'!$F$2:$F$501,'SC Change Orders'!$F358,'SC Change Orders'!$E$2:$E$501,'SC Change Orders'!$E358)&gt;1),"Duplicate of another row — funds counted twice; ","")&amp;IF(ISNUMBER('SC Change Orders'!$F358),IF('SC Change Orders'!$F358&lt;&gt;0,IF(AND(ISNUMBER('SC Change Orders'!$B358),NOT(COUNTIFS('SC Change Orders'!$B$2:$B$501,'SC Change Orders'!$B358,'SC Change Orders'!$C$2:$C$501,'SC Change Orders'!$C358,'SC Change Orders'!$D$2:$D$501,'SC Change Orders'!$D358,'SC Change Orders'!$F$2:$F$501,'SC Change Orders'!$F358,'SC Change Orders'!$E$2:$E$501,'SC Change Orders'!$E358)&gt;1),COUNTIFS('SC Change Orders'!$B$2:$B$501,'SC Change Orders'!$B358,'SC Change Orders'!$F$2:$F$501,'SC Change Orders'!$F358)&gt;1),  "Same PO and Amount Added as another row — check for a restatement counted twice; ",""),""),""))</f>
        <v/>
      </c>
    </row>
    <row r="377" customFormat="false" ht="15" hidden="false" customHeight="false" outlineLevel="0" collapsed="false">
      <c r="A377" s="18" t="str">
        <f aca="false">IF(AND('SC Change Orders'!$A359="",'SC Change Orders'!$B359="",'SC Change Orders'!$C359=""),"",359)</f>
        <v/>
      </c>
      <c r="B377" s="31" t="str">
        <f aca="false">IF($A377="","",'SC Change Orders'!$A359)</f>
        <v/>
      </c>
      <c r="C377" s="18" t="str">
        <f aca="false">IF($A377="","",'SC Change Orders'!$B359)</f>
        <v/>
      </c>
      <c r="D377" s="32" t="str">
        <f aca="false">IF($A377="","",'SC Change Orders'!$C359)</f>
        <v/>
      </c>
      <c r="E377" s="31" t="str">
        <f aca="false">IF($A377="","",'SC Change Orders'!$D359)</f>
        <v/>
      </c>
      <c r="F377" s="33" t="str">
        <f aca="false">IF($A377="","",'SC Change Orders'!$E359)</f>
        <v/>
      </c>
      <c r="G377" s="33" t="str">
        <f aca="false">IF($A377="","",'SC Change Orders'!$F359)</f>
        <v/>
      </c>
      <c r="H377" s="33" t="str">
        <f aca="false">IF($A377="","",'SC Change Orders'!$G359)</f>
        <v/>
      </c>
      <c r="I377" s="34" t="str">
        <f aca="false">IF($A377="","",IF(AND(ISNUMBER('SC Change Orders'!$C359),'SC Change Orders'!$C359&gt;=Controls!$C$5,'SC Change Orders'!$C359&lt;=Controls!$C$6),"Yes","No"))</f>
        <v/>
      </c>
      <c r="J377" s="31" t="str">
        <f aca="false">IF($A377="","",IF($K377="","OK",$K377))</f>
        <v/>
      </c>
      <c r="K377" s="0" t="str">
        <f aca="false">IF($A377="","",IF(NOT(ISNUMBER('SC Change Orders'!$B359)),"PO not numeric — row is invisible to the tracker; ","")&amp;IF(NOT(ISNUMBER('SC Change Orders'!$C359)),"Date missing or text — row excluded; ",  IF(OR('SC Change Orders'!$C359&lt;Controls!$C$5,'SC Change Orders'!$C359&gt;Controls!$C$6),"Dated outside the FY window — excluded; ",""))&amp;IF(AND('SC Change Orders'!$E359&lt;&gt;"",NOT(ISNUMBER('SC Change Orders'!$E359))),"Original Amount held as text — ignored by MINIFS; ","")&amp;IF(AND('SC Change Orders'!$F359&lt;&gt;"",NOT(ISNUMBER('SC Change Orders'!$F359))),"Amount Added held as text — ignored by SUMIFS; ","")&amp;IF(ISNUMBER('SC Change Orders'!$E359),IF(ISNUMBER('SC Change Orders'!$F359),IF(ISNUMBER('SC Change Orders'!$G359),  IF('SC Change Orders'!$G359&gt;0,IF(ROUND('SC Change Orders'!$E359+'SC Change Orders'!$F359,2)&lt;&gt;ROUND('SC Change Orders'!$G359,2),  "Original + Added &lt;&gt; Total Line Cost Allotted; ",""),""),""),""),"")&amp;IF(AND(ISNUMBER('SC Change Orders'!$B359),COUNTIFS('SC Change Orders'!$B$2:$B$501,'SC Change Orders'!$B359,'SC Change Orders'!$C$2:$C$501,'SC Change Orders'!$C359,'SC Change Orders'!$D$2:$D$501,'SC Change Orders'!$D359,'SC Change Orders'!$F$2:$F$501,'SC Change Orders'!$F359,'SC Change Orders'!$E$2:$E$501,'SC Change Orders'!$E359)&gt;1),"Duplicate of another row — funds counted twice; ","")&amp;IF(ISNUMBER('SC Change Orders'!$F359),IF('SC Change Orders'!$F359&lt;&gt;0,IF(AND(ISNUMBER('SC Change Orders'!$B359),NOT(COUNTIFS('SC Change Orders'!$B$2:$B$501,'SC Change Orders'!$B359,'SC Change Orders'!$C$2:$C$501,'SC Change Orders'!$C359,'SC Change Orders'!$D$2:$D$501,'SC Change Orders'!$D359,'SC Change Orders'!$F$2:$F$501,'SC Change Orders'!$F359,'SC Change Orders'!$E$2:$E$501,'SC Change Orders'!$E359)&gt;1),COUNTIFS('SC Change Orders'!$B$2:$B$501,'SC Change Orders'!$B359,'SC Change Orders'!$F$2:$F$501,'SC Change Orders'!$F359)&gt;1),  "Same PO and Amount Added as another row — check for a restatement counted twice; ",""),""),""))</f>
        <v/>
      </c>
    </row>
    <row r="378" customFormat="false" ht="15" hidden="false" customHeight="false" outlineLevel="0" collapsed="false">
      <c r="A378" s="18" t="str">
        <f aca="false">IF(AND('SC Change Orders'!$A360="",'SC Change Orders'!$B360="",'SC Change Orders'!$C360=""),"",360)</f>
        <v/>
      </c>
      <c r="B378" s="31" t="str">
        <f aca="false">IF($A378="","",'SC Change Orders'!$A360)</f>
        <v/>
      </c>
      <c r="C378" s="18" t="str">
        <f aca="false">IF($A378="","",'SC Change Orders'!$B360)</f>
        <v/>
      </c>
      <c r="D378" s="32" t="str">
        <f aca="false">IF($A378="","",'SC Change Orders'!$C360)</f>
        <v/>
      </c>
      <c r="E378" s="31" t="str">
        <f aca="false">IF($A378="","",'SC Change Orders'!$D360)</f>
        <v/>
      </c>
      <c r="F378" s="33" t="str">
        <f aca="false">IF($A378="","",'SC Change Orders'!$E360)</f>
        <v/>
      </c>
      <c r="G378" s="33" t="str">
        <f aca="false">IF($A378="","",'SC Change Orders'!$F360)</f>
        <v/>
      </c>
      <c r="H378" s="33" t="str">
        <f aca="false">IF($A378="","",'SC Change Orders'!$G360)</f>
        <v/>
      </c>
      <c r="I378" s="34" t="str">
        <f aca="false">IF($A378="","",IF(AND(ISNUMBER('SC Change Orders'!$C360),'SC Change Orders'!$C360&gt;=Controls!$C$5,'SC Change Orders'!$C360&lt;=Controls!$C$6),"Yes","No"))</f>
        <v/>
      </c>
      <c r="J378" s="31" t="str">
        <f aca="false">IF($A378="","",IF($K378="","OK",$K378))</f>
        <v/>
      </c>
      <c r="K378" s="0" t="str">
        <f aca="false">IF($A378="","",IF(NOT(ISNUMBER('SC Change Orders'!$B360)),"PO not numeric — row is invisible to the tracker; ","")&amp;IF(NOT(ISNUMBER('SC Change Orders'!$C360)),"Date missing or text — row excluded; ",  IF(OR('SC Change Orders'!$C360&lt;Controls!$C$5,'SC Change Orders'!$C360&gt;Controls!$C$6),"Dated outside the FY window — excluded; ",""))&amp;IF(AND('SC Change Orders'!$E360&lt;&gt;"",NOT(ISNUMBER('SC Change Orders'!$E360))),"Original Amount held as text — ignored by MINIFS; ","")&amp;IF(AND('SC Change Orders'!$F360&lt;&gt;"",NOT(ISNUMBER('SC Change Orders'!$F360))),"Amount Added held as text — ignored by SUMIFS; ","")&amp;IF(ISNUMBER('SC Change Orders'!$E360),IF(ISNUMBER('SC Change Orders'!$F360),IF(ISNUMBER('SC Change Orders'!$G360),  IF('SC Change Orders'!$G360&gt;0,IF(ROUND('SC Change Orders'!$E360+'SC Change Orders'!$F360,2)&lt;&gt;ROUND('SC Change Orders'!$G360,2),  "Original + Added &lt;&gt; Total Line Cost Allotted; ",""),""),""),""),"")&amp;IF(AND(ISNUMBER('SC Change Orders'!$B360),COUNTIFS('SC Change Orders'!$B$2:$B$501,'SC Change Orders'!$B360,'SC Change Orders'!$C$2:$C$501,'SC Change Orders'!$C360,'SC Change Orders'!$D$2:$D$501,'SC Change Orders'!$D360,'SC Change Orders'!$F$2:$F$501,'SC Change Orders'!$F360,'SC Change Orders'!$E$2:$E$501,'SC Change Orders'!$E360)&gt;1),"Duplicate of another row — funds counted twice; ","")&amp;IF(ISNUMBER('SC Change Orders'!$F360),IF('SC Change Orders'!$F360&lt;&gt;0,IF(AND(ISNUMBER('SC Change Orders'!$B360),NOT(COUNTIFS('SC Change Orders'!$B$2:$B$501,'SC Change Orders'!$B360,'SC Change Orders'!$C$2:$C$501,'SC Change Orders'!$C360,'SC Change Orders'!$D$2:$D$501,'SC Change Orders'!$D360,'SC Change Orders'!$F$2:$F$501,'SC Change Orders'!$F360,'SC Change Orders'!$E$2:$E$501,'SC Change Orders'!$E360)&gt;1),COUNTIFS('SC Change Orders'!$B$2:$B$501,'SC Change Orders'!$B360,'SC Change Orders'!$F$2:$F$501,'SC Change Orders'!$F360)&gt;1),  "Same PO and Amount Added as another row — check for a restatement counted twice; ",""),""),""))</f>
        <v/>
      </c>
    </row>
    <row r="379" customFormat="false" ht="15" hidden="false" customHeight="false" outlineLevel="0" collapsed="false">
      <c r="A379" s="18" t="str">
        <f aca="false">IF(AND('SC Change Orders'!$A361="",'SC Change Orders'!$B361="",'SC Change Orders'!$C361=""),"",361)</f>
        <v/>
      </c>
      <c r="B379" s="31" t="str">
        <f aca="false">IF($A379="","",'SC Change Orders'!$A361)</f>
        <v/>
      </c>
      <c r="C379" s="18" t="str">
        <f aca="false">IF($A379="","",'SC Change Orders'!$B361)</f>
        <v/>
      </c>
      <c r="D379" s="32" t="str">
        <f aca="false">IF($A379="","",'SC Change Orders'!$C361)</f>
        <v/>
      </c>
      <c r="E379" s="31" t="str">
        <f aca="false">IF($A379="","",'SC Change Orders'!$D361)</f>
        <v/>
      </c>
      <c r="F379" s="33" t="str">
        <f aca="false">IF($A379="","",'SC Change Orders'!$E361)</f>
        <v/>
      </c>
      <c r="G379" s="33" t="str">
        <f aca="false">IF($A379="","",'SC Change Orders'!$F361)</f>
        <v/>
      </c>
      <c r="H379" s="33" t="str">
        <f aca="false">IF($A379="","",'SC Change Orders'!$G361)</f>
        <v/>
      </c>
      <c r="I379" s="34" t="str">
        <f aca="false">IF($A379="","",IF(AND(ISNUMBER('SC Change Orders'!$C361),'SC Change Orders'!$C361&gt;=Controls!$C$5,'SC Change Orders'!$C361&lt;=Controls!$C$6),"Yes","No"))</f>
        <v/>
      </c>
      <c r="J379" s="31" t="str">
        <f aca="false">IF($A379="","",IF($K379="","OK",$K379))</f>
        <v/>
      </c>
      <c r="K379" s="0" t="str">
        <f aca="false">IF($A379="","",IF(NOT(ISNUMBER('SC Change Orders'!$B361)),"PO not numeric — row is invisible to the tracker; ","")&amp;IF(NOT(ISNUMBER('SC Change Orders'!$C361)),"Date missing or text — row excluded; ",  IF(OR('SC Change Orders'!$C361&lt;Controls!$C$5,'SC Change Orders'!$C361&gt;Controls!$C$6),"Dated outside the FY window — excluded; ",""))&amp;IF(AND('SC Change Orders'!$E361&lt;&gt;"",NOT(ISNUMBER('SC Change Orders'!$E361))),"Original Amount held as text — ignored by MINIFS; ","")&amp;IF(AND('SC Change Orders'!$F361&lt;&gt;"",NOT(ISNUMBER('SC Change Orders'!$F361))),"Amount Added held as text — ignored by SUMIFS; ","")&amp;IF(ISNUMBER('SC Change Orders'!$E361),IF(ISNUMBER('SC Change Orders'!$F361),IF(ISNUMBER('SC Change Orders'!$G361),  IF('SC Change Orders'!$G361&gt;0,IF(ROUND('SC Change Orders'!$E361+'SC Change Orders'!$F361,2)&lt;&gt;ROUND('SC Change Orders'!$G361,2),  "Original + Added &lt;&gt; Total Line Cost Allotted; ",""),""),""),""),"")&amp;IF(AND(ISNUMBER('SC Change Orders'!$B361),COUNTIFS('SC Change Orders'!$B$2:$B$501,'SC Change Orders'!$B361,'SC Change Orders'!$C$2:$C$501,'SC Change Orders'!$C361,'SC Change Orders'!$D$2:$D$501,'SC Change Orders'!$D361,'SC Change Orders'!$F$2:$F$501,'SC Change Orders'!$F361,'SC Change Orders'!$E$2:$E$501,'SC Change Orders'!$E361)&gt;1),"Duplicate of another row — funds counted twice; ","")&amp;IF(ISNUMBER('SC Change Orders'!$F361),IF('SC Change Orders'!$F361&lt;&gt;0,IF(AND(ISNUMBER('SC Change Orders'!$B361),NOT(COUNTIFS('SC Change Orders'!$B$2:$B$501,'SC Change Orders'!$B361,'SC Change Orders'!$C$2:$C$501,'SC Change Orders'!$C361,'SC Change Orders'!$D$2:$D$501,'SC Change Orders'!$D361,'SC Change Orders'!$F$2:$F$501,'SC Change Orders'!$F361,'SC Change Orders'!$E$2:$E$501,'SC Change Orders'!$E361)&gt;1),COUNTIFS('SC Change Orders'!$B$2:$B$501,'SC Change Orders'!$B361,'SC Change Orders'!$F$2:$F$501,'SC Change Orders'!$F361)&gt;1),  "Same PO and Amount Added as another row — check for a restatement counted twice; ",""),""),""))</f>
        <v/>
      </c>
    </row>
    <row r="380" customFormat="false" ht="15" hidden="false" customHeight="false" outlineLevel="0" collapsed="false">
      <c r="A380" s="18" t="str">
        <f aca="false">IF(AND('SC Change Orders'!$A362="",'SC Change Orders'!$B362="",'SC Change Orders'!$C362=""),"",362)</f>
        <v/>
      </c>
      <c r="B380" s="31" t="str">
        <f aca="false">IF($A380="","",'SC Change Orders'!$A362)</f>
        <v/>
      </c>
      <c r="C380" s="18" t="str">
        <f aca="false">IF($A380="","",'SC Change Orders'!$B362)</f>
        <v/>
      </c>
      <c r="D380" s="32" t="str">
        <f aca="false">IF($A380="","",'SC Change Orders'!$C362)</f>
        <v/>
      </c>
      <c r="E380" s="31" t="str">
        <f aca="false">IF($A380="","",'SC Change Orders'!$D362)</f>
        <v/>
      </c>
      <c r="F380" s="33" t="str">
        <f aca="false">IF($A380="","",'SC Change Orders'!$E362)</f>
        <v/>
      </c>
      <c r="G380" s="33" t="str">
        <f aca="false">IF($A380="","",'SC Change Orders'!$F362)</f>
        <v/>
      </c>
      <c r="H380" s="33" t="str">
        <f aca="false">IF($A380="","",'SC Change Orders'!$G362)</f>
        <v/>
      </c>
      <c r="I380" s="34" t="str">
        <f aca="false">IF($A380="","",IF(AND(ISNUMBER('SC Change Orders'!$C362),'SC Change Orders'!$C362&gt;=Controls!$C$5,'SC Change Orders'!$C362&lt;=Controls!$C$6),"Yes","No"))</f>
        <v/>
      </c>
      <c r="J380" s="31" t="str">
        <f aca="false">IF($A380="","",IF($K380="","OK",$K380))</f>
        <v/>
      </c>
      <c r="K380" s="0" t="str">
        <f aca="false">IF($A380="","",IF(NOT(ISNUMBER('SC Change Orders'!$B362)),"PO not numeric — row is invisible to the tracker; ","")&amp;IF(NOT(ISNUMBER('SC Change Orders'!$C362)),"Date missing or text — row excluded; ",  IF(OR('SC Change Orders'!$C362&lt;Controls!$C$5,'SC Change Orders'!$C362&gt;Controls!$C$6),"Dated outside the FY window — excluded; ",""))&amp;IF(AND('SC Change Orders'!$E362&lt;&gt;"",NOT(ISNUMBER('SC Change Orders'!$E362))),"Original Amount held as text — ignored by MINIFS; ","")&amp;IF(AND('SC Change Orders'!$F362&lt;&gt;"",NOT(ISNUMBER('SC Change Orders'!$F362))),"Amount Added held as text — ignored by SUMIFS; ","")&amp;IF(ISNUMBER('SC Change Orders'!$E362),IF(ISNUMBER('SC Change Orders'!$F362),IF(ISNUMBER('SC Change Orders'!$G362),  IF('SC Change Orders'!$G362&gt;0,IF(ROUND('SC Change Orders'!$E362+'SC Change Orders'!$F362,2)&lt;&gt;ROUND('SC Change Orders'!$G362,2),  "Original + Added &lt;&gt; Total Line Cost Allotted; ",""),""),""),""),"")&amp;IF(AND(ISNUMBER('SC Change Orders'!$B362),COUNTIFS('SC Change Orders'!$B$2:$B$501,'SC Change Orders'!$B362,'SC Change Orders'!$C$2:$C$501,'SC Change Orders'!$C362,'SC Change Orders'!$D$2:$D$501,'SC Change Orders'!$D362,'SC Change Orders'!$F$2:$F$501,'SC Change Orders'!$F362,'SC Change Orders'!$E$2:$E$501,'SC Change Orders'!$E362)&gt;1),"Duplicate of another row — funds counted twice; ","")&amp;IF(ISNUMBER('SC Change Orders'!$F362),IF('SC Change Orders'!$F362&lt;&gt;0,IF(AND(ISNUMBER('SC Change Orders'!$B362),NOT(COUNTIFS('SC Change Orders'!$B$2:$B$501,'SC Change Orders'!$B362,'SC Change Orders'!$C$2:$C$501,'SC Change Orders'!$C362,'SC Change Orders'!$D$2:$D$501,'SC Change Orders'!$D362,'SC Change Orders'!$F$2:$F$501,'SC Change Orders'!$F362,'SC Change Orders'!$E$2:$E$501,'SC Change Orders'!$E362)&gt;1),COUNTIFS('SC Change Orders'!$B$2:$B$501,'SC Change Orders'!$B362,'SC Change Orders'!$F$2:$F$501,'SC Change Orders'!$F362)&gt;1),  "Same PO and Amount Added as another row — check for a restatement counted twice; ",""),""),""))</f>
        <v/>
      </c>
    </row>
    <row r="381" customFormat="false" ht="15" hidden="false" customHeight="false" outlineLevel="0" collapsed="false">
      <c r="A381" s="18" t="str">
        <f aca="false">IF(AND('SC Change Orders'!$A363="",'SC Change Orders'!$B363="",'SC Change Orders'!$C363=""),"",363)</f>
        <v/>
      </c>
      <c r="B381" s="31" t="str">
        <f aca="false">IF($A381="","",'SC Change Orders'!$A363)</f>
        <v/>
      </c>
      <c r="C381" s="18" t="str">
        <f aca="false">IF($A381="","",'SC Change Orders'!$B363)</f>
        <v/>
      </c>
      <c r="D381" s="32" t="str">
        <f aca="false">IF($A381="","",'SC Change Orders'!$C363)</f>
        <v/>
      </c>
      <c r="E381" s="31" t="str">
        <f aca="false">IF($A381="","",'SC Change Orders'!$D363)</f>
        <v/>
      </c>
      <c r="F381" s="33" t="str">
        <f aca="false">IF($A381="","",'SC Change Orders'!$E363)</f>
        <v/>
      </c>
      <c r="G381" s="33" t="str">
        <f aca="false">IF($A381="","",'SC Change Orders'!$F363)</f>
        <v/>
      </c>
      <c r="H381" s="33" t="str">
        <f aca="false">IF($A381="","",'SC Change Orders'!$G363)</f>
        <v/>
      </c>
      <c r="I381" s="34" t="str">
        <f aca="false">IF($A381="","",IF(AND(ISNUMBER('SC Change Orders'!$C363),'SC Change Orders'!$C363&gt;=Controls!$C$5,'SC Change Orders'!$C363&lt;=Controls!$C$6),"Yes","No"))</f>
        <v/>
      </c>
      <c r="J381" s="31" t="str">
        <f aca="false">IF($A381="","",IF($K381="","OK",$K381))</f>
        <v/>
      </c>
      <c r="K381" s="0" t="str">
        <f aca="false">IF($A381="","",IF(NOT(ISNUMBER('SC Change Orders'!$B363)),"PO not numeric — row is invisible to the tracker; ","")&amp;IF(NOT(ISNUMBER('SC Change Orders'!$C363)),"Date missing or text — row excluded; ",  IF(OR('SC Change Orders'!$C363&lt;Controls!$C$5,'SC Change Orders'!$C363&gt;Controls!$C$6),"Dated outside the FY window — excluded; ",""))&amp;IF(AND('SC Change Orders'!$E363&lt;&gt;"",NOT(ISNUMBER('SC Change Orders'!$E363))),"Original Amount held as text — ignored by MINIFS; ","")&amp;IF(AND('SC Change Orders'!$F363&lt;&gt;"",NOT(ISNUMBER('SC Change Orders'!$F363))),"Amount Added held as text — ignored by SUMIFS; ","")&amp;IF(ISNUMBER('SC Change Orders'!$E363),IF(ISNUMBER('SC Change Orders'!$F363),IF(ISNUMBER('SC Change Orders'!$G363),  IF('SC Change Orders'!$G363&gt;0,IF(ROUND('SC Change Orders'!$E363+'SC Change Orders'!$F363,2)&lt;&gt;ROUND('SC Change Orders'!$G363,2),  "Original + Added &lt;&gt; Total Line Cost Allotted; ",""),""),""),""),"")&amp;IF(AND(ISNUMBER('SC Change Orders'!$B363),COUNTIFS('SC Change Orders'!$B$2:$B$501,'SC Change Orders'!$B363,'SC Change Orders'!$C$2:$C$501,'SC Change Orders'!$C363,'SC Change Orders'!$D$2:$D$501,'SC Change Orders'!$D363,'SC Change Orders'!$F$2:$F$501,'SC Change Orders'!$F363,'SC Change Orders'!$E$2:$E$501,'SC Change Orders'!$E363)&gt;1),"Duplicate of another row — funds counted twice; ","")&amp;IF(ISNUMBER('SC Change Orders'!$F363),IF('SC Change Orders'!$F363&lt;&gt;0,IF(AND(ISNUMBER('SC Change Orders'!$B363),NOT(COUNTIFS('SC Change Orders'!$B$2:$B$501,'SC Change Orders'!$B363,'SC Change Orders'!$C$2:$C$501,'SC Change Orders'!$C363,'SC Change Orders'!$D$2:$D$501,'SC Change Orders'!$D363,'SC Change Orders'!$F$2:$F$501,'SC Change Orders'!$F363,'SC Change Orders'!$E$2:$E$501,'SC Change Orders'!$E363)&gt;1),COUNTIFS('SC Change Orders'!$B$2:$B$501,'SC Change Orders'!$B363,'SC Change Orders'!$F$2:$F$501,'SC Change Orders'!$F363)&gt;1),  "Same PO and Amount Added as another row — check for a restatement counted twice; ",""),""),""))</f>
        <v/>
      </c>
    </row>
    <row r="382" customFormat="false" ht="15" hidden="false" customHeight="false" outlineLevel="0" collapsed="false">
      <c r="A382" s="18" t="str">
        <f aca="false">IF(AND('SC Change Orders'!$A364="",'SC Change Orders'!$B364="",'SC Change Orders'!$C364=""),"",364)</f>
        <v/>
      </c>
      <c r="B382" s="31" t="str">
        <f aca="false">IF($A382="","",'SC Change Orders'!$A364)</f>
        <v/>
      </c>
      <c r="C382" s="18" t="str">
        <f aca="false">IF($A382="","",'SC Change Orders'!$B364)</f>
        <v/>
      </c>
      <c r="D382" s="32" t="str">
        <f aca="false">IF($A382="","",'SC Change Orders'!$C364)</f>
        <v/>
      </c>
      <c r="E382" s="31" t="str">
        <f aca="false">IF($A382="","",'SC Change Orders'!$D364)</f>
        <v/>
      </c>
      <c r="F382" s="33" t="str">
        <f aca="false">IF($A382="","",'SC Change Orders'!$E364)</f>
        <v/>
      </c>
      <c r="G382" s="33" t="str">
        <f aca="false">IF($A382="","",'SC Change Orders'!$F364)</f>
        <v/>
      </c>
      <c r="H382" s="33" t="str">
        <f aca="false">IF($A382="","",'SC Change Orders'!$G364)</f>
        <v/>
      </c>
      <c r="I382" s="34" t="str">
        <f aca="false">IF($A382="","",IF(AND(ISNUMBER('SC Change Orders'!$C364),'SC Change Orders'!$C364&gt;=Controls!$C$5,'SC Change Orders'!$C364&lt;=Controls!$C$6),"Yes","No"))</f>
        <v/>
      </c>
      <c r="J382" s="31" t="str">
        <f aca="false">IF($A382="","",IF($K382="","OK",$K382))</f>
        <v/>
      </c>
      <c r="K382" s="0" t="str">
        <f aca="false">IF($A382="","",IF(NOT(ISNUMBER('SC Change Orders'!$B364)),"PO not numeric — row is invisible to the tracker; ","")&amp;IF(NOT(ISNUMBER('SC Change Orders'!$C364)),"Date missing or text — row excluded; ",  IF(OR('SC Change Orders'!$C364&lt;Controls!$C$5,'SC Change Orders'!$C364&gt;Controls!$C$6),"Dated outside the FY window — excluded; ",""))&amp;IF(AND('SC Change Orders'!$E364&lt;&gt;"",NOT(ISNUMBER('SC Change Orders'!$E364))),"Original Amount held as text — ignored by MINIFS; ","")&amp;IF(AND('SC Change Orders'!$F364&lt;&gt;"",NOT(ISNUMBER('SC Change Orders'!$F364))),"Amount Added held as text — ignored by SUMIFS; ","")&amp;IF(ISNUMBER('SC Change Orders'!$E364),IF(ISNUMBER('SC Change Orders'!$F364),IF(ISNUMBER('SC Change Orders'!$G364),  IF('SC Change Orders'!$G364&gt;0,IF(ROUND('SC Change Orders'!$E364+'SC Change Orders'!$F364,2)&lt;&gt;ROUND('SC Change Orders'!$G364,2),  "Original + Added &lt;&gt; Total Line Cost Allotted; ",""),""),""),""),"")&amp;IF(AND(ISNUMBER('SC Change Orders'!$B364),COUNTIFS('SC Change Orders'!$B$2:$B$501,'SC Change Orders'!$B364,'SC Change Orders'!$C$2:$C$501,'SC Change Orders'!$C364,'SC Change Orders'!$D$2:$D$501,'SC Change Orders'!$D364,'SC Change Orders'!$F$2:$F$501,'SC Change Orders'!$F364,'SC Change Orders'!$E$2:$E$501,'SC Change Orders'!$E364)&gt;1),"Duplicate of another row — funds counted twice; ","")&amp;IF(ISNUMBER('SC Change Orders'!$F364),IF('SC Change Orders'!$F364&lt;&gt;0,IF(AND(ISNUMBER('SC Change Orders'!$B364),NOT(COUNTIFS('SC Change Orders'!$B$2:$B$501,'SC Change Orders'!$B364,'SC Change Orders'!$C$2:$C$501,'SC Change Orders'!$C364,'SC Change Orders'!$D$2:$D$501,'SC Change Orders'!$D364,'SC Change Orders'!$F$2:$F$501,'SC Change Orders'!$F364,'SC Change Orders'!$E$2:$E$501,'SC Change Orders'!$E364)&gt;1),COUNTIFS('SC Change Orders'!$B$2:$B$501,'SC Change Orders'!$B364,'SC Change Orders'!$F$2:$F$501,'SC Change Orders'!$F364)&gt;1),  "Same PO and Amount Added as another row — check for a restatement counted twice; ",""),""),""))</f>
        <v/>
      </c>
    </row>
    <row r="383" customFormat="false" ht="15" hidden="false" customHeight="false" outlineLevel="0" collapsed="false">
      <c r="A383" s="18" t="str">
        <f aca="false">IF(AND('SC Change Orders'!$A365="",'SC Change Orders'!$B365="",'SC Change Orders'!$C365=""),"",365)</f>
        <v/>
      </c>
      <c r="B383" s="31" t="str">
        <f aca="false">IF($A383="","",'SC Change Orders'!$A365)</f>
        <v/>
      </c>
      <c r="C383" s="18" t="str">
        <f aca="false">IF($A383="","",'SC Change Orders'!$B365)</f>
        <v/>
      </c>
      <c r="D383" s="32" t="str">
        <f aca="false">IF($A383="","",'SC Change Orders'!$C365)</f>
        <v/>
      </c>
      <c r="E383" s="31" t="str">
        <f aca="false">IF($A383="","",'SC Change Orders'!$D365)</f>
        <v/>
      </c>
      <c r="F383" s="33" t="str">
        <f aca="false">IF($A383="","",'SC Change Orders'!$E365)</f>
        <v/>
      </c>
      <c r="G383" s="33" t="str">
        <f aca="false">IF($A383="","",'SC Change Orders'!$F365)</f>
        <v/>
      </c>
      <c r="H383" s="33" t="str">
        <f aca="false">IF($A383="","",'SC Change Orders'!$G365)</f>
        <v/>
      </c>
      <c r="I383" s="34" t="str">
        <f aca="false">IF($A383="","",IF(AND(ISNUMBER('SC Change Orders'!$C365),'SC Change Orders'!$C365&gt;=Controls!$C$5,'SC Change Orders'!$C365&lt;=Controls!$C$6),"Yes","No"))</f>
        <v/>
      </c>
      <c r="J383" s="31" t="str">
        <f aca="false">IF($A383="","",IF($K383="","OK",$K383))</f>
        <v/>
      </c>
      <c r="K383" s="0" t="str">
        <f aca="false">IF($A383="","",IF(NOT(ISNUMBER('SC Change Orders'!$B365)),"PO not numeric — row is invisible to the tracker; ","")&amp;IF(NOT(ISNUMBER('SC Change Orders'!$C365)),"Date missing or text — row excluded; ",  IF(OR('SC Change Orders'!$C365&lt;Controls!$C$5,'SC Change Orders'!$C365&gt;Controls!$C$6),"Dated outside the FY window — excluded; ",""))&amp;IF(AND('SC Change Orders'!$E365&lt;&gt;"",NOT(ISNUMBER('SC Change Orders'!$E365))),"Original Amount held as text — ignored by MINIFS; ","")&amp;IF(AND('SC Change Orders'!$F365&lt;&gt;"",NOT(ISNUMBER('SC Change Orders'!$F365))),"Amount Added held as text — ignored by SUMIFS; ","")&amp;IF(ISNUMBER('SC Change Orders'!$E365),IF(ISNUMBER('SC Change Orders'!$F365),IF(ISNUMBER('SC Change Orders'!$G365),  IF('SC Change Orders'!$G365&gt;0,IF(ROUND('SC Change Orders'!$E365+'SC Change Orders'!$F365,2)&lt;&gt;ROUND('SC Change Orders'!$G365,2),  "Original + Added &lt;&gt; Total Line Cost Allotted; ",""),""),""),""),"")&amp;IF(AND(ISNUMBER('SC Change Orders'!$B365),COUNTIFS('SC Change Orders'!$B$2:$B$501,'SC Change Orders'!$B365,'SC Change Orders'!$C$2:$C$501,'SC Change Orders'!$C365,'SC Change Orders'!$D$2:$D$501,'SC Change Orders'!$D365,'SC Change Orders'!$F$2:$F$501,'SC Change Orders'!$F365,'SC Change Orders'!$E$2:$E$501,'SC Change Orders'!$E365)&gt;1),"Duplicate of another row — funds counted twice; ","")&amp;IF(ISNUMBER('SC Change Orders'!$F365),IF('SC Change Orders'!$F365&lt;&gt;0,IF(AND(ISNUMBER('SC Change Orders'!$B365),NOT(COUNTIFS('SC Change Orders'!$B$2:$B$501,'SC Change Orders'!$B365,'SC Change Orders'!$C$2:$C$501,'SC Change Orders'!$C365,'SC Change Orders'!$D$2:$D$501,'SC Change Orders'!$D365,'SC Change Orders'!$F$2:$F$501,'SC Change Orders'!$F365,'SC Change Orders'!$E$2:$E$501,'SC Change Orders'!$E365)&gt;1),COUNTIFS('SC Change Orders'!$B$2:$B$501,'SC Change Orders'!$B365,'SC Change Orders'!$F$2:$F$501,'SC Change Orders'!$F365)&gt;1),  "Same PO and Amount Added as another row — check for a restatement counted twice; ",""),""),""))</f>
        <v/>
      </c>
    </row>
    <row r="384" customFormat="false" ht="15" hidden="false" customHeight="false" outlineLevel="0" collapsed="false">
      <c r="A384" s="18" t="str">
        <f aca="false">IF(AND('SC Change Orders'!$A366="",'SC Change Orders'!$B366="",'SC Change Orders'!$C366=""),"",366)</f>
        <v/>
      </c>
      <c r="B384" s="31" t="str">
        <f aca="false">IF($A384="","",'SC Change Orders'!$A366)</f>
        <v/>
      </c>
      <c r="C384" s="18" t="str">
        <f aca="false">IF($A384="","",'SC Change Orders'!$B366)</f>
        <v/>
      </c>
      <c r="D384" s="32" t="str">
        <f aca="false">IF($A384="","",'SC Change Orders'!$C366)</f>
        <v/>
      </c>
      <c r="E384" s="31" t="str">
        <f aca="false">IF($A384="","",'SC Change Orders'!$D366)</f>
        <v/>
      </c>
      <c r="F384" s="33" t="str">
        <f aca="false">IF($A384="","",'SC Change Orders'!$E366)</f>
        <v/>
      </c>
      <c r="G384" s="33" t="str">
        <f aca="false">IF($A384="","",'SC Change Orders'!$F366)</f>
        <v/>
      </c>
      <c r="H384" s="33" t="str">
        <f aca="false">IF($A384="","",'SC Change Orders'!$G366)</f>
        <v/>
      </c>
      <c r="I384" s="34" t="str">
        <f aca="false">IF($A384="","",IF(AND(ISNUMBER('SC Change Orders'!$C366),'SC Change Orders'!$C366&gt;=Controls!$C$5,'SC Change Orders'!$C366&lt;=Controls!$C$6),"Yes","No"))</f>
        <v/>
      </c>
      <c r="J384" s="31" t="str">
        <f aca="false">IF($A384="","",IF($K384="","OK",$K384))</f>
        <v/>
      </c>
      <c r="K384" s="0" t="str">
        <f aca="false">IF($A384="","",IF(NOT(ISNUMBER('SC Change Orders'!$B366)),"PO not numeric — row is invisible to the tracker; ","")&amp;IF(NOT(ISNUMBER('SC Change Orders'!$C366)),"Date missing or text — row excluded; ",  IF(OR('SC Change Orders'!$C366&lt;Controls!$C$5,'SC Change Orders'!$C366&gt;Controls!$C$6),"Dated outside the FY window — excluded; ",""))&amp;IF(AND('SC Change Orders'!$E366&lt;&gt;"",NOT(ISNUMBER('SC Change Orders'!$E366))),"Original Amount held as text — ignored by MINIFS; ","")&amp;IF(AND('SC Change Orders'!$F366&lt;&gt;"",NOT(ISNUMBER('SC Change Orders'!$F366))),"Amount Added held as text — ignored by SUMIFS; ","")&amp;IF(ISNUMBER('SC Change Orders'!$E366),IF(ISNUMBER('SC Change Orders'!$F366),IF(ISNUMBER('SC Change Orders'!$G366),  IF('SC Change Orders'!$G366&gt;0,IF(ROUND('SC Change Orders'!$E366+'SC Change Orders'!$F366,2)&lt;&gt;ROUND('SC Change Orders'!$G366,2),  "Original + Added &lt;&gt; Total Line Cost Allotted; ",""),""),""),""),"")&amp;IF(AND(ISNUMBER('SC Change Orders'!$B366),COUNTIFS('SC Change Orders'!$B$2:$B$501,'SC Change Orders'!$B366,'SC Change Orders'!$C$2:$C$501,'SC Change Orders'!$C366,'SC Change Orders'!$D$2:$D$501,'SC Change Orders'!$D366,'SC Change Orders'!$F$2:$F$501,'SC Change Orders'!$F366,'SC Change Orders'!$E$2:$E$501,'SC Change Orders'!$E366)&gt;1),"Duplicate of another row — funds counted twice; ","")&amp;IF(ISNUMBER('SC Change Orders'!$F366),IF('SC Change Orders'!$F366&lt;&gt;0,IF(AND(ISNUMBER('SC Change Orders'!$B366),NOT(COUNTIFS('SC Change Orders'!$B$2:$B$501,'SC Change Orders'!$B366,'SC Change Orders'!$C$2:$C$501,'SC Change Orders'!$C366,'SC Change Orders'!$D$2:$D$501,'SC Change Orders'!$D366,'SC Change Orders'!$F$2:$F$501,'SC Change Orders'!$F366,'SC Change Orders'!$E$2:$E$501,'SC Change Orders'!$E366)&gt;1),COUNTIFS('SC Change Orders'!$B$2:$B$501,'SC Change Orders'!$B366,'SC Change Orders'!$F$2:$F$501,'SC Change Orders'!$F366)&gt;1),  "Same PO and Amount Added as another row — check for a restatement counted twice; ",""),""),""))</f>
        <v/>
      </c>
    </row>
    <row r="385" customFormat="false" ht="15" hidden="false" customHeight="false" outlineLevel="0" collapsed="false">
      <c r="A385" s="18" t="str">
        <f aca="false">IF(AND('SC Change Orders'!$A367="",'SC Change Orders'!$B367="",'SC Change Orders'!$C367=""),"",367)</f>
        <v/>
      </c>
      <c r="B385" s="31" t="str">
        <f aca="false">IF($A385="","",'SC Change Orders'!$A367)</f>
        <v/>
      </c>
      <c r="C385" s="18" t="str">
        <f aca="false">IF($A385="","",'SC Change Orders'!$B367)</f>
        <v/>
      </c>
      <c r="D385" s="32" t="str">
        <f aca="false">IF($A385="","",'SC Change Orders'!$C367)</f>
        <v/>
      </c>
      <c r="E385" s="31" t="str">
        <f aca="false">IF($A385="","",'SC Change Orders'!$D367)</f>
        <v/>
      </c>
      <c r="F385" s="33" t="str">
        <f aca="false">IF($A385="","",'SC Change Orders'!$E367)</f>
        <v/>
      </c>
      <c r="G385" s="33" t="str">
        <f aca="false">IF($A385="","",'SC Change Orders'!$F367)</f>
        <v/>
      </c>
      <c r="H385" s="33" t="str">
        <f aca="false">IF($A385="","",'SC Change Orders'!$G367)</f>
        <v/>
      </c>
      <c r="I385" s="34" t="str">
        <f aca="false">IF($A385="","",IF(AND(ISNUMBER('SC Change Orders'!$C367),'SC Change Orders'!$C367&gt;=Controls!$C$5,'SC Change Orders'!$C367&lt;=Controls!$C$6),"Yes","No"))</f>
        <v/>
      </c>
      <c r="J385" s="31" t="str">
        <f aca="false">IF($A385="","",IF($K385="","OK",$K385))</f>
        <v/>
      </c>
      <c r="K385" s="0" t="str">
        <f aca="false">IF($A385="","",IF(NOT(ISNUMBER('SC Change Orders'!$B367)),"PO not numeric — row is invisible to the tracker; ","")&amp;IF(NOT(ISNUMBER('SC Change Orders'!$C367)),"Date missing or text — row excluded; ",  IF(OR('SC Change Orders'!$C367&lt;Controls!$C$5,'SC Change Orders'!$C367&gt;Controls!$C$6),"Dated outside the FY window — excluded; ",""))&amp;IF(AND('SC Change Orders'!$E367&lt;&gt;"",NOT(ISNUMBER('SC Change Orders'!$E367))),"Original Amount held as text — ignored by MINIFS; ","")&amp;IF(AND('SC Change Orders'!$F367&lt;&gt;"",NOT(ISNUMBER('SC Change Orders'!$F367))),"Amount Added held as text — ignored by SUMIFS; ","")&amp;IF(ISNUMBER('SC Change Orders'!$E367),IF(ISNUMBER('SC Change Orders'!$F367),IF(ISNUMBER('SC Change Orders'!$G367),  IF('SC Change Orders'!$G367&gt;0,IF(ROUND('SC Change Orders'!$E367+'SC Change Orders'!$F367,2)&lt;&gt;ROUND('SC Change Orders'!$G367,2),  "Original + Added &lt;&gt; Total Line Cost Allotted; ",""),""),""),""),"")&amp;IF(AND(ISNUMBER('SC Change Orders'!$B367),COUNTIFS('SC Change Orders'!$B$2:$B$501,'SC Change Orders'!$B367,'SC Change Orders'!$C$2:$C$501,'SC Change Orders'!$C367,'SC Change Orders'!$D$2:$D$501,'SC Change Orders'!$D367,'SC Change Orders'!$F$2:$F$501,'SC Change Orders'!$F367,'SC Change Orders'!$E$2:$E$501,'SC Change Orders'!$E367)&gt;1),"Duplicate of another row — funds counted twice; ","")&amp;IF(ISNUMBER('SC Change Orders'!$F367),IF('SC Change Orders'!$F367&lt;&gt;0,IF(AND(ISNUMBER('SC Change Orders'!$B367),NOT(COUNTIFS('SC Change Orders'!$B$2:$B$501,'SC Change Orders'!$B367,'SC Change Orders'!$C$2:$C$501,'SC Change Orders'!$C367,'SC Change Orders'!$D$2:$D$501,'SC Change Orders'!$D367,'SC Change Orders'!$F$2:$F$501,'SC Change Orders'!$F367,'SC Change Orders'!$E$2:$E$501,'SC Change Orders'!$E367)&gt;1),COUNTIFS('SC Change Orders'!$B$2:$B$501,'SC Change Orders'!$B367,'SC Change Orders'!$F$2:$F$501,'SC Change Orders'!$F367)&gt;1),  "Same PO and Amount Added as another row — check for a restatement counted twice; ",""),""),""))</f>
        <v/>
      </c>
    </row>
    <row r="386" customFormat="false" ht="15" hidden="false" customHeight="false" outlineLevel="0" collapsed="false">
      <c r="A386" s="18" t="str">
        <f aca="false">IF(AND('SC Change Orders'!$A368="",'SC Change Orders'!$B368="",'SC Change Orders'!$C368=""),"",368)</f>
        <v/>
      </c>
      <c r="B386" s="31" t="str">
        <f aca="false">IF($A386="","",'SC Change Orders'!$A368)</f>
        <v/>
      </c>
      <c r="C386" s="18" t="str">
        <f aca="false">IF($A386="","",'SC Change Orders'!$B368)</f>
        <v/>
      </c>
      <c r="D386" s="32" t="str">
        <f aca="false">IF($A386="","",'SC Change Orders'!$C368)</f>
        <v/>
      </c>
      <c r="E386" s="31" t="str">
        <f aca="false">IF($A386="","",'SC Change Orders'!$D368)</f>
        <v/>
      </c>
      <c r="F386" s="33" t="str">
        <f aca="false">IF($A386="","",'SC Change Orders'!$E368)</f>
        <v/>
      </c>
      <c r="G386" s="33" t="str">
        <f aca="false">IF($A386="","",'SC Change Orders'!$F368)</f>
        <v/>
      </c>
      <c r="H386" s="33" t="str">
        <f aca="false">IF($A386="","",'SC Change Orders'!$G368)</f>
        <v/>
      </c>
      <c r="I386" s="34" t="str">
        <f aca="false">IF($A386="","",IF(AND(ISNUMBER('SC Change Orders'!$C368),'SC Change Orders'!$C368&gt;=Controls!$C$5,'SC Change Orders'!$C368&lt;=Controls!$C$6),"Yes","No"))</f>
        <v/>
      </c>
      <c r="J386" s="31" t="str">
        <f aca="false">IF($A386="","",IF($K386="","OK",$K386))</f>
        <v/>
      </c>
      <c r="K386" s="0" t="str">
        <f aca="false">IF($A386="","",IF(NOT(ISNUMBER('SC Change Orders'!$B368)),"PO not numeric — row is invisible to the tracker; ","")&amp;IF(NOT(ISNUMBER('SC Change Orders'!$C368)),"Date missing or text — row excluded; ",  IF(OR('SC Change Orders'!$C368&lt;Controls!$C$5,'SC Change Orders'!$C368&gt;Controls!$C$6),"Dated outside the FY window — excluded; ",""))&amp;IF(AND('SC Change Orders'!$E368&lt;&gt;"",NOT(ISNUMBER('SC Change Orders'!$E368))),"Original Amount held as text — ignored by MINIFS; ","")&amp;IF(AND('SC Change Orders'!$F368&lt;&gt;"",NOT(ISNUMBER('SC Change Orders'!$F368))),"Amount Added held as text — ignored by SUMIFS; ","")&amp;IF(ISNUMBER('SC Change Orders'!$E368),IF(ISNUMBER('SC Change Orders'!$F368),IF(ISNUMBER('SC Change Orders'!$G368),  IF('SC Change Orders'!$G368&gt;0,IF(ROUND('SC Change Orders'!$E368+'SC Change Orders'!$F368,2)&lt;&gt;ROUND('SC Change Orders'!$G368,2),  "Original + Added &lt;&gt; Total Line Cost Allotted; ",""),""),""),""),"")&amp;IF(AND(ISNUMBER('SC Change Orders'!$B368),COUNTIFS('SC Change Orders'!$B$2:$B$501,'SC Change Orders'!$B368,'SC Change Orders'!$C$2:$C$501,'SC Change Orders'!$C368,'SC Change Orders'!$D$2:$D$501,'SC Change Orders'!$D368,'SC Change Orders'!$F$2:$F$501,'SC Change Orders'!$F368,'SC Change Orders'!$E$2:$E$501,'SC Change Orders'!$E368)&gt;1),"Duplicate of another row — funds counted twice; ","")&amp;IF(ISNUMBER('SC Change Orders'!$F368),IF('SC Change Orders'!$F368&lt;&gt;0,IF(AND(ISNUMBER('SC Change Orders'!$B368),NOT(COUNTIFS('SC Change Orders'!$B$2:$B$501,'SC Change Orders'!$B368,'SC Change Orders'!$C$2:$C$501,'SC Change Orders'!$C368,'SC Change Orders'!$D$2:$D$501,'SC Change Orders'!$D368,'SC Change Orders'!$F$2:$F$501,'SC Change Orders'!$F368,'SC Change Orders'!$E$2:$E$501,'SC Change Orders'!$E368)&gt;1),COUNTIFS('SC Change Orders'!$B$2:$B$501,'SC Change Orders'!$B368,'SC Change Orders'!$F$2:$F$501,'SC Change Orders'!$F368)&gt;1),  "Same PO and Amount Added as another row — check for a restatement counted twice; ",""),""),""))</f>
        <v/>
      </c>
    </row>
    <row r="387" customFormat="false" ht="15" hidden="false" customHeight="false" outlineLevel="0" collapsed="false">
      <c r="A387" s="18" t="str">
        <f aca="false">IF(AND('SC Change Orders'!$A369="",'SC Change Orders'!$B369="",'SC Change Orders'!$C369=""),"",369)</f>
        <v/>
      </c>
      <c r="B387" s="31" t="str">
        <f aca="false">IF($A387="","",'SC Change Orders'!$A369)</f>
        <v/>
      </c>
      <c r="C387" s="18" t="str">
        <f aca="false">IF($A387="","",'SC Change Orders'!$B369)</f>
        <v/>
      </c>
      <c r="D387" s="32" t="str">
        <f aca="false">IF($A387="","",'SC Change Orders'!$C369)</f>
        <v/>
      </c>
      <c r="E387" s="31" t="str">
        <f aca="false">IF($A387="","",'SC Change Orders'!$D369)</f>
        <v/>
      </c>
      <c r="F387" s="33" t="str">
        <f aca="false">IF($A387="","",'SC Change Orders'!$E369)</f>
        <v/>
      </c>
      <c r="G387" s="33" t="str">
        <f aca="false">IF($A387="","",'SC Change Orders'!$F369)</f>
        <v/>
      </c>
      <c r="H387" s="33" t="str">
        <f aca="false">IF($A387="","",'SC Change Orders'!$G369)</f>
        <v/>
      </c>
      <c r="I387" s="34" t="str">
        <f aca="false">IF($A387="","",IF(AND(ISNUMBER('SC Change Orders'!$C369),'SC Change Orders'!$C369&gt;=Controls!$C$5,'SC Change Orders'!$C369&lt;=Controls!$C$6),"Yes","No"))</f>
        <v/>
      </c>
      <c r="J387" s="31" t="str">
        <f aca="false">IF($A387="","",IF($K387="","OK",$K387))</f>
        <v/>
      </c>
      <c r="K387" s="0" t="str">
        <f aca="false">IF($A387="","",IF(NOT(ISNUMBER('SC Change Orders'!$B369)),"PO not numeric — row is invisible to the tracker; ","")&amp;IF(NOT(ISNUMBER('SC Change Orders'!$C369)),"Date missing or text — row excluded; ",  IF(OR('SC Change Orders'!$C369&lt;Controls!$C$5,'SC Change Orders'!$C369&gt;Controls!$C$6),"Dated outside the FY window — excluded; ",""))&amp;IF(AND('SC Change Orders'!$E369&lt;&gt;"",NOT(ISNUMBER('SC Change Orders'!$E369))),"Original Amount held as text — ignored by MINIFS; ","")&amp;IF(AND('SC Change Orders'!$F369&lt;&gt;"",NOT(ISNUMBER('SC Change Orders'!$F369))),"Amount Added held as text — ignored by SUMIFS; ","")&amp;IF(ISNUMBER('SC Change Orders'!$E369),IF(ISNUMBER('SC Change Orders'!$F369),IF(ISNUMBER('SC Change Orders'!$G369),  IF('SC Change Orders'!$G369&gt;0,IF(ROUND('SC Change Orders'!$E369+'SC Change Orders'!$F369,2)&lt;&gt;ROUND('SC Change Orders'!$G369,2),  "Original + Added &lt;&gt; Total Line Cost Allotted; ",""),""),""),""),"")&amp;IF(AND(ISNUMBER('SC Change Orders'!$B369),COUNTIFS('SC Change Orders'!$B$2:$B$501,'SC Change Orders'!$B369,'SC Change Orders'!$C$2:$C$501,'SC Change Orders'!$C369,'SC Change Orders'!$D$2:$D$501,'SC Change Orders'!$D369,'SC Change Orders'!$F$2:$F$501,'SC Change Orders'!$F369,'SC Change Orders'!$E$2:$E$501,'SC Change Orders'!$E369)&gt;1),"Duplicate of another row — funds counted twice; ","")&amp;IF(ISNUMBER('SC Change Orders'!$F369),IF('SC Change Orders'!$F369&lt;&gt;0,IF(AND(ISNUMBER('SC Change Orders'!$B369),NOT(COUNTIFS('SC Change Orders'!$B$2:$B$501,'SC Change Orders'!$B369,'SC Change Orders'!$C$2:$C$501,'SC Change Orders'!$C369,'SC Change Orders'!$D$2:$D$501,'SC Change Orders'!$D369,'SC Change Orders'!$F$2:$F$501,'SC Change Orders'!$F369,'SC Change Orders'!$E$2:$E$501,'SC Change Orders'!$E369)&gt;1),COUNTIFS('SC Change Orders'!$B$2:$B$501,'SC Change Orders'!$B369,'SC Change Orders'!$F$2:$F$501,'SC Change Orders'!$F369)&gt;1),  "Same PO and Amount Added as another row — check for a restatement counted twice; ",""),""),""))</f>
        <v/>
      </c>
    </row>
    <row r="388" customFormat="false" ht="15" hidden="false" customHeight="false" outlineLevel="0" collapsed="false">
      <c r="A388" s="18" t="str">
        <f aca="false">IF(AND('SC Change Orders'!$A370="",'SC Change Orders'!$B370="",'SC Change Orders'!$C370=""),"",370)</f>
        <v/>
      </c>
      <c r="B388" s="31" t="str">
        <f aca="false">IF($A388="","",'SC Change Orders'!$A370)</f>
        <v/>
      </c>
      <c r="C388" s="18" t="str">
        <f aca="false">IF($A388="","",'SC Change Orders'!$B370)</f>
        <v/>
      </c>
      <c r="D388" s="32" t="str">
        <f aca="false">IF($A388="","",'SC Change Orders'!$C370)</f>
        <v/>
      </c>
      <c r="E388" s="31" t="str">
        <f aca="false">IF($A388="","",'SC Change Orders'!$D370)</f>
        <v/>
      </c>
      <c r="F388" s="33" t="str">
        <f aca="false">IF($A388="","",'SC Change Orders'!$E370)</f>
        <v/>
      </c>
      <c r="G388" s="33" t="str">
        <f aca="false">IF($A388="","",'SC Change Orders'!$F370)</f>
        <v/>
      </c>
      <c r="H388" s="33" t="str">
        <f aca="false">IF($A388="","",'SC Change Orders'!$G370)</f>
        <v/>
      </c>
      <c r="I388" s="34" t="str">
        <f aca="false">IF($A388="","",IF(AND(ISNUMBER('SC Change Orders'!$C370),'SC Change Orders'!$C370&gt;=Controls!$C$5,'SC Change Orders'!$C370&lt;=Controls!$C$6),"Yes","No"))</f>
        <v/>
      </c>
      <c r="J388" s="31" t="str">
        <f aca="false">IF($A388="","",IF($K388="","OK",$K388))</f>
        <v/>
      </c>
      <c r="K388" s="0" t="str">
        <f aca="false">IF($A388="","",IF(NOT(ISNUMBER('SC Change Orders'!$B370)),"PO not numeric — row is invisible to the tracker; ","")&amp;IF(NOT(ISNUMBER('SC Change Orders'!$C370)),"Date missing or text — row excluded; ",  IF(OR('SC Change Orders'!$C370&lt;Controls!$C$5,'SC Change Orders'!$C370&gt;Controls!$C$6),"Dated outside the FY window — excluded; ",""))&amp;IF(AND('SC Change Orders'!$E370&lt;&gt;"",NOT(ISNUMBER('SC Change Orders'!$E370))),"Original Amount held as text — ignored by MINIFS; ","")&amp;IF(AND('SC Change Orders'!$F370&lt;&gt;"",NOT(ISNUMBER('SC Change Orders'!$F370))),"Amount Added held as text — ignored by SUMIFS; ","")&amp;IF(ISNUMBER('SC Change Orders'!$E370),IF(ISNUMBER('SC Change Orders'!$F370),IF(ISNUMBER('SC Change Orders'!$G370),  IF('SC Change Orders'!$G370&gt;0,IF(ROUND('SC Change Orders'!$E370+'SC Change Orders'!$F370,2)&lt;&gt;ROUND('SC Change Orders'!$G370,2),  "Original + Added &lt;&gt; Total Line Cost Allotted; ",""),""),""),""),"")&amp;IF(AND(ISNUMBER('SC Change Orders'!$B370),COUNTIFS('SC Change Orders'!$B$2:$B$501,'SC Change Orders'!$B370,'SC Change Orders'!$C$2:$C$501,'SC Change Orders'!$C370,'SC Change Orders'!$D$2:$D$501,'SC Change Orders'!$D370,'SC Change Orders'!$F$2:$F$501,'SC Change Orders'!$F370,'SC Change Orders'!$E$2:$E$501,'SC Change Orders'!$E370)&gt;1),"Duplicate of another row — funds counted twice; ","")&amp;IF(ISNUMBER('SC Change Orders'!$F370),IF('SC Change Orders'!$F370&lt;&gt;0,IF(AND(ISNUMBER('SC Change Orders'!$B370),NOT(COUNTIFS('SC Change Orders'!$B$2:$B$501,'SC Change Orders'!$B370,'SC Change Orders'!$C$2:$C$501,'SC Change Orders'!$C370,'SC Change Orders'!$D$2:$D$501,'SC Change Orders'!$D370,'SC Change Orders'!$F$2:$F$501,'SC Change Orders'!$F370,'SC Change Orders'!$E$2:$E$501,'SC Change Orders'!$E370)&gt;1),COUNTIFS('SC Change Orders'!$B$2:$B$501,'SC Change Orders'!$B370,'SC Change Orders'!$F$2:$F$501,'SC Change Orders'!$F370)&gt;1),  "Same PO and Amount Added as another row — check for a restatement counted twice; ",""),""),""))</f>
        <v/>
      </c>
    </row>
    <row r="389" customFormat="false" ht="15" hidden="false" customHeight="false" outlineLevel="0" collapsed="false">
      <c r="A389" s="18" t="str">
        <f aca="false">IF(AND('SC Change Orders'!$A371="",'SC Change Orders'!$B371="",'SC Change Orders'!$C371=""),"",371)</f>
        <v/>
      </c>
      <c r="B389" s="31" t="str">
        <f aca="false">IF($A389="","",'SC Change Orders'!$A371)</f>
        <v/>
      </c>
      <c r="C389" s="18" t="str">
        <f aca="false">IF($A389="","",'SC Change Orders'!$B371)</f>
        <v/>
      </c>
      <c r="D389" s="32" t="str">
        <f aca="false">IF($A389="","",'SC Change Orders'!$C371)</f>
        <v/>
      </c>
      <c r="E389" s="31" t="str">
        <f aca="false">IF($A389="","",'SC Change Orders'!$D371)</f>
        <v/>
      </c>
      <c r="F389" s="33" t="str">
        <f aca="false">IF($A389="","",'SC Change Orders'!$E371)</f>
        <v/>
      </c>
      <c r="G389" s="33" t="str">
        <f aca="false">IF($A389="","",'SC Change Orders'!$F371)</f>
        <v/>
      </c>
      <c r="H389" s="33" t="str">
        <f aca="false">IF($A389="","",'SC Change Orders'!$G371)</f>
        <v/>
      </c>
      <c r="I389" s="34" t="str">
        <f aca="false">IF($A389="","",IF(AND(ISNUMBER('SC Change Orders'!$C371),'SC Change Orders'!$C371&gt;=Controls!$C$5,'SC Change Orders'!$C371&lt;=Controls!$C$6),"Yes","No"))</f>
        <v/>
      </c>
      <c r="J389" s="31" t="str">
        <f aca="false">IF($A389="","",IF($K389="","OK",$K389))</f>
        <v/>
      </c>
      <c r="K389" s="0" t="str">
        <f aca="false">IF($A389="","",IF(NOT(ISNUMBER('SC Change Orders'!$B371)),"PO not numeric — row is invisible to the tracker; ","")&amp;IF(NOT(ISNUMBER('SC Change Orders'!$C371)),"Date missing or text — row excluded; ",  IF(OR('SC Change Orders'!$C371&lt;Controls!$C$5,'SC Change Orders'!$C371&gt;Controls!$C$6),"Dated outside the FY window — excluded; ",""))&amp;IF(AND('SC Change Orders'!$E371&lt;&gt;"",NOT(ISNUMBER('SC Change Orders'!$E371))),"Original Amount held as text — ignored by MINIFS; ","")&amp;IF(AND('SC Change Orders'!$F371&lt;&gt;"",NOT(ISNUMBER('SC Change Orders'!$F371))),"Amount Added held as text — ignored by SUMIFS; ","")&amp;IF(ISNUMBER('SC Change Orders'!$E371),IF(ISNUMBER('SC Change Orders'!$F371),IF(ISNUMBER('SC Change Orders'!$G371),  IF('SC Change Orders'!$G371&gt;0,IF(ROUND('SC Change Orders'!$E371+'SC Change Orders'!$F371,2)&lt;&gt;ROUND('SC Change Orders'!$G371,2),  "Original + Added &lt;&gt; Total Line Cost Allotted; ",""),""),""),""),"")&amp;IF(AND(ISNUMBER('SC Change Orders'!$B371),COUNTIFS('SC Change Orders'!$B$2:$B$501,'SC Change Orders'!$B371,'SC Change Orders'!$C$2:$C$501,'SC Change Orders'!$C371,'SC Change Orders'!$D$2:$D$501,'SC Change Orders'!$D371,'SC Change Orders'!$F$2:$F$501,'SC Change Orders'!$F371,'SC Change Orders'!$E$2:$E$501,'SC Change Orders'!$E371)&gt;1),"Duplicate of another row — funds counted twice; ","")&amp;IF(ISNUMBER('SC Change Orders'!$F371),IF('SC Change Orders'!$F371&lt;&gt;0,IF(AND(ISNUMBER('SC Change Orders'!$B371),NOT(COUNTIFS('SC Change Orders'!$B$2:$B$501,'SC Change Orders'!$B371,'SC Change Orders'!$C$2:$C$501,'SC Change Orders'!$C371,'SC Change Orders'!$D$2:$D$501,'SC Change Orders'!$D371,'SC Change Orders'!$F$2:$F$501,'SC Change Orders'!$F371,'SC Change Orders'!$E$2:$E$501,'SC Change Orders'!$E371)&gt;1),COUNTIFS('SC Change Orders'!$B$2:$B$501,'SC Change Orders'!$B371,'SC Change Orders'!$F$2:$F$501,'SC Change Orders'!$F371)&gt;1),  "Same PO and Amount Added as another row — check for a restatement counted twice; ",""),""),""))</f>
        <v/>
      </c>
    </row>
    <row r="390" customFormat="false" ht="15" hidden="false" customHeight="false" outlineLevel="0" collapsed="false">
      <c r="A390" s="18" t="str">
        <f aca="false">IF(AND('SC Change Orders'!$A372="",'SC Change Orders'!$B372="",'SC Change Orders'!$C372=""),"",372)</f>
        <v/>
      </c>
      <c r="B390" s="31" t="str">
        <f aca="false">IF($A390="","",'SC Change Orders'!$A372)</f>
        <v/>
      </c>
      <c r="C390" s="18" t="str">
        <f aca="false">IF($A390="","",'SC Change Orders'!$B372)</f>
        <v/>
      </c>
      <c r="D390" s="32" t="str">
        <f aca="false">IF($A390="","",'SC Change Orders'!$C372)</f>
        <v/>
      </c>
      <c r="E390" s="31" t="str">
        <f aca="false">IF($A390="","",'SC Change Orders'!$D372)</f>
        <v/>
      </c>
      <c r="F390" s="33" t="str">
        <f aca="false">IF($A390="","",'SC Change Orders'!$E372)</f>
        <v/>
      </c>
      <c r="G390" s="33" t="str">
        <f aca="false">IF($A390="","",'SC Change Orders'!$F372)</f>
        <v/>
      </c>
      <c r="H390" s="33" t="str">
        <f aca="false">IF($A390="","",'SC Change Orders'!$G372)</f>
        <v/>
      </c>
      <c r="I390" s="34" t="str">
        <f aca="false">IF($A390="","",IF(AND(ISNUMBER('SC Change Orders'!$C372),'SC Change Orders'!$C372&gt;=Controls!$C$5,'SC Change Orders'!$C372&lt;=Controls!$C$6),"Yes","No"))</f>
        <v/>
      </c>
      <c r="J390" s="31" t="str">
        <f aca="false">IF($A390="","",IF($K390="","OK",$K390))</f>
        <v/>
      </c>
      <c r="K390" s="0" t="str">
        <f aca="false">IF($A390="","",IF(NOT(ISNUMBER('SC Change Orders'!$B372)),"PO not numeric — row is invisible to the tracker; ","")&amp;IF(NOT(ISNUMBER('SC Change Orders'!$C372)),"Date missing or text — row excluded; ",  IF(OR('SC Change Orders'!$C372&lt;Controls!$C$5,'SC Change Orders'!$C372&gt;Controls!$C$6),"Dated outside the FY window — excluded; ",""))&amp;IF(AND('SC Change Orders'!$E372&lt;&gt;"",NOT(ISNUMBER('SC Change Orders'!$E372))),"Original Amount held as text — ignored by MINIFS; ","")&amp;IF(AND('SC Change Orders'!$F372&lt;&gt;"",NOT(ISNUMBER('SC Change Orders'!$F372))),"Amount Added held as text — ignored by SUMIFS; ","")&amp;IF(ISNUMBER('SC Change Orders'!$E372),IF(ISNUMBER('SC Change Orders'!$F372),IF(ISNUMBER('SC Change Orders'!$G372),  IF('SC Change Orders'!$G372&gt;0,IF(ROUND('SC Change Orders'!$E372+'SC Change Orders'!$F372,2)&lt;&gt;ROUND('SC Change Orders'!$G372,2),  "Original + Added &lt;&gt; Total Line Cost Allotted; ",""),""),""),""),"")&amp;IF(AND(ISNUMBER('SC Change Orders'!$B372),COUNTIFS('SC Change Orders'!$B$2:$B$501,'SC Change Orders'!$B372,'SC Change Orders'!$C$2:$C$501,'SC Change Orders'!$C372,'SC Change Orders'!$D$2:$D$501,'SC Change Orders'!$D372,'SC Change Orders'!$F$2:$F$501,'SC Change Orders'!$F372,'SC Change Orders'!$E$2:$E$501,'SC Change Orders'!$E372)&gt;1),"Duplicate of another row — funds counted twice; ","")&amp;IF(ISNUMBER('SC Change Orders'!$F372),IF('SC Change Orders'!$F372&lt;&gt;0,IF(AND(ISNUMBER('SC Change Orders'!$B372),NOT(COUNTIFS('SC Change Orders'!$B$2:$B$501,'SC Change Orders'!$B372,'SC Change Orders'!$C$2:$C$501,'SC Change Orders'!$C372,'SC Change Orders'!$D$2:$D$501,'SC Change Orders'!$D372,'SC Change Orders'!$F$2:$F$501,'SC Change Orders'!$F372,'SC Change Orders'!$E$2:$E$501,'SC Change Orders'!$E372)&gt;1),COUNTIFS('SC Change Orders'!$B$2:$B$501,'SC Change Orders'!$B372,'SC Change Orders'!$F$2:$F$501,'SC Change Orders'!$F372)&gt;1),  "Same PO and Amount Added as another row — check for a restatement counted twice; ",""),""),""))</f>
        <v/>
      </c>
    </row>
    <row r="391" customFormat="false" ht="15" hidden="false" customHeight="false" outlineLevel="0" collapsed="false">
      <c r="A391" s="18" t="str">
        <f aca="false">IF(AND('SC Change Orders'!$A373="",'SC Change Orders'!$B373="",'SC Change Orders'!$C373=""),"",373)</f>
        <v/>
      </c>
      <c r="B391" s="31" t="str">
        <f aca="false">IF($A391="","",'SC Change Orders'!$A373)</f>
        <v/>
      </c>
      <c r="C391" s="18" t="str">
        <f aca="false">IF($A391="","",'SC Change Orders'!$B373)</f>
        <v/>
      </c>
      <c r="D391" s="32" t="str">
        <f aca="false">IF($A391="","",'SC Change Orders'!$C373)</f>
        <v/>
      </c>
      <c r="E391" s="31" t="str">
        <f aca="false">IF($A391="","",'SC Change Orders'!$D373)</f>
        <v/>
      </c>
      <c r="F391" s="33" t="str">
        <f aca="false">IF($A391="","",'SC Change Orders'!$E373)</f>
        <v/>
      </c>
      <c r="G391" s="33" t="str">
        <f aca="false">IF($A391="","",'SC Change Orders'!$F373)</f>
        <v/>
      </c>
      <c r="H391" s="33" t="str">
        <f aca="false">IF($A391="","",'SC Change Orders'!$G373)</f>
        <v/>
      </c>
      <c r="I391" s="34" t="str">
        <f aca="false">IF($A391="","",IF(AND(ISNUMBER('SC Change Orders'!$C373),'SC Change Orders'!$C373&gt;=Controls!$C$5,'SC Change Orders'!$C373&lt;=Controls!$C$6),"Yes","No"))</f>
        <v/>
      </c>
      <c r="J391" s="31" t="str">
        <f aca="false">IF($A391="","",IF($K391="","OK",$K391))</f>
        <v/>
      </c>
      <c r="K391" s="0" t="str">
        <f aca="false">IF($A391="","",IF(NOT(ISNUMBER('SC Change Orders'!$B373)),"PO not numeric — row is invisible to the tracker; ","")&amp;IF(NOT(ISNUMBER('SC Change Orders'!$C373)),"Date missing or text — row excluded; ",  IF(OR('SC Change Orders'!$C373&lt;Controls!$C$5,'SC Change Orders'!$C373&gt;Controls!$C$6),"Dated outside the FY window — excluded; ",""))&amp;IF(AND('SC Change Orders'!$E373&lt;&gt;"",NOT(ISNUMBER('SC Change Orders'!$E373))),"Original Amount held as text — ignored by MINIFS; ","")&amp;IF(AND('SC Change Orders'!$F373&lt;&gt;"",NOT(ISNUMBER('SC Change Orders'!$F373))),"Amount Added held as text — ignored by SUMIFS; ","")&amp;IF(ISNUMBER('SC Change Orders'!$E373),IF(ISNUMBER('SC Change Orders'!$F373),IF(ISNUMBER('SC Change Orders'!$G373),  IF('SC Change Orders'!$G373&gt;0,IF(ROUND('SC Change Orders'!$E373+'SC Change Orders'!$F373,2)&lt;&gt;ROUND('SC Change Orders'!$G373,2),  "Original + Added &lt;&gt; Total Line Cost Allotted; ",""),""),""),""),"")&amp;IF(AND(ISNUMBER('SC Change Orders'!$B373),COUNTIFS('SC Change Orders'!$B$2:$B$501,'SC Change Orders'!$B373,'SC Change Orders'!$C$2:$C$501,'SC Change Orders'!$C373,'SC Change Orders'!$D$2:$D$501,'SC Change Orders'!$D373,'SC Change Orders'!$F$2:$F$501,'SC Change Orders'!$F373,'SC Change Orders'!$E$2:$E$501,'SC Change Orders'!$E373)&gt;1),"Duplicate of another row — funds counted twice; ","")&amp;IF(ISNUMBER('SC Change Orders'!$F373),IF('SC Change Orders'!$F373&lt;&gt;0,IF(AND(ISNUMBER('SC Change Orders'!$B373),NOT(COUNTIFS('SC Change Orders'!$B$2:$B$501,'SC Change Orders'!$B373,'SC Change Orders'!$C$2:$C$501,'SC Change Orders'!$C373,'SC Change Orders'!$D$2:$D$501,'SC Change Orders'!$D373,'SC Change Orders'!$F$2:$F$501,'SC Change Orders'!$F373,'SC Change Orders'!$E$2:$E$501,'SC Change Orders'!$E373)&gt;1),COUNTIFS('SC Change Orders'!$B$2:$B$501,'SC Change Orders'!$B373,'SC Change Orders'!$F$2:$F$501,'SC Change Orders'!$F373)&gt;1),  "Same PO and Amount Added as another row — check for a restatement counted twice; ",""),""),""))</f>
        <v/>
      </c>
    </row>
    <row r="392" customFormat="false" ht="15" hidden="false" customHeight="false" outlineLevel="0" collapsed="false">
      <c r="A392" s="18" t="str">
        <f aca="false">IF(AND('SC Change Orders'!$A374="",'SC Change Orders'!$B374="",'SC Change Orders'!$C374=""),"",374)</f>
        <v/>
      </c>
      <c r="B392" s="31" t="str">
        <f aca="false">IF($A392="","",'SC Change Orders'!$A374)</f>
        <v/>
      </c>
      <c r="C392" s="18" t="str">
        <f aca="false">IF($A392="","",'SC Change Orders'!$B374)</f>
        <v/>
      </c>
      <c r="D392" s="32" t="str">
        <f aca="false">IF($A392="","",'SC Change Orders'!$C374)</f>
        <v/>
      </c>
      <c r="E392" s="31" t="str">
        <f aca="false">IF($A392="","",'SC Change Orders'!$D374)</f>
        <v/>
      </c>
      <c r="F392" s="33" t="str">
        <f aca="false">IF($A392="","",'SC Change Orders'!$E374)</f>
        <v/>
      </c>
      <c r="G392" s="33" t="str">
        <f aca="false">IF($A392="","",'SC Change Orders'!$F374)</f>
        <v/>
      </c>
      <c r="H392" s="33" t="str">
        <f aca="false">IF($A392="","",'SC Change Orders'!$G374)</f>
        <v/>
      </c>
      <c r="I392" s="34" t="str">
        <f aca="false">IF($A392="","",IF(AND(ISNUMBER('SC Change Orders'!$C374),'SC Change Orders'!$C374&gt;=Controls!$C$5,'SC Change Orders'!$C374&lt;=Controls!$C$6),"Yes","No"))</f>
        <v/>
      </c>
      <c r="J392" s="31" t="str">
        <f aca="false">IF($A392="","",IF($K392="","OK",$K392))</f>
        <v/>
      </c>
      <c r="K392" s="0" t="str">
        <f aca="false">IF($A392="","",IF(NOT(ISNUMBER('SC Change Orders'!$B374)),"PO not numeric — row is invisible to the tracker; ","")&amp;IF(NOT(ISNUMBER('SC Change Orders'!$C374)),"Date missing or text — row excluded; ",  IF(OR('SC Change Orders'!$C374&lt;Controls!$C$5,'SC Change Orders'!$C374&gt;Controls!$C$6),"Dated outside the FY window — excluded; ",""))&amp;IF(AND('SC Change Orders'!$E374&lt;&gt;"",NOT(ISNUMBER('SC Change Orders'!$E374))),"Original Amount held as text — ignored by MINIFS; ","")&amp;IF(AND('SC Change Orders'!$F374&lt;&gt;"",NOT(ISNUMBER('SC Change Orders'!$F374))),"Amount Added held as text — ignored by SUMIFS; ","")&amp;IF(ISNUMBER('SC Change Orders'!$E374),IF(ISNUMBER('SC Change Orders'!$F374),IF(ISNUMBER('SC Change Orders'!$G374),  IF('SC Change Orders'!$G374&gt;0,IF(ROUND('SC Change Orders'!$E374+'SC Change Orders'!$F374,2)&lt;&gt;ROUND('SC Change Orders'!$G374,2),  "Original + Added &lt;&gt; Total Line Cost Allotted; ",""),""),""),""),"")&amp;IF(AND(ISNUMBER('SC Change Orders'!$B374),COUNTIFS('SC Change Orders'!$B$2:$B$501,'SC Change Orders'!$B374,'SC Change Orders'!$C$2:$C$501,'SC Change Orders'!$C374,'SC Change Orders'!$D$2:$D$501,'SC Change Orders'!$D374,'SC Change Orders'!$F$2:$F$501,'SC Change Orders'!$F374,'SC Change Orders'!$E$2:$E$501,'SC Change Orders'!$E374)&gt;1),"Duplicate of another row — funds counted twice; ","")&amp;IF(ISNUMBER('SC Change Orders'!$F374),IF('SC Change Orders'!$F374&lt;&gt;0,IF(AND(ISNUMBER('SC Change Orders'!$B374),NOT(COUNTIFS('SC Change Orders'!$B$2:$B$501,'SC Change Orders'!$B374,'SC Change Orders'!$C$2:$C$501,'SC Change Orders'!$C374,'SC Change Orders'!$D$2:$D$501,'SC Change Orders'!$D374,'SC Change Orders'!$F$2:$F$501,'SC Change Orders'!$F374,'SC Change Orders'!$E$2:$E$501,'SC Change Orders'!$E374)&gt;1),COUNTIFS('SC Change Orders'!$B$2:$B$501,'SC Change Orders'!$B374,'SC Change Orders'!$F$2:$F$501,'SC Change Orders'!$F374)&gt;1),  "Same PO and Amount Added as another row — check for a restatement counted twice; ",""),""),""))</f>
        <v/>
      </c>
    </row>
    <row r="393" customFormat="false" ht="15" hidden="false" customHeight="false" outlineLevel="0" collapsed="false">
      <c r="A393" s="18" t="str">
        <f aca="false">IF(AND('SC Change Orders'!$A375="",'SC Change Orders'!$B375="",'SC Change Orders'!$C375=""),"",375)</f>
        <v/>
      </c>
      <c r="B393" s="31" t="str">
        <f aca="false">IF($A393="","",'SC Change Orders'!$A375)</f>
        <v/>
      </c>
      <c r="C393" s="18" t="str">
        <f aca="false">IF($A393="","",'SC Change Orders'!$B375)</f>
        <v/>
      </c>
      <c r="D393" s="32" t="str">
        <f aca="false">IF($A393="","",'SC Change Orders'!$C375)</f>
        <v/>
      </c>
      <c r="E393" s="31" t="str">
        <f aca="false">IF($A393="","",'SC Change Orders'!$D375)</f>
        <v/>
      </c>
      <c r="F393" s="33" t="str">
        <f aca="false">IF($A393="","",'SC Change Orders'!$E375)</f>
        <v/>
      </c>
      <c r="G393" s="33" t="str">
        <f aca="false">IF($A393="","",'SC Change Orders'!$F375)</f>
        <v/>
      </c>
      <c r="H393" s="33" t="str">
        <f aca="false">IF($A393="","",'SC Change Orders'!$G375)</f>
        <v/>
      </c>
      <c r="I393" s="34" t="str">
        <f aca="false">IF($A393="","",IF(AND(ISNUMBER('SC Change Orders'!$C375),'SC Change Orders'!$C375&gt;=Controls!$C$5,'SC Change Orders'!$C375&lt;=Controls!$C$6),"Yes","No"))</f>
        <v/>
      </c>
      <c r="J393" s="31" t="str">
        <f aca="false">IF($A393="","",IF($K393="","OK",$K393))</f>
        <v/>
      </c>
      <c r="K393" s="0" t="str">
        <f aca="false">IF($A393="","",IF(NOT(ISNUMBER('SC Change Orders'!$B375)),"PO not numeric — row is invisible to the tracker; ","")&amp;IF(NOT(ISNUMBER('SC Change Orders'!$C375)),"Date missing or text — row excluded; ",  IF(OR('SC Change Orders'!$C375&lt;Controls!$C$5,'SC Change Orders'!$C375&gt;Controls!$C$6),"Dated outside the FY window — excluded; ",""))&amp;IF(AND('SC Change Orders'!$E375&lt;&gt;"",NOT(ISNUMBER('SC Change Orders'!$E375))),"Original Amount held as text — ignored by MINIFS; ","")&amp;IF(AND('SC Change Orders'!$F375&lt;&gt;"",NOT(ISNUMBER('SC Change Orders'!$F375))),"Amount Added held as text — ignored by SUMIFS; ","")&amp;IF(ISNUMBER('SC Change Orders'!$E375),IF(ISNUMBER('SC Change Orders'!$F375),IF(ISNUMBER('SC Change Orders'!$G375),  IF('SC Change Orders'!$G375&gt;0,IF(ROUND('SC Change Orders'!$E375+'SC Change Orders'!$F375,2)&lt;&gt;ROUND('SC Change Orders'!$G375,2),  "Original + Added &lt;&gt; Total Line Cost Allotted; ",""),""),""),""),"")&amp;IF(AND(ISNUMBER('SC Change Orders'!$B375),COUNTIFS('SC Change Orders'!$B$2:$B$501,'SC Change Orders'!$B375,'SC Change Orders'!$C$2:$C$501,'SC Change Orders'!$C375,'SC Change Orders'!$D$2:$D$501,'SC Change Orders'!$D375,'SC Change Orders'!$F$2:$F$501,'SC Change Orders'!$F375,'SC Change Orders'!$E$2:$E$501,'SC Change Orders'!$E375)&gt;1),"Duplicate of another row — funds counted twice; ","")&amp;IF(ISNUMBER('SC Change Orders'!$F375),IF('SC Change Orders'!$F375&lt;&gt;0,IF(AND(ISNUMBER('SC Change Orders'!$B375),NOT(COUNTIFS('SC Change Orders'!$B$2:$B$501,'SC Change Orders'!$B375,'SC Change Orders'!$C$2:$C$501,'SC Change Orders'!$C375,'SC Change Orders'!$D$2:$D$501,'SC Change Orders'!$D375,'SC Change Orders'!$F$2:$F$501,'SC Change Orders'!$F375,'SC Change Orders'!$E$2:$E$501,'SC Change Orders'!$E375)&gt;1),COUNTIFS('SC Change Orders'!$B$2:$B$501,'SC Change Orders'!$B375,'SC Change Orders'!$F$2:$F$501,'SC Change Orders'!$F375)&gt;1),  "Same PO and Amount Added as another row — check for a restatement counted twice; ",""),""),""))</f>
        <v/>
      </c>
    </row>
    <row r="394" customFormat="false" ht="15" hidden="false" customHeight="false" outlineLevel="0" collapsed="false">
      <c r="A394" s="18" t="str">
        <f aca="false">IF(AND('SC Change Orders'!$A376="",'SC Change Orders'!$B376="",'SC Change Orders'!$C376=""),"",376)</f>
        <v/>
      </c>
      <c r="B394" s="31" t="str">
        <f aca="false">IF($A394="","",'SC Change Orders'!$A376)</f>
        <v/>
      </c>
      <c r="C394" s="18" t="str">
        <f aca="false">IF($A394="","",'SC Change Orders'!$B376)</f>
        <v/>
      </c>
      <c r="D394" s="32" t="str">
        <f aca="false">IF($A394="","",'SC Change Orders'!$C376)</f>
        <v/>
      </c>
      <c r="E394" s="31" t="str">
        <f aca="false">IF($A394="","",'SC Change Orders'!$D376)</f>
        <v/>
      </c>
      <c r="F394" s="33" t="str">
        <f aca="false">IF($A394="","",'SC Change Orders'!$E376)</f>
        <v/>
      </c>
      <c r="G394" s="33" t="str">
        <f aca="false">IF($A394="","",'SC Change Orders'!$F376)</f>
        <v/>
      </c>
      <c r="H394" s="33" t="str">
        <f aca="false">IF($A394="","",'SC Change Orders'!$G376)</f>
        <v/>
      </c>
      <c r="I394" s="34" t="str">
        <f aca="false">IF($A394="","",IF(AND(ISNUMBER('SC Change Orders'!$C376),'SC Change Orders'!$C376&gt;=Controls!$C$5,'SC Change Orders'!$C376&lt;=Controls!$C$6),"Yes","No"))</f>
        <v/>
      </c>
      <c r="J394" s="31" t="str">
        <f aca="false">IF($A394="","",IF($K394="","OK",$K394))</f>
        <v/>
      </c>
      <c r="K394" s="0" t="str">
        <f aca="false">IF($A394="","",IF(NOT(ISNUMBER('SC Change Orders'!$B376)),"PO not numeric — row is invisible to the tracker; ","")&amp;IF(NOT(ISNUMBER('SC Change Orders'!$C376)),"Date missing or text — row excluded; ",  IF(OR('SC Change Orders'!$C376&lt;Controls!$C$5,'SC Change Orders'!$C376&gt;Controls!$C$6),"Dated outside the FY window — excluded; ",""))&amp;IF(AND('SC Change Orders'!$E376&lt;&gt;"",NOT(ISNUMBER('SC Change Orders'!$E376))),"Original Amount held as text — ignored by MINIFS; ","")&amp;IF(AND('SC Change Orders'!$F376&lt;&gt;"",NOT(ISNUMBER('SC Change Orders'!$F376))),"Amount Added held as text — ignored by SUMIFS; ","")&amp;IF(ISNUMBER('SC Change Orders'!$E376),IF(ISNUMBER('SC Change Orders'!$F376),IF(ISNUMBER('SC Change Orders'!$G376),  IF('SC Change Orders'!$G376&gt;0,IF(ROUND('SC Change Orders'!$E376+'SC Change Orders'!$F376,2)&lt;&gt;ROUND('SC Change Orders'!$G376,2),  "Original + Added &lt;&gt; Total Line Cost Allotted; ",""),""),""),""),"")&amp;IF(AND(ISNUMBER('SC Change Orders'!$B376),COUNTIFS('SC Change Orders'!$B$2:$B$501,'SC Change Orders'!$B376,'SC Change Orders'!$C$2:$C$501,'SC Change Orders'!$C376,'SC Change Orders'!$D$2:$D$501,'SC Change Orders'!$D376,'SC Change Orders'!$F$2:$F$501,'SC Change Orders'!$F376,'SC Change Orders'!$E$2:$E$501,'SC Change Orders'!$E376)&gt;1),"Duplicate of another row — funds counted twice; ","")&amp;IF(ISNUMBER('SC Change Orders'!$F376),IF('SC Change Orders'!$F376&lt;&gt;0,IF(AND(ISNUMBER('SC Change Orders'!$B376),NOT(COUNTIFS('SC Change Orders'!$B$2:$B$501,'SC Change Orders'!$B376,'SC Change Orders'!$C$2:$C$501,'SC Change Orders'!$C376,'SC Change Orders'!$D$2:$D$501,'SC Change Orders'!$D376,'SC Change Orders'!$F$2:$F$501,'SC Change Orders'!$F376,'SC Change Orders'!$E$2:$E$501,'SC Change Orders'!$E376)&gt;1),COUNTIFS('SC Change Orders'!$B$2:$B$501,'SC Change Orders'!$B376,'SC Change Orders'!$F$2:$F$501,'SC Change Orders'!$F376)&gt;1),  "Same PO and Amount Added as another row — check for a restatement counted twice; ",""),""),""))</f>
        <v/>
      </c>
    </row>
    <row r="395" customFormat="false" ht="15" hidden="false" customHeight="false" outlineLevel="0" collapsed="false">
      <c r="A395" s="18" t="str">
        <f aca="false">IF(AND('SC Change Orders'!$A377="",'SC Change Orders'!$B377="",'SC Change Orders'!$C377=""),"",377)</f>
        <v/>
      </c>
      <c r="B395" s="31" t="str">
        <f aca="false">IF($A395="","",'SC Change Orders'!$A377)</f>
        <v/>
      </c>
      <c r="C395" s="18" t="str">
        <f aca="false">IF($A395="","",'SC Change Orders'!$B377)</f>
        <v/>
      </c>
      <c r="D395" s="32" t="str">
        <f aca="false">IF($A395="","",'SC Change Orders'!$C377)</f>
        <v/>
      </c>
      <c r="E395" s="31" t="str">
        <f aca="false">IF($A395="","",'SC Change Orders'!$D377)</f>
        <v/>
      </c>
      <c r="F395" s="33" t="str">
        <f aca="false">IF($A395="","",'SC Change Orders'!$E377)</f>
        <v/>
      </c>
      <c r="G395" s="33" t="str">
        <f aca="false">IF($A395="","",'SC Change Orders'!$F377)</f>
        <v/>
      </c>
      <c r="H395" s="33" t="str">
        <f aca="false">IF($A395="","",'SC Change Orders'!$G377)</f>
        <v/>
      </c>
      <c r="I395" s="34" t="str">
        <f aca="false">IF($A395="","",IF(AND(ISNUMBER('SC Change Orders'!$C377),'SC Change Orders'!$C377&gt;=Controls!$C$5,'SC Change Orders'!$C377&lt;=Controls!$C$6),"Yes","No"))</f>
        <v/>
      </c>
      <c r="J395" s="31" t="str">
        <f aca="false">IF($A395="","",IF($K395="","OK",$K395))</f>
        <v/>
      </c>
      <c r="K395" s="0" t="str">
        <f aca="false">IF($A395="","",IF(NOT(ISNUMBER('SC Change Orders'!$B377)),"PO not numeric — row is invisible to the tracker; ","")&amp;IF(NOT(ISNUMBER('SC Change Orders'!$C377)),"Date missing or text — row excluded; ",  IF(OR('SC Change Orders'!$C377&lt;Controls!$C$5,'SC Change Orders'!$C377&gt;Controls!$C$6),"Dated outside the FY window — excluded; ",""))&amp;IF(AND('SC Change Orders'!$E377&lt;&gt;"",NOT(ISNUMBER('SC Change Orders'!$E377))),"Original Amount held as text — ignored by MINIFS; ","")&amp;IF(AND('SC Change Orders'!$F377&lt;&gt;"",NOT(ISNUMBER('SC Change Orders'!$F377))),"Amount Added held as text — ignored by SUMIFS; ","")&amp;IF(ISNUMBER('SC Change Orders'!$E377),IF(ISNUMBER('SC Change Orders'!$F377),IF(ISNUMBER('SC Change Orders'!$G377),  IF('SC Change Orders'!$G377&gt;0,IF(ROUND('SC Change Orders'!$E377+'SC Change Orders'!$F377,2)&lt;&gt;ROUND('SC Change Orders'!$G377,2),  "Original + Added &lt;&gt; Total Line Cost Allotted; ",""),""),""),""),"")&amp;IF(AND(ISNUMBER('SC Change Orders'!$B377),COUNTIFS('SC Change Orders'!$B$2:$B$501,'SC Change Orders'!$B377,'SC Change Orders'!$C$2:$C$501,'SC Change Orders'!$C377,'SC Change Orders'!$D$2:$D$501,'SC Change Orders'!$D377,'SC Change Orders'!$F$2:$F$501,'SC Change Orders'!$F377,'SC Change Orders'!$E$2:$E$501,'SC Change Orders'!$E377)&gt;1),"Duplicate of another row — funds counted twice; ","")&amp;IF(ISNUMBER('SC Change Orders'!$F377),IF('SC Change Orders'!$F377&lt;&gt;0,IF(AND(ISNUMBER('SC Change Orders'!$B377),NOT(COUNTIFS('SC Change Orders'!$B$2:$B$501,'SC Change Orders'!$B377,'SC Change Orders'!$C$2:$C$501,'SC Change Orders'!$C377,'SC Change Orders'!$D$2:$D$501,'SC Change Orders'!$D377,'SC Change Orders'!$F$2:$F$501,'SC Change Orders'!$F377,'SC Change Orders'!$E$2:$E$501,'SC Change Orders'!$E377)&gt;1),COUNTIFS('SC Change Orders'!$B$2:$B$501,'SC Change Orders'!$B377,'SC Change Orders'!$F$2:$F$501,'SC Change Orders'!$F377)&gt;1),  "Same PO and Amount Added as another row — check for a restatement counted twice; ",""),""),""))</f>
        <v/>
      </c>
    </row>
    <row r="396" customFormat="false" ht="15" hidden="false" customHeight="false" outlineLevel="0" collapsed="false">
      <c r="A396" s="18" t="str">
        <f aca="false">IF(AND('SC Change Orders'!$A378="",'SC Change Orders'!$B378="",'SC Change Orders'!$C378=""),"",378)</f>
        <v/>
      </c>
      <c r="B396" s="31" t="str">
        <f aca="false">IF($A396="","",'SC Change Orders'!$A378)</f>
        <v/>
      </c>
      <c r="C396" s="18" t="str">
        <f aca="false">IF($A396="","",'SC Change Orders'!$B378)</f>
        <v/>
      </c>
      <c r="D396" s="32" t="str">
        <f aca="false">IF($A396="","",'SC Change Orders'!$C378)</f>
        <v/>
      </c>
      <c r="E396" s="31" t="str">
        <f aca="false">IF($A396="","",'SC Change Orders'!$D378)</f>
        <v/>
      </c>
      <c r="F396" s="33" t="str">
        <f aca="false">IF($A396="","",'SC Change Orders'!$E378)</f>
        <v/>
      </c>
      <c r="G396" s="33" t="str">
        <f aca="false">IF($A396="","",'SC Change Orders'!$F378)</f>
        <v/>
      </c>
      <c r="H396" s="33" t="str">
        <f aca="false">IF($A396="","",'SC Change Orders'!$G378)</f>
        <v/>
      </c>
      <c r="I396" s="34" t="str">
        <f aca="false">IF($A396="","",IF(AND(ISNUMBER('SC Change Orders'!$C378),'SC Change Orders'!$C378&gt;=Controls!$C$5,'SC Change Orders'!$C378&lt;=Controls!$C$6),"Yes","No"))</f>
        <v/>
      </c>
      <c r="J396" s="31" t="str">
        <f aca="false">IF($A396="","",IF($K396="","OK",$K396))</f>
        <v/>
      </c>
      <c r="K396" s="0" t="str">
        <f aca="false">IF($A396="","",IF(NOT(ISNUMBER('SC Change Orders'!$B378)),"PO not numeric — row is invisible to the tracker; ","")&amp;IF(NOT(ISNUMBER('SC Change Orders'!$C378)),"Date missing or text — row excluded; ",  IF(OR('SC Change Orders'!$C378&lt;Controls!$C$5,'SC Change Orders'!$C378&gt;Controls!$C$6),"Dated outside the FY window — excluded; ",""))&amp;IF(AND('SC Change Orders'!$E378&lt;&gt;"",NOT(ISNUMBER('SC Change Orders'!$E378))),"Original Amount held as text — ignored by MINIFS; ","")&amp;IF(AND('SC Change Orders'!$F378&lt;&gt;"",NOT(ISNUMBER('SC Change Orders'!$F378))),"Amount Added held as text — ignored by SUMIFS; ","")&amp;IF(ISNUMBER('SC Change Orders'!$E378),IF(ISNUMBER('SC Change Orders'!$F378),IF(ISNUMBER('SC Change Orders'!$G378),  IF('SC Change Orders'!$G378&gt;0,IF(ROUND('SC Change Orders'!$E378+'SC Change Orders'!$F378,2)&lt;&gt;ROUND('SC Change Orders'!$G378,2),  "Original + Added &lt;&gt; Total Line Cost Allotted; ",""),""),""),""),"")&amp;IF(AND(ISNUMBER('SC Change Orders'!$B378),COUNTIFS('SC Change Orders'!$B$2:$B$501,'SC Change Orders'!$B378,'SC Change Orders'!$C$2:$C$501,'SC Change Orders'!$C378,'SC Change Orders'!$D$2:$D$501,'SC Change Orders'!$D378,'SC Change Orders'!$F$2:$F$501,'SC Change Orders'!$F378,'SC Change Orders'!$E$2:$E$501,'SC Change Orders'!$E378)&gt;1),"Duplicate of another row — funds counted twice; ","")&amp;IF(ISNUMBER('SC Change Orders'!$F378),IF('SC Change Orders'!$F378&lt;&gt;0,IF(AND(ISNUMBER('SC Change Orders'!$B378),NOT(COUNTIFS('SC Change Orders'!$B$2:$B$501,'SC Change Orders'!$B378,'SC Change Orders'!$C$2:$C$501,'SC Change Orders'!$C378,'SC Change Orders'!$D$2:$D$501,'SC Change Orders'!$D378,'SC Change Orders'!$F$2:$F$501,'SC Change Orders'!$F378,'SC Change Orders'!$E$2:$E$501,'SC Change Orders'!$E378)&gt;1),COUNTIFS('SC Change Orders'!$B$2:$B$501,'SC Change Orders'!$B378,'SC Change Orders'!$F$2:$F$501,'SC Change Orders'!$F378)&gt;1),  "Same PO and Amount Added as another row — check for a restatement counted twice; ",""),""),""))</f>
        <v/>
      </c>
    </row>
    <row r="397" customFormat="false" ht="15" hidden="false" customHeight="false" outlineLevel="0" collapsed="false">
      <c r="A397" s="18" t="str">
        <f aca="false">IF(AND('SC Change Orders'!$A379="",'SC Change Orders'!$B379="",'SC Change Orders'!$C379=""),"",379)</f>
        <v/>
      </c>
      <c r="B397" s="31" t="str">
        <f aca="false">IF($A397="","",'SC Change Orders'!$A379)</f>
        <v/>
      </c>
      <c r="C397" s="18" t="str">
        <f aca="false">IF($A397="","",'SC Change Orders'!$B379)</f>
        <v/>
      </c>
      <c r="D397" s="32" t="str">
        <f aca="false">IF($A397="","",'SC Change Orders'!$C379)</f>
        <v/>
      </c>
      <c r="E397" s="31" t="str">
        <f aca="false">IF($A397="","",'SC Change Orders'!$D379)</f>
        <v/>
      </c>
      <c r="F397" s="33" t="str">
        <f aca="false">IF($A397="","",'SC Change Orders'!$E379)</f>
        <v/>
      </c>
      <c r="G397" s="33" t="str">
        <f aca="false">IF($A397="","",'SC Change Orders'!$F379)</f>
        <v/>
      </c>
      <c r="H397" s="33" t="str">
        <f aca="false">IF($A397="","",'SC Change Orders'!$G379)</f>
        <v/>
      </c>
      <c r="I397" s="34" t="str">
        <f aca="false">IF($A397="","",IF(AND(ISNUMBER('SC Change Orders'!$C379),'SC Change Orders'!$C379&gt;=Controls!$C$5,'SC Change Orders'!$C379&lt;=Controls!$C$6),"Yes","No"))</f>
        <v/>
      </c>
      <c r="J397" s="31" t="str">
        <f aca="false">IF($A397="","",IF($K397="","OK",$K397))</f>
        <v/>
      </c>
      <c r="K397" s="0" t="str">
        <f aca="false">IF($A397="","",IF(NOT(ISNUMBER('SC Change Orders'!$B379)),"PO not numeric — row is invisible to the tracker; ","")&amp;IF(NOT(ISNUMBER('SC Change Orders'!$C379)),"Date missing or text — row excluded; ",  IF(OR('SC Change Orders'!$C379&lt;Controls!$C$5,'SC Change Orders'!$C379&gt;Controls!$C$6),"Dated outside the FY window — excluded; ",""))&amp;IF(AND('SC Change Orders'!$E379&lt;&gt;"",NOT(ISNUMBER('SC Change Orders'!$E379))),"Original Amount held as text — ignored by MINIFS; ","")&amp;IF(AND('SC Change Orders'!$F379&lt;&gt;"",NOT(ISNUMBER('SC Change Orders'!$F379))),"Amount Added held as text — ignored by SUMIFS; ","")&amp;IF(ISNUMBER('SC Change Orders'!$E379),IF(ISNUMBER('SC Change Orders'!$F379),IF(ISNUMBER('SC Change Orders'!$G379),  IF('SC Change Orders'!$G379&gt;0,IF(ROUND('SC Change Orders'!$E379+'SC Change Orders'!$F379,2)&lt;&gt;ROUND('SC Change Orders'!$G379,2),  "Original + Added &lt;&gt; Total Line Cost Allotted; ",""),""),""),""),"")&amp;IF(AND(ISNUMBER('SC Change Orders'!$B379),COUNTIFS('SC Change Orders'!$B$2:$B$501,'SC Change Orders'!$B379,'SC Change Orders'!$C$2:$C$501,'SC Change Orders'!$C379,'SC Change Orders'!$D$2:$D$501,'SC Change Orders'!$D379,'SC Change Orders'!$F$2:$F$501,'SC Change Orders'!$F379,'SC Change Orders'!$E$2:$E$501,'SC Change Orders'!$E379)&gt;1),"Duplicate of another row — funds counted twice; ","")&amp;IF(ISNUMBER('SC Change Orders'!$F379),IF('SC Change Orders'!$F379&lt;&gt;0,IF(AND(ISNUMBER('SC Change Orders'!$B379),NOT(COUNTIFS('SC Change Orders'!$B$2:$B$501,'SC Change Orders'!$B379,'SC Change Orders'!$C$2:$C$501,'SC Change Orders'!$C379,'SC Change Orders'!$D$2:$D$501,'SC Change Orders'!$D379,'SC Change Orders'!$F$2:$F$501,'SC Change Orders'!$F379,'SC Change Orders'!$E$2:$E$501,'SC Change Orders'!$E379)&gt;1),COUNTIFS('SC Change Orders'!$B$2:$B$501,'SC Change Orders'!$B379,'SC Change Orders'!$F$2:$F$501,'SC Change Orders'!$F379)&gt;1),  "Same PO and Amount Added as another row — check for a restatement counted twice; ",""),""),""))</f>
        <v/>
      </c>
    </row>
    <row r="398" customFormat="false" ht="15" hidden="false" customHeight="false" outlineLevel="0" collapsed="false">
      <c r="A398" s="18" t="str">
        <f aca="false">IF(AND('SC Change Orders'!$A380="",'SC Change Orders'!$B380="",'SC Change Orders'!$C380=""),"",380)</f>
        <v/>
      </c>
      <c r="B398" s="31" t="str">
        <f aca="false">IF($A398="","",'SC Change Orders'!$A380)</f>
        <v/>
      </c>
      <c r="C398" s="18" t="str">
        <f aca="false">IF($A398="","",'SC Change Orders'!$B380)</f>
        <v/>
      </c>
      <c r="D398" s="32" t="str">
        <f aca="false">IF($A398="","",'SC Change Orders'!$C380)</f>
        <v/>
      </c>
      <c r="E398" s="31" t="str">
        <f aca="false">IF($A398="","",'SC Change Orders'!$D380)</f>
        <v/>
      </c>
      <c r="F398" s="33" t="str">
        <f aca="false">IF($A398="","",'SC Change Orders'!$E380)</f>
        <v/>
      </c>
      <c r="G398" s="33" t="str">
        <f aca="false">IF($A398="","",'SC Change Orders'!$F380)</f>
        <v/>
      </c>
      <c r="H398" s="33" t="str">
        <f aca="false">IF($A398="","",'SC Change Orders'!$G380)</f>
        <v/>
      </c>
      <c r="I398" s="34" t="str">
        <f aca="false">IF($A398="","",IF(AND(ISNUMBER('SC Change Orders'!$C380),'SC Change Orders'!$C380&gt;=Controls!$C$5,'SC Change Orders'!$C380&lt;=Controls!$C$6),"Yes","No"))</f>
        <v/>
      </c>
      <c r="J398" s="31" t="str">
        <f aca="false">IF($A398="","",IF($K398="","OK",$K398))</f>
        <v/>
      </c>
      <c r="K398" s="0" t="str">
        <f aca="false">IF($A398="","",IF(NOT(ISNUMBER('SC Change Orders'!$B380)),"PO not numeric — row is invisible to the tracker; ","")&amp;IF(NOT(ISNUMBER('SC Change Orders'!$C380)),"Date missing or text — row excluded; ",  IF(OR('SC Change Orders'!$C380&lt;Controls!$C$5,'SC Change Orders'!$C380&gt;Controls!$C$6),"Dated outside the FY window — excluded; ",""))&amp;IF(AND('SC Change Orders'!$E380&lt;&gt;"",NOT(ISNUMBER('SC Change Orders'!$E380))),"Original Amount held as text — ignored by MINIFS; ","")&amp;IF(AND('SC Change Orders'!$F380&lt;&gt;"",NOT(ISNUMBER('SC Change Orders'!$F380))),"Amount Added held as text — ignored by SUMIFS; ","")&amp;IF(ISNUMBER('SC Change Orders'!$E380),IF(ISNUMBER('SC Change Orders'!$F380),IF(ISNUMBER('SC Change Orders'!$G380),  IF('SC Change Orders'!$G380&gt;0,IF(ROUND('SC Change Orders'!$E380+'SC Change Orders'!$F380,2)&lt;&gt;ROUND('SC Change Orders'!$G380,2),  "Original + Added &lt;&gt; Total Line Cost Allotted; ",""),""),""),""),"")&amp;IF(AND(ISNUMBER('SC Change Orders'!$B380),COUNTIFS('SC Change Orders'!$B$2:$B$501,'SC Change Orders'!$B380,'SC Change Orders'!$C$2:$C$501,'SC Change Orders'!$C380,'SC Change Orders'!$D$2:$D$501,'SC Change Orders'!$D380,'SC Change Orders'!$F$2:$F$501,'SC Change Orders'!$F380,'SC Change Orders'!$E$2:$E$501,'SC Change Orders'!$E380)&gt;1),"Duplicate of another row — funds counted twice; ","")&amp;IF(ISNUMBER('SC Change Orders'!$F380),IF('SC Change Orders'!$F380&lt;&gt;0,IF(AND(ISNUMBER('SC Change Orders'!$B380),NOT(COUNTIFS('SC Change Orders'!$B$2:$B$501,'SC Change Orders'!$B380,'SC Change Orders'!$C$2:$C$501,'SC Change Orders'!$C380,'SC Change Orders'!$D$2:$D$501,'SC Change Orders'!$D380,'SC Change Orders'!$F$2:$F$501,'SC Change Orders'!$F380,'SC Change Orders'!$E$2:$E$501,'SC Change Orders'!$E380)&gt;1),COUNTIFS('SC Change Orders'!$B$2:$B$501,'SC Change Orders'!$B380,'SC Change Orders'!$F$2:$F$501,'SC Change Orders'!$F380)&gt;1),  "Same PO and Amount Added as another row — check for a restatement counted twice; ",""),""),""))</f>
        <v/>
      </c>
    </row>
    <row r="399" customFormat="false" ht="15" hidden="false" customHeight="false" outlineLevel="0" collapsed="false">
      <c r="A399" s="18" t="str">
        <f aca="false">IF(AND('SC Change Orders'!$A381="",'SC Change Orders'!$B381="",'SC Change Orders'!$C381=""),"",381)</f>
        <v/>
      </c>
      <c r="B399" s="31" t="str">
        <f aca="false">IF($A399="","",'SC Change Orders'!$A381)</f>
        <v/>
      </c>
      <c r="C399" s="18" t="str">
        <f aca="false">IF($A399="","",'SC Change Orders'!$B381)</f>
        <v/>
      </c>
      <c r="D399" s="32" t="str">
        <f aca="false">IF($A399="","",'SC Change Orders'!$C381)</f>
        <v/>
      </c>
      <c r="E399" s="31" t="str">
        <f aca="false">IF($A399="","",'SC Change Orders'!$D381)</f>
        <v/>
      </c>
      <c r="F399" s="33" t="str">
        <f aca="false">IF($A399="","",'SC Change Orders'!$E381)</f>
        <v/>
      </c>
      <c r="G399" s="33" t="str">
        <f aca="false">IF($A399="","",'SC Change Orders'!$F381)</f>
        <v/>
      </c>
      <c r="H399" s="33" t="str">
        <f aca="false">IF($A399="","",'SC Change Orders'!$G381)</f>
        <v/>
      </c>
      <c r="I399" s="34" t="str">
        <f aca="false">IF($A399="","",IF(AND(ISNUMBER('SC Change Orders'!$C381),'SC Change Orders'!$C381&gt;=Controls!$C$5,'SC Change Orders'!$C381&lt;=Controls!$C$6),"Yes","No"))</f>
        <v/>
      </c>
      <c r="J399" s="31" t="str">
        <f aca="false">IF($A399="","",IF($K399="","OK",$K399))</f>
        <v/>
      </c>
      <c r="K399" s="0" t="str">
        <f aca="false">IF($A399="","",IF(NOT(ISNUMBER('SC Change Orders'!$B381)),"PO not numeric — row is invisible to the tracker; ","")&amp;IF(NOT(ISNUMBER('SC Change Orders'!$C381)),"Date missing or text — row excluded; ",  IF(OR('SC Change Orders'!$C381&lt;Controls!$C$5,'SC Change Orders'!$C381&gt;Controls!$C$6),"Dated outside the FY window — excluded; ",""))&amp;IF(AND('SC Change Orders'!$E381&lt;&gt;"",NOT(ISNUMBER('SC Change Orders'!$E381))),"Original Amount held as text — ignored by MINIFS; ","")&amp;IF(AND('SC Change Orders'!$F381&lt;&gt;"",NOT(ISNUMBER('SC Change Orders'!$F381))),"Amount Added held as text — ignored by SUMIFS; ","")&amp;IF(ISNUMBER('SC Change Orders'!$E381),IF(ISNUMBER('SC Change Orders'!$F381),IF(ISNUMBER('SC Change Orders'!$G381),  IF('SC Change Orders'!$G381&gt;0,IF(ROUND('SC Change Orders'!$E381+'SC Change Orders'!$F381,2)&lt;&gt;ROUND('SC Change Orders'!$G381,2),  "Original + Added &lt;&gt; Total Line Cost Allotted; ",""),""),""),""),"")&amp;IF(AND(ISNUMBER('SC Change Orders'!$B381),COUNTIFS('SC Change Orders'!$B$2:$B$501,'SC Change Orders'!$B381,'SC Change Orders'!$C$2:$C$501,'SC Change Orders'!$C381,'SC Change Orders'!$D$2:$D$501,'SC Change Orders'!$D381,'SC Change Orders'!$F$2:$F$501,'SC Change Orders'!$F381,'SC Change Orders'!$E$2:$E$501,'SC Change Orders'!$E381)&gt;1),"Duplicate of another row — funds counted twice; ","")&amp;IF(ISNUMBER('SC Change Orders'!$F381),IF('SC Change Orders'!$F381&lt;&gt;0,IF(AND(ISNUMBER('SC Change Orders'!$B381),NOT(COUNTIFS('SC Change Orders'!$B$2:$B$501,'SC Change Orders'!$B381,'SC Change Orders'!$C$2:$C$501,'SC Change Orders'!$C381,'SC Change Orders'!$D$2:$D$501,'SC Change Orders'!$D381,'SC Change Orders'!$F$2:$F$501,'SC Change Orders'!$F381,'SC Change Orders'!$E$2:$E$501,'SC Change Orders'!$E381)&gt;1),COUNTIFS('SC Change Orders'!$B$2:$B$501,'SC Change Orders'!$B381,'SC Change Orders'!$F$2:$F$501,'SC Change Orders'!$F381)&gt;1),  "Same PO and Amount Added as another row — check for a restatement counted twice; ",""),""),""))</f>
        <v/>
      </c>
    </row>
    <row r="400" customFormat="false" ht="15" hidden="false" customHeight="false" outlineLevel="0" collapsed="false">
      <c r="A400" s="18" t="str">
        <f aca="false">IF(AND('SC Change Orders'!$A382="",'SC Change Orders'!$B382="",'SC Change Orders'!$C382=""),"",382)</f>
        <v/>
      </c>
      <c r="B400" s="31" t="str">
        <f aca="false">IF($A400="","",'SC Change Orders'!$A382)</f>
        <v/>
      </c>
      <c r="C400" s="18" t="str">
        <f aca="false">IF($A400="","",'SC Change Orders'!$B382)</f>
        <v/>
      </c>
      <c r="D400" s="32" t="str">
        <f aca="false">IF($A400="","",'SC Change Orders'!$C382)</f>
        <v/>
      </c>
      <c r="E400" s="31" t="str">
        <f aca="false">IF($A400="","",'SC Change Orders'!$D382)</f>
        <v/>
      </c>
      <c r="F400" s="33" t="str">
        <f aca="false">IF($A400="","",'SC Change Orders'!$E382)</f>
        <v/>
      </c>
      <c r="G400" s="33" t="str">
        <f aca="false">IF($A400="","",'SC Change Orders'!$F382)</f>
        <v/>
      </c>
      <c r="H400" s="33" t="str">
        <f aca="false">IF($A400="","",'SC Change Orders'!$G382)</f>
        <v/>
      </c>
      <c r="I400" s="34" t="str">
        <f aca="false">IF($A400="","",IF(AND(ISNUMBER('SC Change Orders'!$C382),'SC Change Orders'!$C382&gt;=Controls!$C$5,'SC Change Orders'!$C382&lt;=Controls!$C$6),"Yes","No"))</f>
        <v/>
      </c>
      <c r="J400" s="31" t="str">
        <f aca="false">IF($A400="","",IF($K400="","OK",$K400))</f>
        <v/>
      </c>
      <c r="K400" s="0" t="str">
        <f aca="false">IF($A400="","",IF(NOT(ISNUMBER('SC Change Orders'!$B382)),"PO not numeric — row is invisible to the tracker; ","")&amp;IF(NOT(ISNUMBER('SC Change Orders'!$C382)),"Date missing or text — row excluded; ",  IF(OR('SC Change Orders'!$C382&lt;Controls!$C$5,'SC Change Orders'!$C382&gt;Controls!$C$6),"Dated outside the FY window — excluded; ",""))&amp;IF(AND('SC Change Orders'!$E382&lt;&gt;"",NOT(ISNUMBER('SC Change Orders'!$E382))),"Original Amount held as text — ignored by MINIFS; ","")&amp;IF(AND('SC Change Orders'!$F382&lt;&gt;"",NOT(ISNUMBER('SC Change Orders'!$F382))),"Amount Added held as text — ignored by SUMIFS; ","")&amp;IF(ISNUMBER('SC Change Orders'!$E382),IF(ISNUMBER('SC Change Orders'!$F382),IF(ISNUMBER('SC Change Orders'!$G382),  IF('SC Change Orders'!$G382&gt;0,IF(ROUND('SC Change Orders'!$E382+'SC Change Orders'!$F382,2)&lt;&gt;ROUND('SC Change Orders'!$G382,2),  "Original + Added &lt;&gt; Total Line Cost Allotted; ",""),""),""),""),"")&amp;IF(AND(ISNUMBER('SC Change Orders'!$B382),COUNTIFS('SC Change Orders'!$B$2:$B$501,'SC Change Orders'!$B382,'SC Change Orders'!$C$2:$C$501,'SC Change Orders'!$C382,'SC Change Orders'!$D$2:$D$501,'SC Change Orders'!$D382,'SC Change Orders'!$F$2:$F$501,'SC Change Orders'!$F382,'SC Change Orders'!$E$2:$E$501,'SC Change Orders'!$E382)&gt;1),"Duplicate of another row — funds counted twice; ","")&amp;IF(ISNUMBER('SC Change Orders'!$F382),IF('SC Change Orders'!$F382&lt;&gt;0,IF(AND(ISNUMBER('SC Change Orders'!$B382),NOT(COUNTIFS('SC Change Orders'!$B$2:$B$501,'SC Change Orders'!$B382,'SC Change Orders'!$C$2:$C$501,'SC Change Orders'!$C382,'SC Change Orders'!$D$2:$D$501,'SC Change Orders'!$D382,'SC Change Orders'!$F$2:$F$501,'SC Change Orders'!$F382,'SC Change Orders'!$E$2:$E$501,'SC Change Orders'!$E382)&gt;1),COUNTIFS('SC Change Orders'!$B$2:$B$501,'SC Change Orders'!$B382,'SC Change Orders'!$F$2:$F$501,'SC Change Orders'!$F382)&gt;1),  "Same PO and Amount Added as another row — check for a restatement counted twice; ",""),""),""))</f>
        <v/>
      </c>
    </row>
    <row r="401" customFormat="false" ht="15" hidden="false" customHeight="false" outlineLevel="0" collapsed="false">
      <c r="A401" s="18" t="str">
        <f aca="false">IF(AND('SC Change Orders'!$A383="",'SC Change Orders'!$B383="",'SC Change Orders'!$C383=""),"",383)</f>
        <v/>
      </c>
      <c r="B401" s="31" t="str">
        <f aca="false">IF($A401="","",'SC Change Orders'!$A383)</f>
        <v/>
      </c>
      <c r="C401" s="18" t="str">
        <f aca="false">IF($A401="","",'SC Change Orders'!$B383)</f>
        <v/>
      </c>
      <c r="D401" s="32" t="str">
        <f aca="false">IF($A401="","",'SC Change Orders'!$C383)</f>
        <v/>
      </c>
      <c r="E401" s="31" t="str">
        <f aca="false">IF($A401="","",'SC Change Orders'!$D383)</f>
        <v/>
      </c>
      <c r="F401" s="33" t="str">
        <f aca="false">IF($A401="","",'SC Change Orders'!$E383)</f>
        <v/>
      </c>
      <c r="G401" s="33" t="str">
        <f aca="false">IF($A401="","",'SC Change Orders'!$F383)</f>
        <v/>
      </c>
      <c r="H401" s="33" t="str">
        <f aca="false">IF($A401="","",'SC Change Orders'!$G383)</f>
        <v/>
      </c>
      <c r="I401" s="34" t="str">
        <f aca="false">IF($A401="","",IF(AND(ISNUMBER('SC Change Orders'!$C383),'SC Change Orders'!$C383&gt;=Controls!$C$5,'SC Change Orders'!$C383&lt;=Controls!$C$6),"Yes","No"))</f>
        <v/>
      </c>
      <c r="J401" s="31" t="str">
        <f aca="false">IF($A401="","",IF($K401="","OK",$K401))</f>
        <v/>
      </c>
      <c r="K401" s="0" t="str">
        <f aca="false">IF($A401="","",IF(NOT(ISNUMBER('SC Change Orders'!$B383)),"PO not numeric — row is invisible to the tracker; ","")&amp;IF(NOT(ISNUMBER('SC Change Orders'!$C383)),"Date missing or text — row excluded; ",  IF(OR('SC Change Orders'!$C383&lt;Controls!$C$5,'SC Change Orders'!$C383&gt;Controls!$C$6),"Dated outside the FY window — excluded; ",""))&amp;IF(AND('SC Change Orders'!$E383&lt;&gt;"",NOT(ISNUMBER('SC Change Orders'!$E383))),"Original Amount held as text — ignored by MINIFS; ","")&amp;IF(AND('SC Change Orders'!$F383&lt;&gt;"",NOT(ISNUMBER('SC Change Orders'!$F383))),"Amount Added held as text — ignored by SUMIFS; ","")&amp;IF(ISNUMBER('SC Change Orders'!$E383),IF(ISNUMBER('SC Change Orders'!$F383),IF(ISNUMBER('SC Change Orders'!$G383),  IF('SC Change Orders'!$G383&gt;0,IF(ROUND('SC Change Orders'!$E383+'SC Change Orders'!$F383,2)&lt;&gt;ROUND('SC Change Orders'!$G383,2),  "Original + Added &lt;&gt; Total Line Cost Allotted; ",""),""),""),""),"")&amp;IF(AND(ISNUMBER('SC Change Orders'!$B383),COUNTIFS('SC Change Orders'!$B$2:$B$501,'SC Change Orders'!$B383,'SC Change Orders'!$C$2:$C$501,'SC Change Orders'!$C383,'SC Change Orders'!$D$2:$D$501,'SC Change Orders'!$D383,'SC Change Orders'!$F$2:$F$501,'SC Change Orders'!$F383,'SC Change Orders'!$E$2:$E$501,'SC Change Orders'!$E383)&gt;1),"Duplicate of another row — funds counted twice; ","")&amp;IF(ISNUMBER('SC Change Orders'!$F383),IF('SC Change Orders'!$F383&lt;&gt;0,IF(AND(ISNUMBER('SC Change Orders'!$B383),NOT(COUNTIFS('SC Change Orders'!$B$2:$B$501,'SC Change Orders'!$B383,'SC Change Orders'!$C$2:$C$501,'SC Change Orders'!$C383,'SC Change Orders'!$D$2:$D$501,'SC Change Orders'!$D383,'SC Change Orders'!$F$2:$F$501,'SC Change Orders'!$F383,'SC Change Orders'!$E$2:$E$501,'SC Change Orders'!$E383)&gt;1),COUNTIFS('SC Change Orders'!$B$2:$B$501,'SC Change Orders'!$B383,'SC Change Orders'!$F$2:$F$501,'SC Change Orders'!$F383)&gt;1),  "Same PO and Amount Added as another row — check for a restatement counted twice; ",""),""),""))</f>
        <v/>
      </c>
    </row>
    <row r="402" customFormat="false" ht="15" hidden="false" customHeight="false" outlineLevel="0" collapsed="false">
      <c r="A402" s="18" t="str">
        <f aca="false">IF(AND('SC Change Orders'!$A384="",'SC Change Orders'!$B384="",'SC Change Orders'!$C384=""),"",384)</f>
        <v/>
      </c>
      <c r="B402" s="31" t="str">
        <f aca="false">IF($A402="","",'SC Change Orders'!$A384)</f>
        <v/>
      </c>
      <c r="C402" s="18" t="str">
        <f aca="false">IF($A402="","",'SC Change Orders'!$B384)</f>
        <v/>
      </c>
      <c r="D402" s="32" t="str">
        <f aca="false">IF($A402="","",'SC Change Orders'!$C384)</f>
        <v/>
      </c>
      <c r="E402" s="31" t="str">
        <f aca="false">IF($A402="","",'SC Change Orders'!$D384)</f>
        <v/>
      </c>
      <c r="F402" s="33" t="str">
        <f aca="false">IF($A402="","",'SC Change Orders'!$E384)</f>
        <v/>
      </c>
      <c r="G402" s="33" t="str">
        <f aca="false">IF($A402="","",'SC Change Orders'!$F384)</f>
        <v/>
      </c>
      <c r="H402" s="33" t="str">
        <f aca="false">IF($A402="","",'SC Change Orders'!$G384)</f>
        <v/>
      </c>
      <c r="I402" s="34" t="str">
        <f aca="false">IF($A402="","",IF(AND(ISNUMBER('SC Change Orders'!$C384),'SC Change Orders'!$C384&gt;=Controls!$C$5,'SC Change Orders'!$C384&lt;=Controls!$C$6),"Yes","No"))</f>
        <v/>
      </c>
      <c r="J402" s="31" t="str">
        <f aca="false">IF($A402="","",IF($K402="","OK",$K402))</f>
        <v/>
      </c>
      <c r="K402" s="0" t="str">
        <f aca="false">IF($A402="","",IF(NOT(ISNUMBER('SC Change Orders'!$B384)),"PO not numeric — row is invisible to the tracker; ","")&amp;IF(NOT(ISNUMBER('SC Change Orders'!$C384)),"Date missing or text — row excluded; ",  IF(OR('SC Change Orders'!$C384&lt;Controls!$C$5,'SC Change Orders'!$C384&gt;Controls!$C$6),"Dated outside the FY window — excluded; ",""))&amp;IF(AND('SC Change Orders'!$E384&lt;&gt;"",NOT(ISNUMBER('SC Change Orders'!$E384))),"Original Amount held as text — ignored by MINIFS; ","")&amp;IF(AND('SC Change Orders'!$F384&lt;&gt;"",NOT(ISNUMBER('SC Change Orders'!$F384))),"Amount Added held as text — ignored by SUMIFS; ","")&amp;IF(ISNUMBER('SC Change Orders'!$E384),IF(ISNUMBER('SC Change Orders'!$F384),IF(ISNUMBER('SC Change Orders'!$G384),  IF('SC Change Orders'!$G384&gt;0,IF(ROUND('SC Change Orders'!$E384+'SC Change Orders'!$F384,2)&lt;&gt;ROUND('SC Change Orders'!$G384,2),  "Original + Added &lt;&gt; Total Line Cost Allotted; ",""),""),""),""),"")&amp;IF(AND(ISNUMBER('SC Change Orders'!$B384),COUNTIFS('SC Change Orders'!$B$2:$B$501,'SC Change Orders'!$B384,'SC Change Orders'!$C$2:$C$501,'SC Change Orders'!$C384,'SC Change Orders'!$D$2:$D$501,'SC Change Orders'!$D384,'SC Change Orders'!$F$2:$F$501,'SC Change Orders'!$F384,'SC Change Orders'!$E$2:$E$501,'SC Change Orders'!$E384)&gt;1),"Duplicate of another row — funds counted twice; ","")&amp;IF(ISNUMBER('SC Change Orders'!$F384),IF('SC Change Orders'!$F384&lt;&gt;0,IF(AND(ISNUMBER('SC Change Orders'!$B384),NOT(COUNTIFS('SC Change Orders'!$B$2:$B$501,'SC Change Orders'!$B384,'SC Change Orders'!$C$2:$C$501,'SC Change Orders'!$C384,'SC Change Orders'!$D$2:$D$501,'SC Change Orders'!$D384,'SC Change Orders'!$F$2:$F$501,'SC Change Orders'!$F384,'SC Change Orders'!$E$2:$E$501,'SC Change Orders'!$E384)&gt;1),COUNTIFS('SC Change Orders'!$B$2:$B$501,'SC Change Orders'!$B384,'SC Change Orders'!$F$2:$F$501,'SC Change Orders'!$F384)&gt;1),  "Same PO and Amount Added as another row — check for a restatement counted twice; ",""),""),""))</f>
        <v/>
      </c>
    </row>
    <row r="403" customFormat="false" ht="15" hidden="false" customHeight="false" outlineLevel="0" collapsed="false">
      <c r="A403" s="18" t="str">
        <f aca="false">IF(AND('SC Change Orders'!$A385="",'SC Change Orders'!$B385="",'SC Change Orders'!$C385=""),"",385)</f>
        <v/>
      </c>
      <c r="B403" s="31" t="str">
        <f aca="false">IF($A403="","",'SC Change Orders'!$A385)</f>
        <v/>
      </c>
      <c r="C403" s="18" t="str">
        <f aca="false">IF($A403="","",'SC Change Orders'!$B385)</f>
        <v/>
      </c>
      <c r="D403" s="32" t="str">
        <f aca="false">IF($A403="","",'SC Change Orders'!$C385)</f>
        <v/>
      </c>
      <c r="E403" s="31" t="str">
        <f aca="false">IF($A403="","",'SC Change Orders'!$D385)</f>
        <v/>
      </c>
      <c r="F403" s="33" t="str">
        <f aca="false">IF($A403="","",'SC Change Orders'!$E385)</f>
        <v/>
      </c>
      <c r="G403" s="33" t="str">
        <f aca="false">IF($A403="","",'SC Change Orders'!$F385)</f>
        <v/>
      </c>
      <c r="H403" s="33" t="str">
        <f aca="false">IF($A403="","",'SC Change Orders'!$G385)</f>
        <v/>
      </c>
      <c r="I403" s="34" t="str">
        <f aca="false">IF($A403="","",IF(AND(ISNUMBER('SC Change Orders'!$C385),'SC Change Orders'!$C385&gt;=Controls!$C$5,'SC Change Orders'!$C385&lt;=Controls!$C$6),"Yes","No"))</f>
        <v/>
      </c>
      <c r="J403" s="31" t="str">
        <f aca="false">IF($A403="","",IF($K403="","OK",$K403))</f>
        <v/>
      </c>
      <c r="K403" s="0" t="str">
        <f aca="false">IF($A403="","",IF(NOT(ISNUMBER('SC Change Orders'!$B385)),"PO not numeric — row is invisible to the tracker; ","")&amp;IF(NOT(ISNUMBER('SC Change Orders'!$C385)),"Date missing or text — row excluded; ",  IF(OR('SC Change Orders'!$C385&lt;Controls!$C$5,'SC Change Orders'!$C385&gt;Controls!$C$6),"Dated outside the FY window — excluded; ",""))&amp;IF(AND('SC Change Orders'!$E385&lt;&gt;"",NOT(ISNUMBER('SC Change Orders'!$E385))),"Original Amount held as text — ignored by MINIFS; ","")&amp;IF(AND('SC Change Orders'!$F385&lt;&gt;"",NOT(ISNUMBER('SC Change Orders'!$F385))),"Amount Added held as text — ignored by SUMIFS; ","")&amp;IF(ISNUMBER('SC Change Orders'!$E385),IF(ISNUMBER('SC Change Orders'!$F385),IF(ISNUMBER('SC Change Orders'!$G385),  IF('SC Change Orders'!$G385&gt;0,IF(ROUND('SC Change Orders'!$E385+'SC Change Orders'!$F385,2)&lt;&gt;ROUND('SC Change Orders'!$G385,2),  "Original + Added &lt;&gt; Total Line Cost Allotted; ",""),""),""),""),"")&amp;IF(AND(ISNUMBER('SC Change Orders'!$B385),COUNTIFS('SC Change Orders'!$B$2:$B$501,'SC Change Orders'!$B385,'SC Change Orders'!$C$2:$C$501,'SC Change Orders'!$C385,'SC Change Orders'!$D$2:$D$501,'SC Change Orders'!$D385,'SC Change Orders'!$F$2:$F$501,'SC Change Orders'!$F385,'SC Change Orders'!$E$2:$E$501,'SC Change Orders'!$E385)&gt;1),"Duplicate of another row — funds counted twice; ","")&amp;IF(ISNUMBER('SC Change Orders'!$F385),IF('SC Change Orders'!$F385&lt;&gt;0,IF(AND(ISNUMBER('SC Change Orders'!$B385),NOT(COUNTIFS('SC Change Orders'!$B$2:$B$501,'SC Change Orders'!$B385,'SC Change Orders'!$C$2:$C$501,'SC Change Orders'!$C385,'SC Change Orders'!$D$2:$D$501,'SC Change Orders'!$D385,'SC Change Orders'!$F$2:$F$501,'SC Change Orders'!$F385,'SC Change Orders'!$E$2:$E$501,'SC Change Orders'!$E385)&gt;1),COUNTIFS('SC Change Orders'!$B$2:$B$501,'SC Change Orders'!$B385,'SC Change Orders'!$F$2:$F$501,'SC Change Orders'!$F385)&gt;1),  "Same PO and Amount Added as another row — check for a restatement counted twice; ",""),""),""))</f>
        <v/>
      </c>
    </row>
    <row r="404" customFormat="false" ht="15" hidden="false" customHeight="false" outlineLevel="0" collapsed="false">
      <c r="A404" s="18" t="str">
        <f aca="false">IF(AND('SC Change Orders'!$A386="",'SC Change Orders'!$B386="",'SC Change Orders'!$C386=""),"",386)</f>
        <v/>
      </c>
      <c r="B404" s="31" t="str">
        <f aca="false">IF($A404="","",'SC Change Orders'!$A386)</f>
        <v/>
      </c>
      <c r="C404" s="18" t="str">
        <f aca="false">IF($A404="","",'SC Change Orders'!$B386)</f>
        <v/>
      </c>
      <c r="D404" s="32" t="str">
        <f aca="false">IF($A404="","",'SC Change Orders'!$C386)</f>
        <v/>
      </c>
      <c r="E404" s="31" t="str">
        <f aca="false">IF($A404="","",'SC Change Orders'!$D386)</f>
        <v/>
      </c>
      <c r="F404" s="33" t="str">
        <f aca="false">IF($A404="","",'SC Change Orders'!$E386)</f>
        <v/>
      </c>
      <c r="G404" s="33" t="str">
        <f aca="false">IF($A404="","",'SC Change Orders'!$F386)</f>
        <v/>
      </c>
      <c r="H404" s="33" t="str">
        <f aca="false">IF($A404="","",'SC Change Orders'!$G386)</f>
        <v/>
      </c>
      <c r="I404" s="34" t="str">
        <f aca="false">IF($A404="","",IF(AND(ISNUMBER('SC Change Orders'!$C386),'SC Change Orders'!$C386&gt;=Controls!$C$5,'SC Change Orders'!$C386&lt;=Controls!$C$6),"Yes","No"))</f>
        <v/>
      </c>
      <c r="J404" s="31" t="str">
        <f aca="false">IF($A404="","",IF($K404="","OK",$K404))</f>
        <v/>
      </c>
      <c r="K404" s="0" t="str">
        <f aca="false">IF($A404="","",IF(NOT(ISNUMBER('SC Change Orders'!$B386)),"PO not numeric — row is invisible to the tracker; ","")&amp;IF(NOT(ISNUMBER('SC Change Orders'!$C386)),"Date missing or text — row excluded; ",  IF(OR('SC Change Orders'!$C386&lt;Controls!$C$5,'SC Change Orders'!$C386&gt;Controls!$C$6),"Dated outside the FY window — excluded; ",""))&amp;IF(AND('SC Change Orders'!$E386&lt;&gt;"",NOT(ISNUMBER('SC Change Orders'!$E386))),"Original Amount held as text — ignored by MINIFS; ","")&amp;IF(AND('SC Change Orders'!$F386&lt;&gt;"",NOT(ISNUMBER('SC Change Orders'!$F386))),"Amount Added held as text — ignored by SUMIFS; ","")&amp;IF(ISNUMBER('SC Change Orders'!$E386),IF(ISNUMBER('SC Change Orders'!$F386),IF(ISNUMBER('SC Change Orders'!$G386),  IF('SC Change Orders'!$G386&gt;0,IF(ROUND('SC Change Orders'!$E386+'SC Change Orders'!$F386,2)&lt;&gt;ROUND('SC Change Orders'!$G386,2),  "Original + Added &lt;&gt; Total Line Cost Allotted; ",""),""),""),""),"")&amp;IF(AND(ISNUMBER('SC Change Orders'!$B386),COUNTIFS('SC Change Orders'!$B$2:$B$501,'SC Change Orders'!$B386,'SC Change Orders'!$C$2:$C$501,'SC Change Orders'!$C386,'SC Change Orders'!$D$2:$D$501,'SC Change Orders'!$D386,'SC Change Orders'!$F$2:$F$501,'SC Change Orders'!$F386,'SC Change Orders'!$E$2:$E$501,'SC Change Orders'!$E386)&gt;1),"Duplicate of another row — funds counted twice; ","")&amp;IF(ISNUMBER('SC Change Orders'!$F386),IF('SC Change Orders'!$F386&lt;&gt;0,IF(AND(ISNUMBER('SC Change Orders'!$B386),NOT(COUNTIFS('SC Change Orders'!$B$2:$B$501,'SC Change Orders'!$B386,'SC Change Orders'!$C$2:$C$501,'SC Change Orders'!$C386,'SC Change Orders'!$D$2:$D$501,'SC Change Orders'!$D386,'SC Change Orders'!$F$2:$F$501,'SC Change Orders'!$F386,'SC Change Orders'!$E$2:$E$501,'SC Change Orders'!$E386)&gt;1),COUNTIFS('SC Change Orders'!$B$2:$B$501,'SC Change Orders'!$B386,'SC Change Orders'!$F$2:$F$501,'SC Change Orders'!$F386)&gt;1),  "Same PO and Amount Added as another row — check for a restatement counted twice; ",""),""),""))</f>
        <v/>
      </c>
    </row>
    <row r="405" customFormat="false" ht="15" hidden="false" customHeight="false" outlineLevel="0" collapsed="false">
      <c r="A405" s="18" t="str">
        <f aca="false">IF(AND('SC Change Orders'!$A387="",'SC Change Orders'!$B387="",'SC Change Orders'!$C387=""),"",387)</f>
        <v/>
      </c>
      <c r="B405" s="31" t="str">
        <f aca="false">IF($A405="","",'SC Change Orders'!$A387)</f>
        <v/>
      </c>
      <c r="C405" s="18" t="str">
        <f aca="false">IF($A405="","",'SC Change Orders'!$B387)</f>
        <v/>
      </c>
      <c r="D405" s="32" t="str">
        <f aca="false">IF($A405="","",'SC Change Orders'!$C387)</f>
        <v/>
      </c>
      <c r="E405" s="31" t="str">
        <f aca="false">IF($A405="","",'SC Change Orders'!$D387)</f>
        <v/>
      </c>
      <c r="F405" s="33" t="str">
        <f aca="false">IF($A405="","",'SC Change Orders'!$E387)</f>
        <v/>
      </c>
      <c r="G405" s="33" t="str">
        <f aca="false">IF($A405="","",'SC Change Orders'!$F387)</f>
        <v/>
      </c>
      <c r="H405" s="33" t="str">
        <f aca="false">IF($A405="","",'SC Change Orders'!$G387)</f>
        <v/>
      </c>
      <c r="I405" s="34" t="str">
        <f aca="false">IF($A405="","",IF(AND(ISNUMBER('SC Change Orders'!$C387),'SC Change Orders'!$C387&gt;=Controls!$C$5,'SC Change Orders'!$C387&lt;=Controls!$C$6),"Yes","No"))</f>
        <v/>
      </c>
      <c r="J405" s="31" t="str">
        <f aca="false">IF($A405="","",IF($K405="","OK",$K405))</f>
        <v/>
      </c>
      <c r="K405" s="0" t="str">
        <f aca="false">IF($A405="","",IF(NOT(ISNUMBER('SC Change Orders'!$B387)),"PO not numeric — row is invisible to the tracker; ","")&amp;IF(NOT(ISNUMBER('SC Change Orders'!$C387)),"Date missing or text — row excluded; ",  IF(OR('SC Change Orders'!$C387&lt;Controls!$C$5,'SC Change Orders'!$C387&gt;Controls!$C$6),"Dated outside the FY window — excluded; ",""))&amp;IF(AND('SC Change Orders'!$E387&lt;&gt;"",NOT(ISNUMBER('SC Change Orders'!$E387))),"Original Amount held as text — ignored by MINIFS; ","")&amp;IF(AND('SC Change Orders'!$F387&lt;&gt;"",NOT(ISNUMBER('SC Change Orders'!$F387))),"Amount Added held as text — ignored by SUMIFS; ","")&amp;IF(ISNUMBER('SC Change Orders'!$E387),IF(ISNUMBER('SC Change Orders'!$F387),IF(ISNUMBER('SC Change Orders'!$G387),  IF('SC Change Orders'!$G387&gt;0,IF(ROUND('SC Change Orders'!$E387+'SC Change Orders'!$F387,2)&lt;&gt;ROUND('SC Change Orders'!$G387,2),  "Original + Added &lt;&gt; Total Line Cost Allotted; ",""),""),""),""),"")&amp;IF(AND(ISNUMBER('SC Change Orders'!$B387),COUNTIFS('SC Change Orders'!$B$2:$B$501,'SC Change Orders'!$B387,'SC Change Orders'!$C$2:$C$501,'SC Change Orders'!$C387,'SC Change Orders'!$D$2:$D$501,'SC Change Orders'!$D387,'SC Change Orders'!$F$2:$F$501,'SC Change Orders'!$F387,'SC Change Orders'!$E$2:$E$501,'SC Change Orders'!$E387)&gt;1),"Duplicate of another row — funds counted twice; ","")&amp;IF(ISNUMBER('SC Change Orders'!$F387),IF('SC Change Orders'!$F387&lt;&gt;0,IF(AND(ISNUMBER('SC Change Orders'!$B387),NOT(COUNTIFS('SC Change Orders'!$B$2:$B$501,'SC Change Orders'!$B387,'SC Change Orders'!$C$2:$C$501,'SC Change Orders'!$C387,'SC Change Orders'!$D$2:$D$501,'SC Change Orders'!$D387,'SC Change Orders'!$F$2:$F$501,'SC Change Orders'!$F387,'SC Change Orders'!$E$2:$E$501,'SC Change Orders'!$E387)&gt;1),COUNTIFS('SC Change Orders'!$B$2:$B$501,'SC Change Orders'!$B387,'SC Change Orders'!$F$2:$F$501,'SC Change Orders'!$F387)&gt;1),  "Same PO and Amount Added as another row — check for a restatement counted twice; ",""),""),""))</f>
        <v/>
      </c>
    </row>
    <row r="406" customFormat="false" ht="15" hidden="false" customHeight="false" outlineLevel="0" collapsed="false">
      <c r="A406" s="18" t="str">
        <f aca="false">IF(AND('SC Change Orders'!$A388="",'SC Change Orders'!$B388="",'SC Change Orders'!$C388=""),"",388)</f>
        <v/>
      </c>
      <c r="B406" s="31" t="str">
        <f aca="false">IF($A406="","",'SC Change Orders'!$A388)</f>
        <v/>
      </c>
      <c r="C406" s="18" t="str">
        <f aca="false">IF($A406="","",'SC Change Orders'!$B388)</f>
        <v/>
      </c>
      <c r="D406" s="32" t="str">
        <f aca="false">IF($A406="","",'SC Change Orders'!$C388)</f>
        <v/>
      </c>
      <c r="E406" s="31" t="str">
        <f aca="false">IF($A406="","",'SC Change Orders'!$D388)</f>
        <v/>
      </c>
      <c r="F406" s="33" t="str">
        <f aca="false">IF($A406="","",'SC Change Orders'!$E388)</f>
        <v/>
      </c>
      <c r="G406" s="33" t="str">
        <f aca="false">IF($A406="","",'SC Change Orders'!$F388)</f>
        <v/>
      </c>
      <c r="H406" s="33" t="str">
        <f aca="false">IF($A406="","",'SC Change Orders'!$G388)</f>
        <v/>
      </c>
      <c r="I406" s="34" t="str">
        <f aca="false">IF($A406="","",IF(AND(ISNUMBER('SC Change Orders'!$C388),'SC Change Orders'!$C388&gt;=Controls!$C$5,'SC Change Orders'!$C388&lt;=Controls!$C$6),"Yes","No"))</f>
        <v/>
      </c>
      <c r="J406" s="31" t="str">
        <f aca="false">IF($A406="","",IF($K406="","OK",$K406))</f>
        <v/>
      </c>
      <c r="K406" s="0" t="str">
        <f aca="false">IF($A406="","",IF(NOT(ISNUMBER('SC Change Orders'!$B388)),"PO not numeric — row is invisible to the tracker; ","")&amp;IF(NOT(ISNUMBER('SC Change Orders'!$C388)),"Date missing or text — row excluded; ",  IF(OR('SC Change Orders'!$C388&lt;Controls!$C$5,'SC Change Orders'!$C388&gt;Controls!$C$6),"Dated outside the FY window — excluded; ",""))&amp;IF(AND('SC Change Orders'!$E388&lt;&gt;"",NOT(ISNUMBER('SC Change Orders'!$E388))),"Original Amount held as text — ignored by MINIFS; ","")&amp;IF(AND('SC Change Orders'!$F388&lt;&gt;"",NOT(ISNUMBER('SC Change Orders'!$F388))),"Amount Added held as text — ignored by SUMIFS; ","")&amp;IF(ISNUMBER('SC Change Orders'!$E388),IF(ISNUMBER('SC Change Orders'!$F388),IF(ISNUMBER('SC Change Orders'!$G388),  IF('SC Change Orders'!$G388&gt;0,IF(ROUND('SC Change Orders'!$E388+'SC Change Orders'!$F388,2)&lt;&gt;ROUND('SC Change Orders'!$G388,2),  "Original + Added &lt;&gt; Total Line Cost Allotted; ",""),""),""),""),"")&amp;IF(AND(ISNUMBER('SC Change Orders'!$B388),COUNTIFS('SC Change Orders'!$B$2:$B$501,'SC Change Orders'!$B388,'SC Change Orders'!$C$2:$C$501,'SC Change Orders'!$C388,'SC Change Orders'!$D$2:$D$501,'SC Change Orders'!$D388,'SC Change Orders'!$F$2:$F$501,'SC Change Orders'!$F388,'SC Change Orders'!$E$2:$E$501,'SC Change Orders'!$E388)&gt;1),"Duplicate of another row — funds counted twice; ","")&amp;IF(ISNUMBER('SC Change Orders'!$F388),IF('SC Change Orders'!$F388&lt;&gt;0,IF(AND(ISNUMBER('SC Change Orders'!$B388),NOT(COUNTIFS('SC Change Orders'!$B$2:$B$501,'SC Change Orders'!$B388,'SC Change Orders'!$C$2:$C$501,'SC Change Orders'!$C388,'SC Change Orders'!$D$2:$D$501,'SC Change Orders'!$D388,'SC Change Orders'!$F$2:$F$501,'SC Change Orders'!$F388,'SC Change Orders'!$E$2:$E$501,'SC Change Orders'!$E388)&gt;1),COUNTIFS('SC Change Orders'!$B$2:$B$501,'SC Change Orders'!$B388,'SC Change Orders'!$F$2:$F$501,'SC Change Orders'!$F388)&gt;1),  "Same PO and Amount Added as another row — check for a restatement counted twice; ",""),""),""))</f>
        <v/>
      </c>
    </row>
    <row r="407" customFormat="false" ht="15" hidden="false" customHeight="false" outlineLevel="0" collapsed="false">
      <c r="A407" s="18" t="str">
        <f aca="false">IF(AND('SC Change Orders'!$A389="",'SC Change Orders'!$B389="",'SC Change Orders'!$C389=""),"",389)</f>
        <v/>
      </c>
      <c r="B407" s="31" t="str">
        <f aca="false">IF($A407="","",'SC Change Orders'!$A389)</f>
        <v/>
      </c>
      <c r="C407" s="18" t="str">
        <f aca="false">IF($A407="","",'SC Change Orders'!$B389)</f>
        <v/>
      </c>
      <c r="D407" s="32" t="str">
        <f aca="false">IF($A407="","",'SC Change Orders'!$C389)</f>
        <v/>
      </c>
      <c r="E407" s="31" t="str">
        <f aca="false">IF($A407="","",'SC Change Orders'!$D389)</f>
        <v/>
      </c>
      <c r="F407" s="33" t="str">
        <f aca="false">IF($A407="","",'SC Change Orders'!$E389)</f>
        <v/>
      </c>
      <c r="G407" s="33" t="str">
        <f aca="false">IF($A407="","",'SC Change Orders'!$F389)</f>
        <v/>
      </c>
      <c r="H407" s="33" t="str">
        <f aca="false">IF($A407="","",'SC Change Orders'!$G389)</f>
        <v/>
      </c>
      <c r="I407" s="34" t="str">
        <f aca="false">IF($A407="","",IF(AND(ISNUMBER('SC Change Orders'!$C389),'SC Change Orders'!$C389&gt;=Controls!$C$5,'SC Change Orders'!$C389&lt;=Controls!$C$6),"Yes","No"))</f>
        <v/>
      </c>
      <c r="J407" s="31" t="str">
        <f aca="false">IF($A407="","",IF($K407="","OK",$K407))</f>
        <v/>
      </c>
      <c r="K407" s="0" t="str">
        <f aca="false">IF($A407="","",IF(NOT(ISNUMBER('SC Change Orders'!$B389)),"PO not numeric — row is invisible to the tracker; ","")&amp;IF(NOT(ISNUMBER('SC Change Orders'!$C389)),"Date missing or text — row excluded; ",  IF(OR('SC Change Orders'!$C389&lt;Controls!$C$5,'SC Change Orders'!$C389&gt;Controls!$C$6),"Dated outside the FY window — excluded; ",""))&amp;IF(AND('SC Change Orders'!$E389&lt;&gt;"",NOT(ISNUMBER('SC Change Orders'!$E389))),"Original Amount held as text — ignored by MINIFS; ","")&amp;IF(AND('SC Change Orders'!$F389&lt;&gt;"",NOT(ISNUMBER('SC Change Orders'!$F389))),"Amount Added held as text — ignored by SUMIFS; ","")&amp;IF(ISNUMBER('SC Change Orders'!$E389),IF(ISNUMBER('SC Change Orders'!$F389),IF(ISNUMBER('SC Change Orders'!$G389),  IF('SC Change Orders'!$G389&gt;0,IF(ROUND('SC Change Orders'!$E389+'SC Change Orders'!$F389,2)&lt;&gt;ROUND('SC Change Orders'!$G389,2),  "Original + Added &lt;&gt; Total Line Cost Allotted; ",""),""),""),""),"")&amp;IF(AND(ISNUMBER('SC Change Orders'!$B389),COUNTIFS('SC Change Orders'!$B$2:$B$501,'SC Change Orders'!$B389,'SC Change Orders'!$C$2:$C$501,'SC Change Orders'!$C389,'SC Change Orders'!$D$2:$D$501,'SC Change Orders'!$D389,'SC Change Orders'!$F$2:$F$501,'SC Change Orders'!$F389,'SC Change Orders'!$E$2:$E$501,'SC Change Orders'!$E389)&gt;1),"Duplicate of another row — funds counted twice; ","")&amp;IF(ISNUMBER('SC Change Orders'!$F389),IF('SC Change Orders'!$F389&lt;&gt;0,IF(AND(ISNUMBER('SC Change Orders'!$B389),NOT(COUNTIFS('SC Change Orders'!$B$2:$B$501,'SC Change Orders'!$B389,'SC Change Orders'!$C$2:$C$501,'SC Change Orders'!$C389,'SC Change Orders'!$D$2:$D$501,'SC Change Orders'!$D389,'SC Change Orders'!$F$2:$F$501,'SC Change Orders'!$F389,'SC Change Orders'!$E$2:$E$501,'SC Change Orders'!$E389)&gt;1),COUNTIFS('SC Change Orders'!$B$2:$B$501,'SC Change Orders'!$B389,'SC Change Orders'!$F$2:$F$501,'SC Change Orders'!$F389)&gt;1),  "Same PO and Amount Added as another row — check for a restatement counted twice; ",""),""),""))</f>
        <v/>
      </c>
    </row>
    <row r="408" customFormat="false" ht="15" hidden="false" customHeight="false" outlineLevel="0" collapsed="false">
      <c r="A408" s="18" t="str">
        <f aca="false">IF(AND('SC Change Orders'!$A390="",'SC Change Orders'!$B390="",'SC Change Orders'!$C390=""),"",390)</f>
        <v/>
      </c>
      <c r="B408" s="31" t="str">
        <f aca="false">IF($A408="","",'SC Change Orders'!$A390)</f>
        <v/>
      </c>
      <c r="C408" s="18" t="str">
        <f aca="false">IF($A408="","",'SC Change Orders'!$B390)</f>
        <v/>
      </c>
      <c r="D408" s="32" t="str">
        <f aca="false">IF($A408="","",'SC Change Orders'!$C390)</f>
        <v/>
      </c>
      <c r="E408" s="31" t="str">
        <f aca="false">IF($A408="","",'SC Change Orders'!$D390)</f>
        <v/>
      </c>
      <c r="F408" s="33" t="str">
        <f aca="false">IF($A408="","",'SC Change Orders'!$E390)</f>
        <v/>
      </c>
      <c r="G408" s="33" t="str">
        <f aca="false">IF($A408="","",'SC Change Orders'!$F390)</f>
        <v/>
      </c>
      <c r="H408" s="33" t="str">
        <f aca="false">IF($A408="","",'SC Change Orders'!$G390)</f>
        <v/>
      </c>
      <c r="I408" s="34" t="str">
        <f aca="false">IF($A408="","",IF(AND(ISNUMBER('SC Change Orders'!$C390),'SC Change Orders'!$C390&gt;=Controls!$C$5,'SC Change Orders'!$C390&lt;=Controls!$C$6),"Yes","No"))</f>
        <v/>
      </c>
      <c r="J408" s="31" t="str">
        <f aca="false">IF($A408="","",IF($K408="","OK",$K408))</f>
        <v/>
      </c>
      <c r="K408" s="0" t="str">
        <f aca="false">IF($A408="","",IF(NOT(ISNUMBER('SC Change Orders'!$B390)),"PO not numeric — row is invisible to the tracker; ","")&amp;IF(NOT(ISNUMBER('SC Change Orders'!$C390)),"Date missing or text — row excluded; ",  IF(OR('SC Change Orders'!$C390&lt;Controls!$C$5,'SC Change Orders'!$C390&gt;Controls!$C$6),"Dated outside the FY window — excluded; ",""))&amp;IF(AND('SC Change Orders'!$E390&lt;&gt;"",NOT(ISNUMBER('SC Change Orders'!$E390))),"Original Amount held as text — ignored by MINIFS; ","")&amp;IF(AND('SC Change Orders'!$F390&lt;&gt;"",NOT(ISNUMBER('SC Change Orders'!$F390))),"Amount Added held as text — ignored by SUMIFS; ","")&amp;IF(ISNUMBER('SC Change Orders'!$E390),IF(ISNUMBER('SC Change Orders'!$F390),IF(ISNUMBER('SC Change Orders'!$G390),  IF('SC Change Orders'!$G390&gt;0,IF(ROUND('SC Change Orders'!$E390+'SC Change Orders'!$F390,2)&lt;&gt;ROUND('SC Change Orders'!$G390,2),  "Original + Added &lt;&gt; Total Line Cost Allotted; ",""),""),""),""),"")&amp;IF(AND(ISNUMBER('SC Change Orders'!$B390),COUNTIFS('SC Change Orders'!$B$2:$B$501,'SC Change Orders'!$B390,'SC Change Orders'!$C$2:$C$501,'SC Change Orders'!$C390,'SC Change Orders'!$D$2:$D$501,'SC Change Orders'!$D390,'SC Change Orders'!$F$2:$F$501,'SC Change Orders'!$F390,'SC Change Orders'!$E$2:$E$501,'SC Change Orders'!$E390)&gt;1),"Duplicate of another row — funds counted twice; ","")&amp;IF(ISNUMBER('SC Change Orders'!$F390),IF('SC Change Orders'!$F390&lt;&gt;0,IF(AND(ISNUMBER('SC Change Orders'!$B390),NOT(COUNTIFS('SC Change Orders'!$B$2:$B$501,'SC Change Orders'!$B390,'SC Change Orders'!$C$2:$C$501,'SC Change Orders'!$C390,'SC Change Orders'!$D$2:$D$501,'SC Change Orders'!$D390,'SC Change Orders'!$F$2:$F$501,'SC Change Orders'!$F390,'SC Change Orders'!$E$2:$E$501,'SC Change Orders'!$E390)&gt;1),COUNTIFS('SC Change Orders'!$B$2:$B$501,'SC Change Orders'!$B390,'SC Change Orders'!$F$2:$F$501,'SC Change Orders'!$F390)&gt;1),  "Same PO and Amount Added as another row — check for a restatement counted twice; ",""),""),""))</f>
        <v/>
      </c>
    </row>
    <row r="409" customFormat="false" ht="15" hidden="false" customHeight="false" outlineLevel="0" collapsed="false">
      <c r="A409" s="18" t="str">
        <f aca="false">IF(AND('SC Change Orders'!$A391="",'SC Change Orders'!$B391="",'SC Change Orders'!$C391=""),"",391)</f>
        <v/>
      </c>
      <c r="B409" s="31" t="str">
        <f aca="false">IF($A409="","",'SC Change Orders'!$A391)</f>
        <v/>
      </c>
      <c r="C409" s="18" t="str">
        <f aca="false">IF($A409="","",'SC Change Orders'!$B391)</f>
        <v/>
      </c>
      <c r="D409" s="32" t="str">
        <f aca="false">IF($A409="","",'SC Change Orders'!$C391)</f>
        <v/>
      </c>
      <c r="E409" s="31" t="str">
        <f aca="false">IF($A409="","",'SC Change Orders'!$D391)</f>
        <v/>
      </c>
      <c r="F409" s="33" t="str">
        <f aca="false">IF($A409="","",'SC Change Orders'!$E391)</f>
        <v/>
      </c>
      <c r="G409" s="33" t="str">
        <f aca="false">IF($A409="","",'SC Change Orders'!$F391)</f>
        <v/>
      </c>
      <c r="H409" s="33" t="str">
        <f aca="false">IF($A409="","",'SC Change Orders'!$G391)</f>
        <v/>
      </c>
      <c r="I409" s="34" t="str">
        <f aca="false">IF($A409="","",IF(AND(ISNUMBER('SC Change Orders'!$C391),'SC Change Orders'!$C391&gt;=Controls!$C$5,'SC Change Orders'!$C391&lt;=Controls!$C$6),"Yes","No"))</f>
        <v/>
      </c>
      <c r="J409" s="31" t="str">
        <f aca="false">IF($A409="","",IF($K409="","OK",$K409))</f>
        <v/>
      </c>
      <c r="K409" s="0" t="str">
        <f aca="false">IF($A409="","",IF(NOT(ISNUMBER('SC Change Orders'!$B391)),"PO not numeric — row is invisible to the tracker; ","")&amp;IF(NOT(ISNUMBER('SC Change Orders'!$C391)),"Date missing or text — row excluded; ",  IF(OR('SC Change Orders'!$C391&lt;Controls!$C$5,'SC Change Orders'!$C391&gt;Controls!$C$6),"Dated outside the FY window — excluded; ",""))&amp;IF(AND('SC Change Orders'!$E391&lt;&gt;"",NOT(ISNUMBER('SC Change Orders'!$E391))),"Original Amount held as text — ignored by MINIFS; ","")&amp;IF(AND('SC Change Orders'!$F391&lt;&gt;"",NOT(ISNUMBER('SC Change Orders'!$F391))),"Amount Added held as text — ignored by SUMIFS; ","")&amp;IF(ISNUMBER('SC Change Orders'!$E391),IF(ISNUMBER('SC Change Orders'!$F391),IF(ISNUMBER('SC Change Orders'!$G391),  IF('SC Change Orders'!$G391&gt;0,IF(ROUND('SC Change Orders'!$E391+'SC Change Orders'!$F391,2)&lt;&gt;ROUND('SC Change Orders'!$G391,2),  "Original + Added &lt;&gt; Total Line Cost Allotted; ",""),""),""),""),"")&amp;IF(AND(ISNUMBER('SC Change Orders'!$B391),COUNTIFS('SC Change Orders'!$B$2:$B$501,'SC Change Orders'!$B391,'SC Change Orders'!$C$2:$C$501,'SC Change Orders'!$C391,'SC Change Orders'!$D$2:$D$501,'SC Change Orders'!$D391,'SC Change Orders'!$F$2:$F$501,'SC Change Orders'!$F391,'SC Change Orders'!$E$2:$E$501,'SC Change Orders'!$E391)&gt;1),"Duplicate of another row — funds counted twice; ","")&amp;IF(ISNUMBER('SC Change Orders'!$F391),IF('SC Change Orders'!$F391&lt;&gt;0,IF(AND(ISNUMBER('SC Change Orders'!$B391),NOT(COUNTIFS('SC Change Orders'!$B$2:$B$501,'SC Change Orders'!$B391,'SC Change Orders'!$C$2:$C$501,'SC Change Orders'!$C391,'SC Change Orders'!$D$2:$D$501,'SC Change Orders'!$D391,'SC Change Orders'!$F$2:$F$501,'SC Change Orders'!$F391,'SC Change Orders'!$E$2:$E$501,'SC Change Orders'!$E391)&gt;1),COUNTIFS('SC Change Orders'!$B$2:$B$501,'SC Change Orders'!$B391,'SC Change Orders'!$F$2:$F$501,'SC Change Orders'!$F391)&gt;1),  "Same PO and Amount Added as another row — check for a restatement counted twice; ",""),""),""))</f>
        <v/>
      </c>
    </row>
    <row r="410" customFormat="false" ht="15" hidden="false" customHeight="false" outlineLevel="0" collapsed="false">
      <c r="A410" s="18" t="str">
        <f aca="false">IF(AND('SC Change Orders'!$A392="",'SC Change Orders'!$B392="",'SC Change Orders'!$C392=""),"",392)</f>
        <v/>
      </c>
      <c r="B410" s="31" t="str">
        <f aca="false">IF($A410="","",'SC Change Orders'!$A392)</f>
        <v/>
      </c>
      <c r="C410" s="18" t="str">
        <f aca="false">IF($A410="","",'SC Change Orders'!$B392)</f>
        <v/>
      </c>
      <c r="D410" s="32" t="str">
        <f aca="false">IF($A410="","",'SC Change Orders'!$C392)</f>
        <v/>
      </c>
      <c r="E410" s="31" t="str">
        <f aca="false">IF($A410="","",'SC Change Orders'!$D392)</f>
        <v/>
      </c>
      <c r="F410" s="33" t="str">
        <f aca="false">IF($A410="","",'SC Change Orders'!$E392)</f>
        <v/>
      </c>
      <c r="G410" s="33" t="str">
        <f aca="false">IF($A410="","",'SC Change Orders'!$F392)</f>
        <v/>
      </c>
      <c r="H410" s="33" t="str">
        <f aca="false">IF($A410="","",'SC Change Orders'!$G392)</f>
        <v/>
      </c>
      <c r="I410" s="34" t="str">
        <f aca="false">IF($A410="","",IF(AND(ISNUMBER('SC Change Orders'!$C392),'SC Change Orders'!$C392&gt;=Controls!$C$5,'SC Change Orders'!$C392&lt;=Controls!$C$6),"Yes","No"))</f>
        <v/>
      </c>
      <c r="J410" s="31" t="str">
        <f aca="false">IF($A410="","",IF($K410="","OK",$K410))</f>
        <v/>
      </c>
      <c r="K410" s="0" t="str">
        <f aca="false">IF($A410="","",IF(NOT(ISNUMBER('SC Change Orders'!$B392)),"PO not numeric — row is invisible to the tracker; ","")&amp;IF(NOT(ISNUMBER('SC Change Orders'!$C392)),"Date missing or text — row excluded; ",  IF(OR('SC Change Orders'!$C392&lt;Controls!$C$5,'SC Change Orders'!$C392&gt;Controls!$C$6),"Dated outside the FY window — excluded; ",""))&amp;IF(AND('SC Change Orders'!$E392&lt;&gt;"",NOT(ISNUMBER('SC Change Orders'!$E392))),"Original Amount held as text — ignored by MINIFS; ","")&amp;IF(AND('SC Change Orders'!$F392&lt;&gt;"",NOT(ISNUMBER('SC Change Orders'!$F392))),"Amount Added held as text — ignored by SUMIFS; ","")&amp;IF(ISNUMBER('SC Change Orders'!$E392),IF(ISNUMBER('SC Change Orders'!$F392),IF(ISNUMBER('SC Change Orders'!$G392),  IF('SC Change Orders'!$G392&gt;0,IF(ROUND('SC Change Orders'!$E392+'SC Change Orders'!$F392,2)&lt;&gt;ROUND('SC Change Orders'!$G392,2),  "Original + Added &lt;&gt; Total Line Cost Allotted; ",""),""),""),""),"")&amp;IF(AND(ISNUMBER('SC Change Orders'!$B392),COUNTIFS('SC Change Orders'!$B$2:$B$501,'SC Change Orders'!$B392,'SC Change Orders'!$C$2:$C$501,'SC Change Orders'!$C392,'SC Change Orders'!$D$2:$D$501,'SC Change Orders'!$D392,'SC Change Orders'!$F$2:$F$501,'SC Change Orders'!$F392,'SC Change Orders'!$E$2:$E$501,'SC Change Orders'!$E392)&gt;1),"Duplicate of another row — funds counted twice; ","")&amp;IF(ISNUMBER('SC Change Orders'!$F392),IF('SC Change Orders'!$F392&lt;&gt;0,IF(AND(ISNUMBER('SC Change Orders'!$B392),NOT(COUNTIFS('SC Change Orders'!$B$2:$B$501,'SC Change Orders'!$B392,'SC Change Orders'!$C$2:$C$501,'SC Change Orders'!$C392,'SC Change Orders'!$D$2:$D$501,'SC Change Orders'!$D392,'SC Change Orders'!$F$2:$F$501,'SC Change Orders'!$F392,'SC Change Orders'!$E$2:$E$501,'SC Change Orders'!$E392)&gt;1),COUNTIFS('SC Change Orders'!$B$2:$B$501,'SC Change Orders'!$B392,'SC Change Orders'!$F$2:$F$501,'SC Change Orders'!$F392)&gt;1),  "Same PO and Amount Added as another row — check for a restatement counted twice; ",""),""),""))</f>
        <v/>
      </c>
    </row>
    <row r="411" customFormat="false" ht="15" hidden="false" customHeight="false" outlineLevel="0" collapsed="false">
      <c r="A411" s="18" t="str">
        <f aca="false">IF(AND('SC Change Orders'!$A393="",'SC Change Orders'!$B393="",'SC Change Orders'!$C393=""),"",393)</f>
        <v/>
      </c>
      <c r="B411" s="31" t="str">
        <f aca="false">IF($A411="","",'SC Change Orders'!$A393)</f>
        <v/>
      </c>
      <c r="C411" s="18" t="str">
        <f aca="false">IF($A411="","",'SC Change Orders'!$B393)</f>
        <v/>
      </c>
      <c r="D411" s="32" t="str">
        <f aca="false">IF($A411="","",'SC Change Orders'!$C393)</f>
        <v/>
      </c>
      <c r="E411" s="31" t="str">
        <f aca="false">IF($A411="","",'SC Change Orders'!$D393)</f>
        <v/>
      </c>
      <c r="F411" s="33" t="str">
        <f aca="false">IF($A411="","",'SC Change Orders'!$E393)</f>
        <v/>
      </c>
      <c r="G411" s="33" t="str">
        <f aca="false">IF($A411="","",'SC Change Orders'!$F393)</f>
        <v/>
      </c>
      <c r="H411" s="33" t="str">
        <f aca="false">IF($A411="","",'SC Change Orders'!$G393)</f>
        <v/>
      </c>
      <c r="I411" s="34" t="str">
        <f aca="false">IF($A411="","",IF(AND(ISNUMBER('SC Change Orders'!$C393),'SC Change Orders'!$C393&gt;=Controls!$C$5,'SC Change Orders'!$C393&lt;=Controls!$C$6),"Yes","No"))</f>
        <v/>
      </c>
      <c r="J411" s="31" t="str">
        <f aca="false">IF($A411="","",IF($K411="","OK",$K411))</f>
        <v/>
      </c>
      <c r="K411" s="0" t="str">
        <f aca="false">IF($A411="","",IF(NOT(ISNUMBER('SC Change Orders'!$B393)),"PO not numeric — row is invisible to the tracker; ","")&amp;IF(NOT(ISNUMBER('SC Change Orders'!$C393)),"Date missing or text — row excluded; ",  IF(OR('SC Change Orders'!$C393&lt;Controls!$C$5,'SC Change Orders'!$C393&gt;Controls!$C$6),"Dated outside the FY window — excluded; ",""))&amp;IF(AND('SC Change Orders'!$E393&lt;&gt;"",NOT(ISNUMBER('SC Change Orders'!$E393))),"Original Amount held as text — ignored by MINIFS; ","")&amp;IF(AND('SC Change Orders'!$F393&lt;&gt;"",NOT(ISNUMBER('SC Change Orders'!$F393))),"Amount Added held as text — ignored by SUMIFS; ","")&amp;IF(ISNUMBER('SC Change Orders'!$E393),IF(ISNUMBER('SC Change Orders'!$F393),IF(ISNUMBER('SC Change Orders'!$G393),  IF('SC Change Orders'!$G393&gt;0,IF(ROUND('SC Change Orders'!$E393+'SC Change Orders'!$F393,2)&lt;&gt;ROUND('SC Change Orders'!$G393,2),  "Original + Added &lt;&gt; Total Line Cost Allotted; ",""),""),""),""),"")&amp;IF(AND(ISNUMBER('SC Change Orders'!$B393),COUNTIFS('SC Change Orders'!$B$2:$B$501,'SC Change Orders'!$B393,'SC Change Orders'!$C$2:$C$501,'SC Change Orders'!$C393,'SC Change Orders'!$D$2:$D$501,'SC Change Orders'!$D393,'SC Change Orders'!$F$2:$F$501,'SC Change Orders'!$F393,'SC Change Orders'!$E$2:$E$501,'SC Change Orders'!$E393)&gt;1),"Duplicate of another row — funds counted twice; ","")&amp;IF(ISNUMBER('SC Change Orders'!$F393),IF('SC Change Orders'!$F393&lt;&gt;0,IF(AND(ISNUMBER('SC Change Orders'!$B393),NOT(COUNTIFS('SC Change Orders'!$B$2:$B$501,'SC Change Orders'!$B393,'SC Change Orders'!$C$2:$C$501,'SC Change Orders'!$C393,'SC Change Orders'!$D$2:$D$501,'SC Change Orders'!$D393,'SC Change Orders'!$F$2:$F$501,'SC Change Orders'!$F393,'SC Change Orders'!$E$2:$E$501,'SC Change Orders'!$E393)&gt;1),COUNTIFS('SC Change Orders'!$B$2:$B$501,'SC Change Orders'!$B393,'SC Change Orders'!$F$2:$F$501,'SC Change Orders'!$F393)&gt;1),  "Same PO and Amount Added as another row — check for a restatement counted twice; ",""),""),""))</f>
        <v/>
      </c>
    </row>
    <row r="412" customFormat="false" ht="15" hidden="false" customHeight="false" outlineLevel="0" collapsed="false">
      <c r="A412" s="18" t="str">
        <f aca="false">IF(AND('SC Change Orders'!$A394="",'SC Change Orders'!$B394="",'SC Change Orders'!$C394=""),"",394)</f>
        <v/>
      </c>
      <c r="B412" s="31" t="str">
        <f aca="false">IF($A412="","",'SC Change Orders'!$A394)</f>
        <v/>
      </c>
      <c r="C412" s="18" t="str">
        <f aca="false">IF($A412="","",'SC Change Orders'!$B394)</f>
        <v/>
      </c>
      <c r="D412" s="32" t="str">
        <f aca="false">IF($A412="","",'SC Change Orders'!$C394)</f>
        <v/>
      </c>
      <c r="E412" s="31" t="str">
        <f aca="false">IF($A412="","",'SC Change Orders'!$D394)</f>
        <v/>
      </c>
      <c r="F412" s="33" t="str">
        <f aca="false">IF($A412="","",'SC Change Orders'!$E394)</f>
        <v/>
      </c>
      <c r="G412" s="33" t="str">
        <f aca="false">IF($A412="","",'SC Change Orders'!$F394)</f>
        <v/>
      </c>
      <c r="H412" s="33" t="str">
        <f aca="false">IF($A412="","",'SC Change Orders'!$G394)</f>
        <v/>
      </c>
      <c r="I412" s="34" t="str">
        <f aca="false">IF($A412="","",IF(AND(ISNUMBER('SC Change Orders'!$C394),'SC Change Orders'!$C394&gt;=Controls!$C$5,'SC Change Orders'!$C394&lt;=Controls!$C$6),"Yes","No"))</f>
        <v/>
      </c>
      <c r="J412" s="31" t="str">
        <f aca="false">IF($A412="","",IF($K412="","OK",$K412))</f>
        <v/>
      </c>
      <c r="K412" s="0" t="str">
        <f aca="false">IF($A412="","",IF(NOT(ISNUMBER('SC Change Orders'!$B394)),"PO not numeric — row is invisible to the tracker; ","")&amp;IF(NOT(ISNUMBER('SC Change Orders'!$C394)),"Date missing or text — row excluded; ",  IF(OR('SC Change Orders'!$C394&lt;Controls!$C$5,'SC Change Orders'!$C394&gt;Controls!$C$6),"Dated outside the FY window — excluded; ",""))&amp;IF(AND('SC Change Orders'!$E394&lt;&gt;"",NOT(ISNUMBER('SC Change Orders'!$E394))),"Original Amount held as text — ignored by MINIFS; ","")&amp;IF(AND('SC Change Orders'!$F394&lt;&gt;"",NOT(ISNUMBER('SC Change Orders'!$F394))),"Amount Added held as text — ignored by SUMIFS; ","")&amp;IF(ISNUMBER('SC Change Orders'!$E394),IF(ISNUMBER('SC Change Orders'!$F394),IF(ISNUMBER('SC Change Orders'!$G394),  IF('SC Change Orders'!$G394&gt;0,IF(ROUND('SC Change Orders'!$E394+'SC Change Orders'!$F394,2)&lt;&gt;ROUND('SC Change Orders'!$G394,2),  "Original + Added &lt;&gt; Total Line Cost Allotted; ",""),""),""),""),"")&amp;IF(AND(ISNUMBER('SC Change Orders'!$B394),COUNTIFS('SC Change Orders'!$B$2:$B$501,'SC Change Orders'!$B394,'SC Change Orders'!$C$2:$C$501,'SC Change Orders'!$C394,'SC Change Orders'!$D$2:$D$501,'SC Change Orders'!$D394,'SC Change Orders'!$F$2:$F$501,'SC Change Orders'!$F394,'SC Change Orders'!$E$2:$E$501,'SC Change Orders'!$E394)&gt;1),"Duplicate of another row — funds counted twice; ","")&amp;IF(ISNUMBER('SC Change Orders'!$F394),IF('SC Change Orders'!$F394&lt;&gt;0,IF(AND(ISNUMBER('SC Change Orders'!$B394),NOT(COUNTIFS('SC Change Orders'!$B$2:$B$501,'SC Change Orders'!$B394,'SC Change Orders'!$C$2:$C$501,'SC Change Orders'!$C394,'SC Change Orders'!$D$2:$D$501,'SC Change Orders'!$D394,'SC Change Orders'!$F$2:$F$501,'SC Change Orders'!$F394,'SC Change Orders'!$E$2:$E$501,'SC Change Orders'!$E394)&gt;1),COUNTIFS('SC Change Orders'!$B$2:$B$501,'SC Change Orders'!$B394,'SC Change Orders'!$F$2:$F$501,'SC Change Orders'!$F394)&gt;1),  "Same PO and Amount Added as another row — check for a restatement counted twice; ",""),""),""))</f>
        <v/>
      </c>
    </row>
    <row r="413" customFormat="false" ht="15" hidden="false" customHeight="false" outlineLevel="0" collapsed="false">
      <c r="A413" s="18" t="str">
        <f aca="false">IF(AND('SC Change Orders'!$A395="",'SC Change Orders'!$B395="",'SC Change Orders'!$C395=""),"",395)</f>
        <v/>
      </c>
      <c r="B413" s="31" t="str">
        <f aca="false">IF($A413="","",'SC Change Orders'!$A395)</f>
        <v/>
      </c>
      <c r="C413" s="18" t="str">
        <f aca="false">IF($A413="","",'SC Change Orders'!$B395)</f>
        <v/>
      </c>
      <c r="D413" s="32" t="str">
        <f aca="false">IF($A413="","",'SC Change Orders'!$C395)</f>
        <v/>
      </c>
      <c r="E413" s="31" t="str">
        <f aca="false">IF($A413="","",'SC Change Orders'!$D395)</f>
        <v/>
      </c>
      <c r="F413" s="33" t="str">
        <f aca="false">IF($A413="","",'SC Change Orders'!$E395)</f>
        <v/>
      </c>
      <c r="G413" s="33" t="str">
        <f aca="false">IF($A413="","",'SC Change Orders'!$F395)</f>
        <v/>
      </c>
      <c r="H413" s="33" t="str">
        <f aca="false">IF($A413="","",'SC Change Orders'!$G395)</f>
        <v/>
      </c>
      <c r="I413" s="34" t="str">
        <f aca="false">IF($A413="","",IF(AND(ISNUMBER('SC Change Orders'!$C395),'SC Change Orders'!$C395&gt;=Controls!$C$5,'SC Change Orders'!$C395&lt;=Controls!$C$6),"Yes","No"))</f>
        <v/>
      </c>
      <c r="J413" s="31" t="str">
        <f aca="false">IF($A413="","",IF($K413="","OK",$K413))</f>
        <v/>
      </c>
      <c r="K413" s="0" t="str">
        <f aca="false">IF($A413="","",IF(NOT(ISNUMBER('SC Change Orders'!$B395)),"PO not numeric — row is invisible to the tracker; ","")&amp;IF(NOT(ISNUMBER('SC Change Orders'!$C395)),"Date missing or text — row excluded; ",  IF(OR('SC Change Orders'!$C395&lt;Controls!$C$5,'SC Change Orders'!$C395&gt;Controls!$C$6),"Dated outside the FY window — excluded; ",""))&amp;IF(AND('SC Change Orders'!$E395&lt;&gt;"",NOT(ISNUMBER('SC Change Orders'!$E395))),"Original Amount held as text — ignored by MINIFS; ","")&amp;IF(AND('SC Change Orders'!$F395&lt;&gt;"",NOT(ISNUMBER('SC Change Orders'!$F395))),"Amount Added held as text — ignored by SUMIFS; ","")&amp;IF(ISNUMBER('SC Change Orders'!$E395),IF(ISNUMBER('SC Change Orders'!$F395),IF(ISNUMBER('SC Change Orders'!$G395),  IF('SC Change Orders'!$G395&gt;0,IF(ROUND('SC Change Orders'!$E395+'SC Change Orders'!$F395,2)&lt;&gt;ROUND('SC Change Orders'!$G395,2),  "Original + Added &lt;&gt; Total Line Cost Allotted; ",""),""),""),""),"")&amp;IF(AND(ISNUMBER('SC Change Orders'!$B395),COUNTIFS('SC Change Orders'!$B$2:$B$501,'SC Change Orders'!$B395,'SC Change Orders'!$C$2:$C$501,'SC Change Orders'!$C395,'SC Change Orders'!$D$2:$D$501,'SC Change Orders'!$D395,'SC Change Orders'!$F$2:$F$501,'SC Change Orders'!$F395,'SC Change Orders'!$E$2:$E$501,'SC Change Orders'!$E395)&gt;1),"Duplicate of another row — funds counted twice; ","")&amp;IF(ISNUMBER('SC Change Orders'!$F395),IF('SC Change Orders'!$F395&lt;&gt;0,IF(AND(ISNUMBER('SC Change Orders'!$B395),NOT(COUNTIFS('SC Change Orders'!$B$2:$B$501,'SC Change Orders'!$B395,'SC Change Orders'!$C$2:$C$501,'SC Change Orders'!$C395,'SC Change Orders'!$D$2:$D$501,'SC Change Orders'!$D395,'SC Change Orders'!$F$2:$F$501,'SC Change Orders'!$F395,'SC Change Orders'!$E$2:$E$501,'SC Change Orders'!$E395)&gt;1),COUNTIFS('SC Change Orders'!$B$2:$B$501,'SC Change Orders'!$B395,'SC Change Orders'!$F$2:$F$501,'SC Change Orders'!$F395)&gt;1),  "Same PO and Amount Added as another row — check for a restatement counted twice; ",""),""),""))</f>
        <v/>
      </c>
    </row>
    <row r="414" customFormat="false" ht="15" hidden="false" customHeight="false" outlineLevel="0" collapsed="false">
      <c r="A414" s="18" t="str">
        <f aca="false">IF(AND('SC Change Orders'!$A396="",'SC Change Orders'!$B396="",'SC Change Orders'!$C396=""),"",396)</f>
        <v/>
      </c>
      <c r="B414" s="31" t="str">
        <f aca="false">IF($A414="","",'SC Change Orders'!$A396)</f>
        <v/>
      </c>
      <c r="C414" s="18" t="str">
        <f aca="false">IF($A414="","",'SC Change Orders'!$B396)</f>
        <v/>
      </c>
      <c r="D414" s="32" t="str">
        <f aca="false">IF($A414="","",'SC Change Orders'!$C396)</f>
        <v/>
      </c>
      <c r="E414" s="31" t="str">
        <f aca="false">IF($A414="","",'SC Change Orders'!$D396)</f>
        <v/>
      </c>
      <c r="F414" s="33" t="str">
        <f aca="false">IF($A414="","",'SC Change Orders'!$E396)</f>
        <v/>
      </c>
      <c r="G414" s="33" t="str">
        <f aca="false">IF($A414="","",'SC Change Orders'!$F396)</f>
        <v/>
      </c>
      <c r="H414" s="33" t="str">
        <f aca="false">IF($A414="","",'SC Change Orders'!$G396)</f>
        <v/>
      </c>
      <c r="I414" s="34" t="str">
        <f aca="false">IF($A414="","",IF(AND(ISNUMBER('SC Change Orders'!$C396),'SC Change Orders'!$C396&gt;=Controls!$C$5,'SC Change Orders'!$C396&lt;=Controls!$C$6),"Yes","No"))</f>
        <v/>
      </c>
      <c r="J414" s="31" t="str">
        <f aca="false">IF($A414="","",IF($K414="","OK",$K414))</f>
        <v/>
      </c>
      <c r="K414" s="0" t="str">
        <f aca="false">IF($A414="","",IF(NOT(ISNUMBER('SC Change Orders'!$B396)),"PO not numeric — row is invisible to the tracker; ","")&amp;IF(NOT(ISNUMBER('SC Change Orders'!$C396)),"Date missing or text — row excluded; ",  IF(OR('SC Change Orders'!$C396&lt;Controls!$C$5,'SC Change Orders'!$C396&gt;Controls!$C$6),"Dated outside the FY window — excluded; ",""))&amp;IF(AND('SC Change Orders'!$E396&lt;&gt;"",NOT(ISNUMBER('SC Change Orders'!$E396))),"Original Amount held as text — ignored by MINIFS; ","")&amp;IF(AND('SC Change Orders'!$F396&lt;&gt;"",NOT(ISNUMBER('SC Change Orders'!$F396))),"Amount Added held as text — ignored by SUMIFS; ","")&amp;IF(ISNUMBER('SC Change Orders'!$E396),IF(ISNUMBER('SC Change Orders'!$F396),IF(ISNUMBER('SC Change Orders'!$G396),  IF('SC Change Orders'!$G396&gt;0,IF(ROUND('SC Change Orders'!$E396+'SC Change Orders'!$F396,2)&lt;&gt;ROUND('SC Change Orders'!$G396,2),  "Original + Added &lt;&gt; Total Line Cost Allotted; ",""),""),""),""),"")&amp;IF(AND(ISNUMBER('SC Change Orders'!$B396),COUNTIFS('SC Change Orders'!$B$2:$B$501,'SC Change Orders'!$B396,'SC Change Orders'!$C$2:$C$501,'SC Change Orders'!$C396,'SC Change Orders'!$D$2:$D$501,'SC Change Orders'!$D396,'SC Change Orders'!$F$2:$F$501,'SC Change Orders'!$F396,'SC Change Orders'!$E$2:$E$501,'SC Change Orders'!$E396)&gt;1),"Duplicate of another row — funds counted twice; ","")&amp;IF(ISNUMBER('SC Change Orders'!$F396),IF('SC Change Orders'!$F396&lt;&gt;0,IF(AND(ISNUMBER('SC Change Orders'!$B396),NOT(COUNTIFS('SC Change Orders'!$B$2:$B$501,'SC Change Orders'!$B396,'SC Change Orders'!$C$2:$C$501,'SC Change Orders'!$C396,'SC Change Orders'!$D$2:$D$501,'SC Change Orders'!$D396,'SC Change Orders'!$F$2:$F$501,'SC Change Orders'!$F396,'SC Change Orders'!$E$2:$E$501,'SC Change Orders'!$E396)&gt;1),COUNTIFS('SC Change Orders'!$B$2:$B$501,'SC Change Orders'!$B396,'SC Change Orders'!$F$2:$F$501,'SC Change Orders'!$F396)&gt;1),  "Same PO and Amount Added as another row — check for a restatement counted twice; ",""),""),""))</f>
        <v/>
      </c>
    </row>
    <row r="415" customFormat="false" ht="15" hidden="false" customHeight="false" outlineLevel="0" collapsed="false">
      <c r="A415" s="18" t="str">
        <f aca="false">IF(AND('SC Change Orders'!$A397="",'SC Change Orders'!$B397="",'SC Change Orders'!$C397=""),"",397)</f>
        <v/>
      </c>
      <c r="B415" s="31" t="str">
        <f aca="false">IF($A415="","",'SC Change Orders'!$A397)</f>
        <v/>
      </c>
      <c r="C415" s="18" t="str">
        <f aca="false">IF($A415="","",'SC Change Orders'!$B397)</f>
        <v/>
      </c>
      <c r="D415" s="32" t="str">
        <f aca="false">IF($A415="","",'SC Change Orders'!$C397)</f>
        <v/>
      </c>
      <c r="E415" s="31" t="str">
        <f aca="false">IF($A415="","",'SC Change Orders'!$D397)</f>
        <v/>
      </c>
      <c r="F415" s="33" t="str">
        <f aca="false">IF($A415="","",'SC Change Orders'!$E397)</f>
        <v/>
      </c>
      <c r="G415" s="33" t="str">
        <f aca="false">IF($A415="","",'SC Change Orders'!$F397)</f>
        <v/>
      </c>
      <c r="H415" s="33" t="str">
        <f aca="false">IF($A415="","",'SC Change Orders'!$G397)</f>
        <v/>
      </c>
      <c r="I415" s="34" t="str">
        <f aca="false">IF($A415="","",IF(AND(ISNUMBER('SC Change Orders'!$C397),'SC Change Orders'!$C397&gt;=Controls!$C$5,'SC Change Orders'!$C397&lt;=Controls!$C$6),"Yes","No"))</f>
        <v/>
      </c>
      <c r="J415" s="31" t="str">
        <f aca="false">IF($A415="","",IF($K415="","OK",$K415))</f>
        <v/>
      </c>
      <c r="K415" s="0" t="str">
        <f aca="false">IF($A415="","",IF(NOT(ISNUMBER('SC Change Orders'!$B397)),"PO not numeric — row is invisible to the tracker; ","")&amp;IF(NOT(ISNUMBER('SC Change Orders'!$C397)),"Date missing or text — row excluded; ",  IF(OR('SC Change Orders'!$C397&lt;Controls!$C$5,'SC Change Orders'!$C397&gt;Controls!$C$6),"Dated outside the FY window — excluded; ",""))&amp;IF(AND('SC Change Orders'!$E397&lt;&gt;"",NOT(ISNUMBER('SC Change Orders'!$E397))),"Original Amount held as text — ignored by MINIFS; ","")&amp;IF(AND('SC Change Orders'!$F397&lt;&gt;"",NOT(ISNUMBER('SC Change Orders'!$F397))),"Amount Added held as text — ignored by SUMIFS; ","")&amp;IF(ISNUMBER('SC Change Orders'!$E397),IF(ISNUMBER('SC Change Orders'!$F397),IF(ISNUMBER('SC Change Orders'!$G397),  IF('SC Change Orders'!$G397&gt;0,IF(ROUND('SC Change Orders'!$E397+'SC Change Orders'!$F397,2)&lt;&gt;ROUND('SC Change Orders'!$G397,2),  "Original + Added &lt;&gt; Total Line Cost Allotted; ",""),""),""),""),"")&amp;IF(AND(ISNUMBER('SC Change Orders'!$B397),COUNTIFS('SC Change Orders'!$B$2:$B$501,'SC Change Orders'!$B397,'SC Change Orders'!$C$2:$C$501,'SC Change Orders'!$C397,'SC Change Orders'!$D$2:$D$501,'SC Change Orders'!$D397,'SC Change Orders'!$F$2:$F$501,'SC Change Orders'!$F397,'SC Change Orders'!$E$2:$E$501,'SC Change Orders'!$E397)&gt;1),"Duplicate of another row — funds counted twice; ","")&amp;IF(ISNUMBER('SC Change Orders'!$F397),IF('SC Change Orders'!$F397&lt;&gt;0,IF(AND(ISNUMBER('SC Change Orders'!$B397),NOT(COUNTIFS('SC Change Orders'!$B$2:$B$501,'SC Change Orders'!$B397,'SC Change Orders'!$C$2:$C$501,'SC Change Orders'!$C397,'SC Change Orders'!$D$2:$D$501,'SC Change Orders'!$D397,'SC Change Orders'!$F$2:$F$501,'SC Change Orders'!$F397,'SC Change Orders'!$E$2:$E$501,'SC Change Orders'!$E397)&gt;1),COUNTIFS('SC Change Orders'!$B$2:$B$501,'SC Change Orders'!$B397,'SC Change Orders'!$F$2:$F$501,'SC Change Orders'!$F397)&gt;1),  "Same PO and Amount Added as another row — check for a restatement counted twice; ",""),""),""))</f>
        <v/>
      </c>
    </row>
    <row r="416" customFormat="false" ht="15" hidden="false" customHeight="false" outlineLevel="0" collapsed="false">
      <c r="A416" s="18" t="str">
        <f aca="false">IF(AND('SC Change Orders'!$A398="",'SC Change Orders'!$B398="",'SC Change Orders'!$C398=""),"",398)</f>
        <v/>
      </c>
      <c r="B416" s="31" t="str">
        <f aca="false">IF($A416="","",'SC Change Orders'!$A398)</f>
        <v/>
      </c>
      <c r="C416" s="18" t="str">
        <f aca="false">IF($A416="","",'SC Change Orders'!$B398)</f>
        <v/>
      </c>
      <c r="D416" s="32" t="str">
        <f aca="false">IF($A416="","",'SC Change Orders'!$C398)</f>
        <v/>
      </c>
      <c r="E416" s="31" t="str">
        <f aca="false">IF($A416="","",'SC Change Orders'!$D398)</f>
        <v/>
      </c>
      <c r="F416" s="33" t="str">
        <f aca="false">IF($A416="","",'SC Change Orders'!$E398)</f>
        <v/>
      </c>
      <c r="G416" s="33" t="str">
        <f aca="false">IF($A416="","",'SC Change Orders'!$F398)</f>
        <v/>
      </c>
      <c r="H416" s="33" t="str">
        <f aca="false">IF($A416="","",'SC Change Orders'!$G398)</f>
        <v/>
      </c>
      <c r="I416" s="34" t="str">
        <f aca="false">IF($A416="","",IF(AND(ISNUMBER('SC Change Orders'!$C398),'SC Change Orders'!$C398&gt;=Controls!$C$5,'SC Change Orders'!$C398&lt;=Controls!$C$6),"Yes","No"))</f>
        <v/>
      </c>
      <c r="J416" s="31" t="str">
        <f aca="false">IF($A416="","",IF($K416="","OK",$K416))</f>
        <v/>
      </c>
      <c r="K416" s="0" t="str">
        <f aca="false">IF($A416="","",IF(NOT(ISNUMBER('SC Change Orders'!$B398)),"PO not numeric — row is invisible to the tracker; ","")&amp;IF(NOT(ISNUMBER('SC Change Orders'!$C398)),"Date missing or text — row excluded; ",  IF(OR('SC Change Orders'!$C398&lt;Controls!$C$5,'SC Change Orders'!$C398&gt;Controls!$C$6),"Dated outside the FY window — excluded; ",""))&amp;IF(AND('SC Change Orders'!$E398&lt;&gt;"",NOT(ISNUMBER('SC Change Orders'!$E398))),"Original Amount held as text — ignored by MINIFS; ","")&amp;IF(AND('SC Change Orders'!$F398&lt;&gt;"",NOT(ISNUMBER('SC Change Orders'!$F398))),"Amount Added held as text — ignored by SUMIFS; ","")&amp;IF(ISNUMBER('SC Change Orders'!$E398),IF(ISNUMBER('SC Change Orders'!$F398),IF(ISNUMBER('SC Change Orders'!$G398),  IF('SC Change Orders'!$G398&gt;0,IF(ROUND('SC Change Orders'!$E398+'SC Change Orders'!$F398,2)&lt;&gt;ROUND('SC Change Orders'!$G398,2),  "Original + Added &lt;&gt; Total Line Cost Allotted; ",""),""),""),""),"")&amp;IF(AND(ISNUMBER('SC Change Orders'!$B398),COUNTIFS('SC Change Orders'!$B$2:$B$501,'SC Change Orders'!$B398,'SC Change Orders'!$C$2:$C$501,'SC Change Orders'!$C398,'SC Change Orders'!$D$2:$D$501,'SC Change Orders'!$D398,'SC Change Orders'!$F$2:$F$501,'SC Change Orders'!$F398,'SC Change Orders'!$E$2:$E$501,'SC Change Orders'!$E398)&gt;1),"Duplicate of another row — funds counted twice; ","")&amp;IF(ISNUMBER('SC Change Orders'!$F398),IF('SC Change Orders'!$F398&lt;&gt;0,IF(AND(ISNUMBER('SC Change Orders'!$B398),NOT(COUNTIFS('SC Change Orders'!$B$2:$B$501,'SC Change Orders'!$B398,'SC Change Orders'!$C$2:$C$501,'SC Change Orders'!$C398,'SC Change Orders'!$D$2:$D$501,'SC Change Orders'!$D398,'SC Change Orders'!$F$2:$F$501,'SC Change Orders'!$F398,'SC Change Orders'!$E$2:$E$501,'SC Change Orders'!$E398)&gt;1),COUNTIFS('SC Change Orders'!$B$2:$B$501,'SC Change Orders'!$B398,'SC Change Orders'!$F$2:$F$501,'SC Change Orders'!$F398)&gt;1),  "Same PO and Amount Added as another row — check for a restatement counted twice; ",""),""),""))</f>
        <v/>
      </c>
    </row>
    <row r="417" customFormat="false" ht="15" hidden="false" customHeight="false" outlineLevel="0" collapsed="false">
      <c r="A417" s="18" t="str">
        <f aca="false">IF(AND('SC Change Orders'!$A399="",'SC Change Orders'!$B399="",'SC Change Orders'!$C399=""),"",399)</f>
        <v/>
      </c>
      <c r="B417" s="31" t="str">
        <f aca="false">IF($A417="","",'SC Change Orders'!$A399)</f>
        <v/>
      </c>
      <c r="C417" s="18" t="str">
        <f aca="false">IF($A417="","",'SC Change Orders'!$B399)</f>
        <v/>
      </c>
      <c r="D417" s="32" t="str">
        <f aca="false">IF($A417="","",'SC Change Orders'!$C399)</f>
        <v/>
      </c>
      <c r="E417" s="31" t="str">
        <f aca="false">IF($A417="","",'SC Change Orders'!$D399)</f>
        <v/>
      </c>
      <c r="F417" s="33" t="str">
        <f aca="false">IF($A417="","",'SC Change Orders'!$E399)</f>
        <v/>
      </c>
      <c r="G417" s="33" t="str">
        <f aca="false">IF($A417="","",'SC Change Orders'!$F399)</f>
        <v/>
      </c>
      <c r="H417" s="33" t="str">
        <f aca="false">IF($A417="","",'SC Change Orders'!$G399)</f>
        <v/>
      </c>
      <c r="I417" s="34" t="str">
        <f aca="false">IF($A417="","",IF(AND(ISNUMBER('SC Change Orders'!$C399),'SC Change Orders'!$C399&gt;=Controls!$C$5,'SC Change Orders'!$C399&lt;=Controls!$C$6),"Yes","No"))</f>
        <v/>
      </c>
      <c r="J417" s="31" t="str">
        <f aca="false">IF($A417="","",IF($K417="","OK",$K417))</f>
        <v/>
      </c>
      <c r="K417" s="0" t="str">
        <f aca="false">IF($A417="","",IF(NOT(ISNUMBER('SC Change Orders'!$B399)),"PO not numeric — row is invisible to the tracker; ","")&amp;IF(NOT(ISNUMBER('SC Change Orders'!$C399)),"Date missing or text — row excluded; ",  IF(OR('SC Change Orders'!$C399&lt;Controls!$C$5,'SC Change Orders'!$C399&gt;Controls!$C$6),"Dated outside the FY window — excluded; ",""))&amp;IF(AND('SC Change Orders'!$E399&lt;&gt;"",NOT(ISNUMBER('SC Change Orders'!$E399))),"Original Amount held as text — ignored by MINIFS; ","")&amp;IF(AND('SC Change Orders'!$F399&lt;&gt;"",NOT(ISNUMBER('SC Change Orders'!$F399))),"Amount Added held as text — ignored by SUMIFS; ","")&amp;IF(ISNUMBER('SC Change Orders'!$E399),IF(ISNUMBER('SC Change Orders'!$F399),IF(ISNUMBER('SC Change Orders'!$G399),  IF('SC Change Orders'!$G399&gt;0,IF(ROUND('SC Change Orders'!$E399+'SC Change Orders'!$F399,2)&lt;&gt;ROUND('SC Change Orders'!$G399,2),  "Original + Added &lt;&gt; Total Line Cost Allotted; ",""),""),""),""),"")&amp;IF(AND(ISNUMBER('SC Change Orders'!$B399),COUNTIFS('SC Change Orders'!$B$2:$B$501,'SC Change Orders'!$B399,'SC Change Orders'!$C$2:$C$501,'SC Change Orders'!$C399,'SC Change Orders'!$D$2:$D$501,'SC Change Orders'!$D399,'SC Change Orders'!$F$2:$F$501,'SC Change Orders'!$F399,'SC Change Orders'!$E$2:$E$501,'SC Change Orders'!$E399)&gt;1),"Duplicate of another row — funds counted twice; ","")&amp;IF(ISNUMBER('SC Change Orders'!$F399),IF('SC Change Orders'!$F399&lt;&gt;0,IF(AND(ISNUMBER('SC Change Orders'!$B399),NOT(COUNTIFS('SC Change Orders'!$B$2:$B$501,'SC Change Orders'!$B399,'SC Change Orders'!$C$2:$C$501,'SC Change Orders'!$C399,'SC Change Orders'!$D$2:$D$501,'SC Change Orders'!$D399,'SC Change Orders'!$F$2:$F$501,'SC Change Orders'!$F399,'SC Change Orders'!$E$2:$E$501,'SC Change Orders'!$E399)&gt;1),COUNTIFS('SC Change Orders'!$B$2:$B$501,'SC Change Orders'!$B399,'SC Change Orders'!$F$2:$F$501,'SC Change Orders'!$F399)&gt;1),  "Same PO and Amount Added as another row — check for a restatement counted twice; ",""),""),""))</f>
        <v/>
      </c>
    </row>
    <row r="418" customFormat="false" ht="15" hidden="false" customHeight="false" outlineLevel="0" collapsed="false">
      <c r="A418" s="18" t="str">
        <f aca="false">IF(AND('SC Change Orders'!$A400="",'SC Change Orders'!$B400="",'SC Change Orders'!$C400=""),"",400)</f>
        <v/>
      </c>
      <c r="B418" s="31" t="str">
        <f aca="false">IF($A418="","",'SC Change Orders'!$A400)</f>
        <v/>
      </c>
      <c r="C418" s="18" t="str">
        <f aca="false">IF($A418="","",'SC Change Orders'!$B400)</f>
        <v/>
      </c>
      <c r="D418" s="32" t="str">
        <f aca="false">IF($A418="","",'SC Change Orders'!$C400)</f>
        <v/>
      </c>
      <c r="E418" s="31" t="str">
        <f aca="false">IF($A418="","",'SC Change Orders'!$D400)</f>
        <v/>
      </c>
      <c r="F418" s="33" t="str">
        <f aca="false">IF($A418="","",'SC Change Orders'!$E400)</f>
        <v/>
      </c>
      <c r="G418" s="33" t="str">
        <f aca="false">IF($A418="","",'SC Change Orders'!$F400)</f>
        <v/>
      </c>
      <c r="H418" s="33" t="str">
        <f aca="false">IF($A418="","",'SC Change Orders'!$G400)</f>
        <v/>
      </c>
      <c r="I418" s="34" t="str">
        <f aca="false">IF($A418="","",IF(AND(ISNUMBER('SC Change Orders'!$C400),'SC Change Orders'!$C400&gt;=Controls!$C$5,'SC Change Orders'!$C400&lt;=Controls!$C$6),"Yes","No"))</f>
        <v/>
      </c>
      <c r="J418" s="31" t="str">
        <f aca="false">IF($A418="","",IF($K418="","OK",$K418))</f>
        <v/>
      </c>
      <c r="K418" s="0" t="str">
        <f aca="false">IF($A418="","",IF(NOT(ISNUMBER('SC Change Orders'!$B400)),"PO not numeric — row is invisible to the tracker; ","")&amp;IF(NOT(ISNUMBER('SC Change Orders'!$C400)),"Date missing or text — row excluded; ",  IF(OR('SC Change Orders'!$C400&lt;Controls!$C$5,'SC Change Orders'!$C400&gt;Controls!$C$6),"Dated outside the FY window — excluded; ",""))&amp;IF(AND('SC Change Orders'!$E400&lt;&gt;"",NOT(ISNUMBER('SC Change Orders'!$E400))),"Original Amount held as text — ignored by MINIFS; ","")&amp;IF(AND('SC Change Orders'!$F400&lt;&gt;"",NOT(ISNUMBER('SC Change Orders'!$F400))),"Amount Added held as text — ignored by SUMIFS; ","")&amp;IF(ISNUMBER('SC Change Orders'!$E400),IF(ISNUMBER('SC Change Orders'!$F400),IF(ISNUMBER('SC Change Orders'!$G400),  IF('SC Change Orders'!$G400&gt;0,IF(ROUND('SC Change Orders'!$E400+'SC Change Orders'!$F400,2)&lt;&gt;ROUND('SC Change Orders'!$G400,2),  "Original + Added &lt;&gt; Total Line Cost Allotted; ",""),""),""),""),"")&amp;IF(AND(ISNUMBER('SC Change Orders'!$B400),COUNTIFS('SC Change Orders'!$B$2:$B$501,'SC Change Orders'!$B400,'SC Change Orders'!$C$2:$C$501,'SC Change Orders'!$C400,'SC Change Orders'!$D$2:$D$501,'SC Change Orders'!$D400,'SC Change Orders'!$F$2:$F$501,'SC Change Orders'!$F400,'SC Change Orders'!$E$2:$E$501,'SC Change Orders'!$E400)&gt;1),"Duplicate of another row — funds counted twice; ","")&amp;IF(ISNUMBER('SC Change Orders'!$F400),IF('SC Change Orders'!$F400&lt;&gt;0,IF(AND(ISNUMBER('SC Change Orders'!$B400),NOT(COUNTIFS('SC Change Orders'!$B$2:$B$501,'SC Change Orders'!$B400,'SC Change Orders'!$C$2:$C$501,'SC Change Orders'!$C400,'SC Change Orders'!$D$2:$D$501,'SC Change Orders'!$D400,'SC Change Orders'!$F$2:$F$501,'SC Change Orders'!$F400,'SC Change Orders'!$E$2:$E$501,'SC Change Orders'!$E400)&gt;1),COUNTIFS('SC Change Orders'!$B$2:$B$501,'SC Change Orders'!$B400,'SC Change Orders'!$F$2:$F$501,'SC Change Orders'!$F400)&gt;1),  "Same PO and Amount Added as another row — check for a restatement counted twice; ",""),""),""))</f>
        <v/>
      </c>
    </row>
    <row r="419" customFormat="false" ht="15" hidden="false" customHeight="false" outlineLevel="0" collapsed="false">
      <c r="A419" s="18" t="str">
        <f aca="false">IF(AND('SC Change Orders'!$A401="",'SC Change Orders'!$B401="",'SC Change Orders'!$C401=""),"",401)</f>
        <v/>
      </c>
      <c r="B419" s="31" t="str">
        <f aca="false">IF($A419="","",'SC Change Orders'!$A401)</f>
        <v/>
      </c>
      <c r="C419" s="18" t="str">
        <f aca="false">IF($A419="","",'SC Change Orders'!$B401)</f>
        <v/>
      </c>
      <c r="D419" s="32" t="str">
        <f aca="false">IF($A419="","",'SC Change Orders'!$C401)</f>
        <v/>
      </c>
      <c r="E419" s="31" t="str">
        <f aca="false">IF($A419="","",'SC Change Orders'!$D401)</f>
        <v/>
      </c>
      <c r="F419" s="33" t="str">
        <f aca="false">IF($A419="","",'SC Change Orders'!$E401)</f>
        <v/>
      </c>
      <c r="G419" s="33" t="str">
        <f aca="false">IF($A419="","",'SC Change Orders'!$F401)</f>
        <v/>
      </c>
      <c r="H419" s="33" t="str">
        <f aca="false">IF($A419="","",'SC Change Orders'!$G401)</f>
        <v/>
      </c>
      <c r="I419" s="34" t="str">
        <f aca="false">IF($A419="","",IF(AND(ISNUMBER('SC Change Orders'!$C401),'SC Change Orders'!$C401&gt;=Controls!$C$5,'SC Change Orders'!$C401&lt;=Controls!$C$6),"Yes","No"))</f>
        <v/>
      </c>
      <c r="J419" s="31" t="str">
        <f aca="false">IF($A419="","",IF($K419="","OK",$K419))</f>
        <v/>
      </c>
      <c r="K419" s="0" t="str">
        <f aca="false">IF($A419="","",IF(NOT(ISNUMBER('SC Change Orders'!$B401)),"PO not numeric — row is invisible to the tracker; ","")&amp;IF(NOT(ISNUMBER('SC Change Orders'!$C401)),"Date missing or text — row excluded; ",  IF(OR('SC Change Orders'!$C401&lt;Controls!$C$5,'SC Change Orders'!$C401&gt;Controls!$C$6),"Dated outside the FY window — excluded; ",""))&amp;IF(AND('SC Change Orders'!$E401&lt;&gt;"",NOT(ISNUMBER('SC Change Orders'!$E401))),"Original Amount held as text — ignored by MINIFS; ","")&amp;IF(AND('SC Change Orders'!$F401&lt;&gt;"",NOT(ISNUMBER('SC Change Orders'!$F401))),"Amount Added held as text — ignored by SUMIFS; ","")&amp;IF(ISNUMBER('SC Change Orders'!$E401),IF(ISNUMBER('SC Change Orders'!$F401),IF(ISNUMBER('SC Change Orders'!$G401),  IF('SC Change Orders'!$G401&gt;0,IF(ROUND('SC Change Orders'!$E401+'SC Change Orders'!$F401,2)&lt;&gt;ROUND('SC Change Orders'!$G401,2),  "Original + Added &lt;&gt; Total Line Cost Allotted; ",""),""),""),""),"")&amp;IF(AND(ISNUMBER('SC Change Orders'!$B401),COUNTIFS('SC Change Orders'!$B$2:$B$501,'SC Change Orders'!$B401,'SC Change Orders'!$C$2:$C$501,'SC Change Orders'!$C401,'SC Change Orders'!$D$2:$D$501,'SC Change Orders'!$D401,'SC Change Orders'!$F$2:$F$501,'SC Change Orders'!$F401,'SC Change Orders'!$E$2:$E$501,'SC Change Orders'!$E401)&gt;1),"Duplicate of another row — funds counted twice; ","")&amp;IF(ISNUMBER('SC Change Orders'!$F401),IF('SC Change Orders'!$F401&lt;&gt;0,IF(AND(ISNUMBER('SC Change Orders'!$B401),NOT(COUNTIFS('SC Change Orders'!$B$2:$B$501,'SC Change Orders'!$B401,'SC Change Orders'!$C$2:$C$501,'SC Change Orders'!$C401,'SC Change Orders'!$D$2:$D$501,'SC Change Orders'!$D401,'SC Change Orders'!$F$2:$F$501,'SC Change Orders'!$F401,'SC Change Orders'!$E$2:$E$501,'SC Change Orders'!$E401)&gt;1),COUNTIFS('SC Change Orders'!$B$2:$B$501,'SC Change Orders'!$B401,'SC Change Orders'!$F$2:$F$501,'SC Change Orders'!$F401)&gt;1),  "Same PO and Amount Added as another row — check for a restatement counted twice; ",""),""),""))</f>
        <v/>
      </c>
    </row>
    <row r="420" customFormat="false" ht="15" hidden="false" customHeight="false" outlineLevel="0" collapsed="false">
      <c r="A420" s="18" t="str">
        <f aca="false">IF(AND('SC Change Orders'!$A402="",'SC Change Orders'!$B402="",'SC Change Orders'!$C402=""),"",402)</f>
        <v/>
      </c>
      <c r="B420" s="31" t="str">
        <f aca="false">IF($A420="","",'SC Change Orders'!$A402)</f>
        <v/>
      </c>
      <c r="C420" s="18" t="str">
        <f aca="false">IF($A420="","",'SC Change Orders'!$B402)</f>
        <v/>
      </c>
      <c r="D420" s="32" t="str">
        <f aca="false">IF($A420="","",'SC Change Orders'!$C402)</f>
        <v/>
      </c>
      <c r="E420" s="31" t="str">
        <f aca="false">IF($A420="","",'SC Change Orders'!$D402)</f>
        <v/>
      </c>
      <c r="F420" s="33" t="str">
        <f aca="false">IF($A420="","",'SC Change Orders'!$E402)</f>
        <v/>
      </c>
      <c r="G420" s="33" t="str">
        <f aca="false">IF($A420="","",'SC Change Orders'!$F402)</f>
        <v/>
      </c>
      <c r="H420" s="33" t="str">
        <f aca="false">IF($A420="","",'SC Change Orders'!$G402)</f>
        <v/>
      </c>
      <c r="I420" s="34" t="str">
        <f aca="false">IF($A420="","",IF(AND(ISNUMBER('SC Change Orders'!$C402),'SC Change Orders'!$C402&gt;=Controls!$C$5,'SC Change Orders'!$C402&lt;=Controls!$C$6),"Yes","No"))</f>
        <v/>
      </c>
      <c r="J420" s="31" t="str">
        <f aca="false">IF($A420="","",IF($K420="","OK",$K420))</f>
        <v/>
      </c>
      <c r="K420" s="0" t="str">
        <f aca="false">IF($A420="","",IF(NOT(ISNUMBER('SC Change Orders'!$B402)),"PO not numeric — row is invisible to the tracker; ","")&amp;IF(NOT(ISNUMBER('SC Change Orders'!$C402)),"Date missing or text — row excluded; ",  IF(OR('SC Change Orders'!$C402&lt;Controls!$C$5,'SC Change Orders'!$C402&gt;Controls!$C$6),"Dated outside the FY window — excluded; ",""))&amp;IF(AND('SC Change Orders'!$E402&lt;&gt;"",NOT(ISNUMBER('SC Change Orders'!$E402))),"Original Amount held as text — ignored by MINIFS; ","")&amp;IF(AND('SC Change Orders'!$F402&lt;&gt;"",NOT(ISNUMBER('SC Change Orders'!$F402))),"Amount Added held as text — ignored by SUMIFS; ","")&amp;IF(ISNUMBER('SC Change Orders'!$E402),IF(ISNUMBER('SC Change Orders'!$F402),IF(ISNUMBER('SC Change Orders'!$G402),  IF('SC Change Orders'!$G402&gt;0,IF(ROUND('SC Change Orders'!$E402+'SC Change Orders'!$F402,2)&lt;&gt;ROUND('SC Change Orders'!$G402,2),  "Original + Added &lt;&gt; Total Line Cost Allotted; ",""),""),""),""),"")&amp;IF(AND(ISNUMBER('SC Change Orders'!$B402),COUNTIFS('SC Change Orders'!$B$2:$B$501,'SC Change Orders'!$B402,'SC Change Orders'!$C$2:$C$501,'SC Change Orders'!$C402,'SC Change Orders'!$D$2:$D$501,'SC Change Orders'!$D402,'SC Change Orders'!$F$2:$F$501,'SC Change Orders'!$F402,'SC Change Orders'!$E$2:$E$501,'SC Change Orders'!$E402)&gt;1),"Duplicate of another row — funds counted twice; ","")&amp;IF(ISNUMBER('SC Change Orders'!$F402),IF('SC Change Orders'!$F402&lt;&gt;0,IF(AND(ISNUMBER('SC Change Orders'!$B402),NOT(COUNTIFS('SC Change Orders'!$B$2:$B$501,'SC Change Orders'!$B402,'SC Change Orders'!$C$2:$C$501,'SC Change Orders'!$C402,'SC Change Orders'!$D$2:$D$501,'SC Change Orders'!$D402,'SC Change Orders'!$F$2:$F$501,'SC Change Orders'!$F402,'SC Change Orders'!$E$2:$E$501,'SC Change Orders'!$E402)&gt;1),COUNTIFS('SC Change Orders'!$B$2:$B$501,'SC Change Orders'!$B402,'SC Change Orders'!$F$2:$F$501,'SC Change Orders'!$F402)&gt;1),  "Same PO and Amount Added as another row — check for a restatement counted twice; ",""),""),""))</f>
        <v/>
      </c>
    </row>
    <row r="421" customFormat="false" ht="15" hidden="false" customHeight="false" outlineLevel="0" collapsed="false">
      <c r="A421" s="18" t="str">
        <f aca="false">IF(AND('SC Change Orders'!$A403="",'SC Change Orders'!$B403="",'SC Change Orders'!$C403=""),"",403)</f>
        <v/>
      </c>
      <c r="B421" s="31" t="str">
        <f aca="false">IF($A421="","",'SC Change Orders'!$A403)</f>
        <v/>
      </c>
      <c r="C421" s="18" t="str">
        <f aca="false">IF($A421="","",'SC Change Orders'!$B403)</f>
        <v/>
      </c>
      <c r="D421" s="32" t="str">
        <f aca="false">IF($A421="","",'SC Change Orders'!$C403)</f>
        <v/>
      </c>
      <c r="E421" s="31" t="str">
        <f aca="false">IF($A421="","",'SC Change Orders'!$D403)</f>
        <v/>
      </c>
      <c r="F421" s="33" t="str">
        <f aca="false">IF($A421="","",'SC Change Orders'!$E403)</f>
        <v/>
      </c>
      <c r="G421" s="33" t="str">
        <f aca="false">IF($A421="","",'SC Change Orders'!$F403)</f>
        <v/>
      </c>
      <c r="H421" s="33" t="str">
        <f aca="false">IF($A421="","",'SC Change Orders'!$G403)</f>
        <v/>
      </c>
      <c r="I421" s="34" t="str">
        <f aca="false">IF($A421="","",IF(AND(ISNUMBER('SC Change Orders'!$C403),'SC Change Orders'!$C403&gt;=Controls!$C$5,'SC Change Orders'!$C403&lt;=Controls!$C$6),"Yes","No"))</f>
        <v/>
      </c>
      <c r="J421" s="31" t="str">
        <f aca="false">IF($A421="","",IF($K421="","OK",$K421))</f>
        <v/>
      </c>
      <c r="K421" s="0" t="str">
        <f aca="false">IF($A421="","",IF(NOT(ISNUMBER('SC Change Orders'!$B403)),"PO not numeric — row is invisible to the tracker; ","")&amp;IF(NOT(ISNUMBER('SC Change Orders'!$C403)),"Date missing or text — row excluded; ",  IF(OR('SC Change Orders'!$C403&lt;Controls!$C$5,'SC Change Orders'!$C403&gt;Controls!$C$6),"Dated outside the FY window — excluded; ",""))&amp;IF(AND('SC Change Orders'!$E403&lt;&gt;"",NOT(ISNUMBER('SC Change Orders'!$E403))),"Original Amount held as text — ignored by MINIFS; ","")&amp;IF(AND('SC Change Orders'!$F403&lt;&gt;"",NOT(ISNUMBER('SC Change Orders'!$F403))),"Amount Added held as text — ignored by SUMIFS; ","")&amp;IF(ISNUMBER('SC Change Orders'!$E403),IF(ISNUMBER('SC Change Orders'!$F403),IF(ISNUMBER('SC Change Orders'!$G403),  IF('SC Change Orders'!$G403&gt;0,IF(ROUND('SC Change Orders'!$E403+'SC Change Orders'!$F403,2)&lt;&gt;ROUND('SC Change Orders'!$G403,2),  "Original + Added &lt;&gt; Total Line Cost Allotted; ",""),""),""),""),"")&amp;IF(AND(ISNUMBER('SC Change Orders'!$B403),COUNTIFS('SC Change Orders'!$B$2:$B$501,'SC Change Orders'!$B403,'SC Change Orders'!$C$2:$C$501,'SC Change Orders'!$C403,'SC Change Orders'!$D$2:$D$501,'SC Change Orders'!$D403,'SC Change Orders'!$F$2:$F$501,'SC Change Orders'!$F403,'SC Change Orders'!$E$2:$E$501,'SC Change Orders'!$E403)&gt;1),"Duplicate of another row — funds counted twice; ","")&amp;IF(ISNUMBER('SC Change Orders'!$F403),IF('SC Change Orders'!$F403&lt;&gt;0,IF(AND(ISNUMBER('SC Change Orders'!$B403),NOT(COUNTIFS('SC Change Orders'!$B$2:$B$501,'SC Change Orders'!$B403,'SC Change Orders'!$C$2:$C$501,'SC Change Orders'!$C403,'SC Change Orders'!$D$2:$D$501,'SC Change Orders'!$D403,'SC Change Orders'!$F$2:$F$501,'SC Change Orders'!$F403,'SC Change Orders'!$E$2:$E$501,'SC Change Orders'!$E403)&gt;1),COUNTIFS('SC Change Orders'!$B$2:$B$501,'SC Change Orders'!$B403,'SC Change Orders'!$F$2:$F$501,'SC Change Orders'!$F403)&gt;1),  "Same PO and Amount Added as another row — check for a restatement counted twice; ",""),""),""))</f>
        <v/>
      </c>
    </row>
    <row r="422" customFormat="false" ht="15" hidden="false" customHeight="false" outlineLevel="0" collapsed="false">
      <c r="A422" s="18" t="str">
        <f aca="false">IF(AND('SC Change Orders'!$A404="",'SC Change Orders'!$B404="",'SC Change Orders'!$C404=""),"",404)</f>
        <v/>
      </c>
      <c r="B422" s="31" t="str">
        <f aca="false">IF($A422="","",'SC Change Orders'!$A404)</f>
        <v/>
      </c>
      <c r="C422" s="18" t="str">
        <f aca="false">IF($A422="","",'SC Change Orders'!$B404)</f>
        <v/>
      </c>
      <c r="D422" s="32" t="str">
        <f aca="false">IF($A422="","",'SC Change Orders'!$C404)</f>
        <v/>
      </c>
      <c r="E422" s="31" t="str">
        <f aca="false">IF($A422="","",'SC Change Orders'!$D404)</f>
        <v/>
      </c>
      <c r="F422" s="33" t="str">
        <f aca="false">IF($A422="","",'SC Change Orders'!$E404)</f>
        <v/>
      </c>
      <c r="G422" s="33" t="str">
        <f aca="false">IF($A422="","",'SC Change Orders'!$F404)</f>
        <v/>
      </c>
      <c r="H422" s="33" t="str">
        <f aca="false">IF($A422="","",'SC Change Orders'!$G404)</f>
        <v/>
      </c>
      <c r="I422" s="34" t="str">
        <f aca="false">IF($A422="","",IF(AND(ISNUMBER('SC Change Orders'!$C404),'SC Change Orders'!$C404&gt;=Controls!$C$5,'SC Change Orders'!$C404&lt;=Controls!$C$6),"Yes","No"))</f>
        <v/>
      </c>
      <c r="J422" s="31" t="str">
        <f aca="false">IF($A422="","",IF($K422="","OK",$K422))</f>
        <v/>
      </c>
      <c r="K422" s="0" t="str">
        <f aca="false">IF($A422="","",IF(NOT(ISNUMBER('SC Change Orders'!$B404)),"PO not numeric — row is invisible to the tracker; ","")&amp;IF(NOT(ISNUMBER('SC Change Orders'!$C404)),"Date missing or text — row excluded; ",  IF(OR('SC Change Orders'!$C404&lt;Controls!$C$5,'SC Change Orders'!$C404&gt;Controls!$C$6),"Dated outside the FY window — excluded; ",""))&amp;IF(AND('SC Change Orders'!$E404&lt;&gt;"",NOT(ISNUMBER('SC Change Orders'!$E404))),"Original Amount held as text — ignored by MINIFS; ","")&amp;IF(AND('SC Change Orders'!$F404&lt;&gt;"",NOT(ISNUMBER('SC Change Orders'!$F404))),"Amount Added held as text — ignored by SUMIFS; ","")&amp;IF(ISNUMBER('SC Change Orders'!$E404),IF(ISNUMBER('SC Change Orders'!$F404),IF(ISNUMBER('SC Change Orders'!$G404),  IF('SC Change Orders'!$G404&gt;0,IF(ROUND('SC Change Orders'!$E404+'SC Change Orders'!$F404,2)&lt;&gt;ROUND('SC Change Orders'!$G404,2),  "Original + Added &lt;&gt; Total Line Cost Allotted; ",""),""),""),""),"")&amp;IF(AND(ISNUMBER('SC Change Orders'!$B404),COUNTIFS('SC Change Orders'!$B$2:$B$501,'SC Change Orders'!$B404,'SC Change Orders'!$C$2:$C$501,'SC Change Orders'!$C404,'SC Change Orders'!$D$2:$D$501,'SC Change Orders'!$D404,'SC Change Orders'!$F$2:$F$501,'SC Change Orders'!$F404,'SC Change Orders'!$E$2:$E$501,'SC Change Orders'!$E404)&gt;1),"Duplicate of another row — funds counted twice; ","")&amp;IF(ISNUMBER('SC Change Orders'!$F404),IF('SC Change Orders'!$F404&lt;&gt;0,IF(AND(ISNUMBER('SC Change Orders'!$B404),NOT(COUNTIFS('SC Change Orders'!$B$2:$B$501,'SC Change Orders'!$B404,'SC Change Orders'!$C$2:$C$501,'SC Change Orders'!$C404,'SC Change Orders'!$D$2:$D$501,'SC Change Orders'!$D404,'SC Change Orders'!$F$2:$F$501,'SC Change Orders'!$F404,'SC Change Orders'!$E$2:$E$501,'SC Change Orders'!$E404)&gt;1),COUNTIFS('SC Change Orders'!$B$2:$B$501,'SC Change Orders'!$B404,'SC Change Orders'!$F$2:$F$501,'SC Change Orders'!$F404)&gt;1),  "Same PO and Amount Added as another row — check for a restatement counted twice; ",""),""),""))</f>
        <v/>
      </c>
    </row>
    <row r="423" customFormat="false" ht="15" hidden="false" customHeight="false" outlineLevel="0" collapsed="false">
      <c r="A423" s="18" t="str">
        <f aca="false">IF(AND('SC Change Orders'!$A405="",'SC Change Orders'!$B405="",'SC Change Orders'!$C405=""),"",405)</f>
        <v/>
      </c>
      <c r="B423" s="31" t="str">
        <f aca="false">IF($A423="","",'SC Change Orders'!$A405)</f>
        <v/>
      </c>
      <c r="C423" s="18" t="str">
        <f aca="false">IF($A423="","",'SC Change Orders'!$B405)</f>
        <v/>
      </c>
      <c r="D423" s="32" t="str">
        <f aca="false">IF($A423="","",'SC Change Orders'!$C405)</f>
        <v/>
      </c>
      <c r="E423" s="31" t="str">
        <f aca="false">IF($A423="","",'SC Change Orders'!$D405)</f>
        <v/>
      </c>
      <c r="F423" s="33" t="str">
        <f aca="false">IF($A423="","",'SC Change Orders'!$E405)</f>
        <v/>
      </c>
      <c r="G423" s="33" t="str">
        <f aca="false">IF($A423="","",'SC Change Orders'!$F405)</f>
        <v/>
      </c>
      <c r="H423" s="33" t="str">
        <f aca="false">IF($A423="","",'SC Change Orders'!$G405)</f>
        <v/>
      </c>
      <c r="I423" s="34" t="str">
        <f aca="false">IF($A423="","",IF(AND(ISNUMBER('SC Change Orders'!$C405),'SC Change Orders'!$C405&gt;=Controls!$C$5,'SC Change Orders'!$C405&lt;=Controls!$C$6),"Yes","No"))</f>
        <v/>
      </c>
      <c r="J423" s="31" t="str">
        <f aca="false">IF($A423="","",IF($K423="","OK",$K423))</f>
        <v/>
      </c>
      <c r="K423" s="0" t="str">
        <f aca="false">IF($A423="","",IF(NOT(ISNUMBER('SC Change Orders'!$B405)),"PO not numeric — row is invisible to the tracker; ","")&amp;IF(NOT(ISNUMBER('SC Change Orders'!$C405)),"Date missing or text — row excluded; ",  IF(OR('SC Change Orders'!$C405&lt;Controls!$C$5,'SC Change Orders'!$C405&gt;Controls!$C$6),"Dated outside the FY window — excluded; ",""))&amp;IF(AND('SC Change Orders'!$E405&lt;&gt;"",NOT(ISNUMBER('SC Change Orders'!$E405))),"Original Amount held as text — ignored by MINIFS; ","")&amp;IF(AND('SC Change Orders'!$F405&lt;&gt;"",NOT(ISNUMBER('SC Change Orders'!$F405))),"Amount Added held as text — ignored by SUMIFS; ","")&amp;IF(ISNUMBER('SC Change Orders'!$E405),IF(ISNUMBER('SC Change Orders'!$F405),IF(ISNUMBER('SC Change Orders'!$G405),  IF('SC Change Orders'!$G405&gt;0,IF(ROUND('SC Change Orders'!$E405+'SC Change Orders'!$F405,2)&lt;&gt;ROUND('SC Change Orders'!$G405,2),  "Original + Added &lt;&gt; Total Line Cost Allotted; ",""),""),""),""),"")&amp;IF(AND(ISNUMBER('SC Change Orders'!$B405),COUNTIFS('SC Change Orders'!$B$2:$B$501,'SC Change Orders'!$B405,'SC Change Orders'!$C$2:$C$501,'SC Change Orders'!$C405,'SC Change Orders'!$D$2:$D$501,'SC Change Orders'!$D405,'SC Change Orders'!$F$2:$F$501,'SC Change Orders'!$F405,'SC Change Orders'!$E$2:$E$501,'SC Change Orders'!$E405)&gt;1),"Duplicate of another row — funds counted twice; ","")&amp;IF(ISNUMBER('SC Change Orders'!$F405),IF('SC Change Orders'!$F405&lt;&gt;0,IF(AND(ISNUMBER('SC Change Orders'!$B405),NOT(COUNTIFS('SC Change Orders'!$B$2:$B$501,'SC Change Orders'!$B405,'SC Change Orders'!$C$2:$C$501,'SC Change Orders'!$C405,'SC Change Orders'!$D$2:$D$501,'SC Change Orders'!$D405,'SC Change Orders'!$F$2:$F$501,'SC Change Orders'!$F405,'SC Change Orders'!$E$2:$E$501,'SC Change Orders'!$E405)&gt;1),COUNTIFS('SC Change Orders'!$B$2:$B$501,'SC Change Orders'!$B405,'SC Change Orders'!$F$2:$F$501,'SC Change Orders'!$F405)&gt;1),  "Same PO and Amount Added as another row — check for a restatement counted twice; ",""),""),""))</f>
        <v/>
      </c>
    </row>
    <row r="424" customFormat="false" ht="15" hidden="false" customHeight="false" outlineLevel="0" collapsed="false">
      <c r="A424" s="18" t="str">
        <f aca="false">IF(AND('SC Change Orders'!$A406="",'SC Change Orders'!$B406="",'SC Change Orders'!$C406=""),"",406)</f>
        <v/>
      </c>
      <c r="B424" s="31" t="str">
        <f aca="false">IF($A424="","",'SC Change Orders'!$A406)</f>
        <v/>
      </c>
      <c r="C424" s="18" t="str">
        <f aca="false">IF($A424="","",'SC Change Orders'!$B406)</f>
        <v/>
      </c>
      <c r="D424" s="32" t="str">
        <f aca="false">IF($A424="","",'SC Change Orders'!$C406)</f>
        <v/>
      </c>
      <c r="E424" s="31" t="str">
        <f aca="false">IF($A424="","",'SC Change Orders'!$D406)</f>
        <v/>
      </c>
      <c r="F424" s="33" t="str">
        <f aca="false">IF($A424="","",'SC Change Orders'!$E406)</f>
        <v/>
      </c>
      <c r="G424" s="33" t="str">
        <f aca="false">IF($A424="","",'SC Change Orders'!$F406)</f>
        <v/>
      </c>
      <c r="H424" s="33" t="str">
        <f aca="false">IF($A424="","",'SC Change Orders'!$G406)</f>
        <v/>
      </c>
      <c r="I424" s="34" t="str">
        <f aca="false">IF($A424="","",IF(AND(ISNUMBER('SC Change Orders'!$C406),'SC Change Orders'!$C406&gt;=Controls!$C$5,'SC Change Orders'!$C406&lt;=Controls!$C$6),"Yes","No"))</f>
        <v/>
      </c>
      <c r="J424" s="31" t="str">
        <f aca="false">IF($A424="","",IF($K424="","OK",$K424))</f>
        <v/>
      </c>
      <c r="K424" s="0" t="str">
        <f aca="false">IF($A424="","",IF(NOT(ISNUMBER('SC Change Orders'!$B406)),"PO not numeric — row is invisible to the tracker; ","")&amp;IF(NOT(ISNUMBER('SC Change Orders'!$C406)),"Date missing or text — row excluded; ",  IF(OR('SC Change Orders'!$C406&lt;Controls!$C$5,'SC Change Orders'!$C406&gt;Controls!$C$6),"Dated outside the FY window — excluded; ",""))&amp;IF(AND('SC Change Orders'!$E406&lt;&gt;"",NOT(ISNUMBER('SC Change Orders'!$E406))),"Original Amount held as text — ignored by MINIFS; ","")&amp;IF(AND('SC Change Orders'!$F406&lt;&gt;"",NOT(ISNUMBER('SC Change Orders'!$F406))),"Amount Added held as text — ignored by SUMIFS; ","")&amp;IF(ISNUMBER('SC Change Orders'!$E406),IF(ISNUMBER('SC Change Orders'!$F406),IF(ISNUMBER('SC Change Orders'!$G406),  IF('SC Change Orders'!$G406&gt;0,IF(ROUND('SC Change Orders'!$E406+'SC Change Orders'!$F406,2)&lt;&gt;ROUND('SC Change Orders'!$G406,2),  "Original + Added &lt;&gt; Total Line Cost Allotted; ",""),""),""),""),"")&amp;IF(AND(ISNUMBER('SC Change Orders'!$B406),COUNTIFS('SC Change Orders'!$B$2:$B$501,'SC Change Orders'!$B406,'SC Change Orders'!$C$2:$C$501,'SC Change Orders'!$C406,'SC Change Orders'!$D$2:$D$501,'SC Change Orders'!$D406,'SC Change Orders'!$F$2:$F$501,'SC Change Orders'!$F406,'SC Change Orders'!$E$2:$E$501,'SC Change Orders'!$E406)&gt;1),"Duplicate of another row — funds counted twice; ","")&amp;IF(ISNUMBER('SC Change Orders'!$F406),IF('SC Change Orders'!$F406&lt;&gt;0,IF(AND(ISNUMBER('SC Change Orders'!$B406),NOT(COUNTIFS('SC Change Orders'!$B$2:$B$501,'SC Change Orders'!$B406,'SC Change Orders'!$C$2:$C$501,'SC Change Orders'!$C406,'SC Change Orders'!$D$2:$D$501,'SC Change Orders'!$D406,'SC Change Orders'!$F$2:$F$501,'SC Change Orders'!$F406,'SC Change Orders'!$E$2:$E$501,'SC Change Orders'!$E406)&gt;1),COUNTIFS('SC Change Orders'!$B$2:$B$501,'SC Change Orders'!$B406,'SC Change Orders'!$F$2:$F$501,'SC Change Orders'!$F406)&gt;1),  "Same PO and Amount Added as another row — check for a restatement counted twice; ",""),""),""))</f>
        <v/>
      </c>
    </row>
    <row r="425" customFormat="false" ht="15" hidden="false" customHeight="false" outlineLevel="0" collapsed="false">
      <c r="A425" s="18" t="str">
        <f aca="false">IF(AND('SC Change Orders'!$A407="",'SC Change Orders'!$B407="",'SC Change Orders'!$C407=""),"",407)</f>
        <v/>
      </c>
      <c r="B425" s="31" t="str">
        <f aca="false">IF($A425="","",'SC Change Orders'!$A407)</f>
        <v/>
      </c>
      <c r="C425" s="18" t="str">
        <f aca="false">IF($A425="","",'SC Change Orders'!$B407)</f>
        <v/>
      </c>
      <c r="D425" s="32" t="str">
        <f aca="false">IF($A425="","",'SC Change Orders'!$C407)</f>
        <v/>
      </c>
      <c r="E425" s="31" t="str">
        <f aca="false">IF($A425="","",'SC Change Orders'!$D407)</f>
        <v/>
      </c>
      <c r="F425" s="33" t="str">
        <f aca="false">IF($A425="","",'SC Change Orders'!$E407)</f>
        <v/>
      </c>
      <c r="G425" s="33" t="str">
        <f aca="false">IF($A425="","",'SC Change Orders'!$F407)</f>
        <v/>
      </c>
      <c r="H425" s="33" t="str">
        <f aca="false">IF($A425="","",'SC Change Orders'!$G407)</f>
        <v/>
      </c>
      <c r="I425" s="34" t="str">
        <f aca="false">IF($A425="","",IF(AND(ISNUMBER('SC Change Orders'!$C407),'SC Change Orders'!$C407&gt;=Controls!$C$5,'SC Change Orders'!$C407&lt;=Controls!$C$6),"Yes","No"))</f>
        <v/>
      </c>
      <c r="J425" s="31" t="str">
        <f aca="false">IF($A425="","",IF($K425="","OK",$K425))</f>
        <v/>
      </c>
      <c r="K425" s="0" t="str">
        <f aca="false">IF($A425="","",IF(NOT(ISNUMBER('SC Change Orders'!$B407)),"PO not numeric — row is invisible to the tracker; ","")&amp;IF(NOT(ISNUMBER('SC Change Orders'!$C407)),"Date missing or text — row excluded; ",  IF(OR('SC Change Orders'!$C407&lt;Controls!$C$5,'SC Change Orders'!$C407&gt;Controls!$C$6),"Dated outside the FY window — excluded; ",""))&amp;IF(AND('SC Change Orders'!$E407&lt;&gt;"",NOT(ISNUMBER('SC Change Orders'!$E407))),"Original Amount held as text — ignored by MINIFS; ","")&amp;IF(AND('SC Change Orders'!$F407&lt;&gt;"",NOT(ISNUMBER('SC Change Orders'!$F407))),"Amount Added held as text — ignored by SUMIFS; ","")&amp;IF(ISNUMBER('SC Change Orders'!$E407),IF(ISNUMBER('SC Change Orders'!$F407),IF(ISNUMBER('SC Change Orders'!$G407),  IF('SC Change Orders'!$G407&gt;0,IF(ROUND('SC Change Orders'!$E407+'SC Change Orders'!$F407,2)&lt;&gt;ROUND('SC Change Orders'!$G407,2),  "Original + Added &lt;&gt; Total Line Cost Allotted; ",""),""),""),""),"")&amp;IF(AND(ISNUMBER('SC Change Orders'!$B407),COUNTIFS('SC Change Orders'!$B$2:$B$501,'SC Change Orders'!$B407,'SC Change Orders'!$C$2:$C$501,'SC Change Orders'!$C407,'SC Change Orders'!$D$2:$D$501,'SC Change Orders'!$D407,'SC Change Orders'!$F$2:$F$501,'SC Change Orders'!$F407,'SC Change Orders'!$E$2:$E$501,'SC Change Orders'!$E407)&gt;1),"Duplicate of another row — funds counted twice; ","")&amp;IF(ISNUMBER('SC Change Orders'!$F407),IF('SC Change Orders'!$F407&lt;&gt;0,IF(AND(ISNUMBER('SC Change Orders'!$B407),NOT(COUNTIFS('SC Change Orders'!$B$2:$B$501,'SC Change Orders'!$B407,'SC Change Orders'!$C$2:$C$501,'SC Change Orders'!$C407,'SC Change Orders'!$D$2:$D$501,'SC Change Orders'!$D407,'SC Change Orders'!$F$2:$F$501,'SC Change Orders'!$F407,'SC Change Orders'!$E$2:$E$501,'SC Change Orders'!$E407)&gt;1),COUNTIFS('SC Change Orders'!$B$2:$B$501,'SC Change Orders'!$B407,'SC Change Orders'!$F$2:$F$501,'SC Change Orders'!$F407)&gt;1),  "Same PO and Amount Added as another row — check for a restatement counted twice; ",""),""),""))</f>
        <v/>
      </c>
    </row>
    <row r="426" customFormat="false" ht="15" hidden="false" customHeight="false" outlineLevel="0" collapsed="false">
      <c r="A426" s="18" t="str">
        <f aca="false">IF(AND('SC Change Orders'!$A408="",'SC Change Orders'!$B408="",'SC Change Orders'!$C408=""),"",408)</f>
        <v/>
      </c>
      <c r="B426" s="31" t="str">
        <f aca="false">IF($A426="","",'SC Change Orders'!$A408)</f>
        <v/>
      </c>
      <c r="C426" s="18" t="str">
        <f aca="false">IF($A426="","",'SC Change Orders'!$B408)</f>
        <v/>
      </c>
      <c r="D426" s="32" t="str">
        <f aca="false">IF($A426="","",'SC Change Orders'!$C408)</f>
        <v/>
      </c>
      <c r="E426" s="31" t="str">
        <f aca="false">IF($A426="","",'SC Change Orders'!$D408)</f>
        <v/>
      </c>
      <c r="F426" s="33" t="str">
        <f aca="false">IF($A426="","",'SC Change Orders'!$E408)</f>
        <v/>
      </c>
      <c r="G426" s="33" t="str">
        <f aca="false">IF($A426="","",'SC Change Orders'!$F408)</f>
        <v/>
      </c>
      <c r="H426" s="33" t="str">
        <f aca="false">IF($A426="","",'SC Change Orders'!$G408)</f>
        <v/>
      </c>
      <c r="I426" s="34" t="str">
        <f aca="false">IF($A426="","",IF(AND(ISNUMBER('SC Change Orders'!$C408),'SC Change Orders'!$C408&gt;=Controls!$C$5,'SC Change Orders'!$C408&lt;=Controls!$C$6),"Yes","No"))</f>
        <v/>
      </c>
      <c r="J426" s="31" t="str">
        <f aca="false">IF($A426="","",IF($K426="","OK",$K426))</f>
        <v/>
      </c>
      <c r="K426" s="0" t="str">
        <f aca="false">IF($A426="","",IF(NOT(ISNUMBER('SC Change Orders'!$B408)),"PO not numeric — row is invisible to the tracker; ","")&amp;IF(NOT(ISNUMBER('SC Change Orders'!$C408)),"Date missing or text — row excluded; ",  IF(OR('SC Change Orders'!$C408&lt;Controls!$C$5,'SC Change Orders'!$C408&gt;Controls!$C$6),"Dated outside the FY window — excluded; ",""))&amp;IF(AND('SC Change Orders'!$E408&lt;&gt;"",NOT(ISNUMBER('SC Change Orders'!$E408))),"Original Amount held as text — ignored by MINIFS; ","")&amp;IF(AND('SC Change Orders'!$F408&lt;&gt;"",NOT(ISNUMBER('SC Change Orders'!$F408))),"Amount Added held as text — ignored by SUMIFS; ","")&amp;IF(ISNUMBER('SC Change Orders'!$E408),IF(ISNUMBER('SC Change Orders'!$F408),IF(ISNUMBER('SC Change Orders'!$G408),  IF('SC Change Orders'!$G408&gt;0,IF(ROUND('SC Change Orders'!$E408+'SC Change Orders'!$F408,2)&lt;&gt;ROUND('SC Change Orders'!$G408,2),  "Original + Added &lt;&gt; Total Line Cost Allotted; ",""),""),""),""),"")&amp;IF(AND(ISNUMBER('SC Change Orders'!$B408),COUNTIFS('SC Change Orders'!$B$2:$B$501,'SC Change Orders'!$B408,'SC Change Orders'!$C$2:$C$501,'SC Change Orders'!$C408,'SC Change Orders'!$D$2:$D$501,'SC Change Orders'!$D408,'SC Change Orders'!$F$2:$F$501,'SC Change Orders'!$F408,'SC Change Orders'!$E$2:$E$501,'SC Change Orders'!$E408)&gt;1),"Duplicate of another row — funds counted twice; ","")&amp;IF(ISNUMBER('SC Change Orders'!$F408),IF('SC Change Orders'!$F408&lt;&gt;0,IF(AND(ISNUMBER('SC Change Orders'!$B408),NOT(COUNTIFS('SC Change Orders'!$B$2:$B$501,'SC Change Orders'!$B408,'SC Change Orders'!$C$2:$C$501,'SC Change Orders'!$C408,'SC Change Orders'!$D$2:$D$501,'SC Change Orders'!$D408,'SC Change Orders'!$F$2:$F$501,'SC Change Orders'!$F408,'SC Change Orders'!$E$2:$E$501,'SC Change Orders'!$E408)&gt;1),COUNTIFS('SC Change Orders'!$B$2:$B$501,'SC Change Orders'!$B408,'SC Change Orders'!$F$2:$F$501,'SC Change Orders'!$F408)&gt;1),  "Same PO and Amount Added as another row — check for a restatement counted twice; ",""),""),""))</f>
        <v/>
      </c>
    </row>
    <row r="427" customFormat="false" ht="15" hidden="false" customHeight="false" outlineLevel="0" collapsed="false">
      <c r="A427" s="18" t="str">
        <f aca="false">IF(AND('SC Change Orders'!$A409="",'SC Change Orders'!$B409="",'SC Change Orders'!$C409=""),"",409)</f>
        <v/>
      </c>
      <c r="B427" s="31" t="str">
        <f aca="false">IF($A427="","",'SC Change Orders'!$A409)</f>
        <v/>
      </c>
      <c r="C427" s="18" t="str">
        <f aca="false">IF($A427="","",'SC Change Orders'!$B409)</f>
        <v/>
      </c>
      <c r="D427" s="32" t="str">
        <f aca="false">IF($A427="","",'SC Change Orders'!$C409)</f>
        <v/>
      </c>
      <c r="E427" s="31" t="str">
        <f aca="false">IF($A427="","",'SC Change Orders'!$D409)</f>
        <v/>
      </c>
      <c r="F427" s="33" t="str">
        <f aca="false">IF($A427="","",'SC Change Orders'!$E409)</f>
        <v/>
      </c>
      <c r="G427" s="33" t="str">
        <f aca="false">IF($A427="","",'SC Change Orders'!$F409)</f>
        <v/>
      </c>
      <c r="H427" s="33" t="str">
        <f aca="false">IF($A427="","",'SC Change Orders'!$G409)</f>
        <v/>
      </c>
      <c r="I427" s="34" t="str">
        <f aca="false">IF($A427="","",IF(AND(ISNUMBER('SC Change Orders'!$C409),'SC Change Orders'!$C409&gt;=Controls!$C$5,'SC Change Orders'!$C409&lt;=Controls!$C$6),"Yes","No"))</f>
        <v/>
      </c>
      <c r="J427" s="31" t="str">
        <f aca="false">IF($A427="","",IF($K427="","OK",$K427))</f>
        <v/>
      </c>
      <c r="K427" s="0" t="str">
        <f aca="false">IF($A427="","",IF(NOT(ISNUMBER('SC Change Orders'!$B409)),"PO not numeric — row is invisible to the tracker; ","")&amp;IF(NOT(ISNUMBER('SC Change Orders'!$C409)),"Date missing or text — row excluded; ",  IF(OR('SC Change Orders'!$C409&lt;Controls!$C$5,'SC Change Orders'!$C409&gt;Controls!$C$6),"Dated outside the FY window — excluded; ",""))&amp;IF(AND('SC Change Orders'!$E409&lt;&gt;"",NOT(ISNUMBER('SC Change Orders'!$E409))),"Original Amount held as text — ignored by MINIFS; ","")&amp;IF(AND('SC Change Orders'!$F409&lt;&gt;"",NOT(ISNUMBER('SC Change Orders'!$F409))),"Amount Added held as text — ignored by SUMIFS; ","")&amp;IF(ISNUMBER('SC Change Orders'!$E409),IF(ISNUMBER('SC Change Orders'!$F409),IF(ISNUMBER('SC Change Orders'!$G409),  IF('SC Change Orders'!$G409&gt;0,IF(ROUND('SC Change Orders'!$E409+'SC Change Orders'!$F409,2)&lt;&gt;ROUND('SC Change Orders'!$G409,2),  "Original + Added &lt;&gt; Total Line Cost Allotted; ",""),""),""),""),"")&amp;IF(AND(ISNUMBER('SC Change Orders'!$B409),COUNTIFS('SC Change Orders'!$B$2:$B$501,'SC Change Orders'!$B409,'SC Change Orders'!$C$2:$C$501,'SC Change Orders'!$C409,'SC Change Orders'!$D$2:$D$501,'SC Change Orders'!$D409,'SC Change Orders'!$F$2:$F$501,'SC Change Orders'!$F409,'SC Change Orders'!$E$2:$E$501,'SC Change Orders'!$E409)&gt;1),"Duplicate of another row — funds counted twice; ","")&amp;IF(ISNUMBER('SC Change Orders'!$F409),IF('SC Change Orders'!$F409&lt;&gt;0,IF(AND(ISNUMBER('SC Change Orders'!$B409),NOT(COUNTIFS('SC Change Orders'!$B$2:$B$501,'SC Change Orders'!$B409,'SC Change Orders'!$C$2:$C$501,'SC Change Orders'!$C409,'SC Change Orders'!$D$2:$D$501,'SC Change Orders'!$D409,'SC Change Orders'!$F$2:$F$501,'SC Change Orders'!$F409,'SC Change Orders'!$E$2:$E$501,'SC Change Orders'!$E409)&gt;1),COUNTIFS('SC Change Orders'!$B$2:$B$501,'SC Change Orders'!$B409,'SC Change Orders'!$F$2:$F$501,'SC Change Orders'!$F409)&gt;1),  "Same PO and Amount Added as another row — check for a restatement counted twice; ",""),""),""))</f>
        <v/>
      </c>
    </row>
    <row r="428" customFormat="false" ht="15" hidden="false" customHeight="false" outlineLevel="0" collapsed="false">
      <c r="A428" s="18" t="str">
        <f aca="false">IF(AND('SC Change Orders'!$A410="",'SC Change Orders'!$B410="",'SC Change Orders'!$C410=""),"",410)</f>
        <v/>
      </c>
      <c r="B428" s="31" t="str">
        <f aca="false">IF($A428="","",'SC Change Orders'!$A410)</f>
        <v/>
      </c>
      <c r="C428" s="18" t="str">
        <f aca="false">IF($A428="","",'SC Change Orders'!$B410)</f>
        <v/>
      </c>
      <c r="D428" s="32" t="str">
        <f aca="false">IF($A428="","",'SC Change Orders'!$C410)</f>
        <v/>
      </c>
      <c r="E428" s="31" t="str">
        <f aca="false">IF($A428="","",'SC Change Orders'!$D410)</f>
        <v/>
      </c>
      <c r="F428" s="33" t="str">
        <f aca="false">IF($A428="","",'SC Change Orders'!$E410)</f>
        <v/>
      </c>
      <c r="G428" s="33" t="str">
        <f aca="false">IF($A428="","",'SC Change Orders'!$F410)</f>
        <v/>
      </c>
      <c r="H428" s="33" t="str">
        <f aca="false">IF($A428="","",'SC Change Orders'!$G410)</f>
        <v/>
      </c>
      <c r="I428" s="34" t="str">
        <f aca="false">IF($A428="","",IF(AND(ISNUMBER('SC Change Orders'!$C410),'SC Change Orders'!$C410&gt;=Controls!$C$5,'SC Change Orders'!$C410&lt;=Controls!$C$6),"Yes","No"))</f>
        <v/>
      </c>
      <c r="J428" s="31" t="str">
        <f aca="false">IF($A428="","",IF($K428="","OK",$K428))</f>
        <v/>
      </c>
      <c r="K428" s="0" t="str">
        <f aca="false">IF($A428="","",IF(NOT(ISNUMBER('SC Change Orders'!$B410)),"PO not numeric — row is invisible to the tracker; ","")&amp;IF(NOT(ISNUMBER('SC Change Orders'!$C410)),"Date missing or text — row excluded; ",  IF(OR('SC Change Orders'!$C410&lt;Controls!$C$5,'SC Change Orders'!$C410&gt;Controls!$C$6),"Dated outside the FY window — excluded; ",""))&amp;IF(AND('SC Change Orders'!$E410&lt;&gt;"",NOT(ISNUMBER('SC Change Orders'!$E410))),"Original Amount held as text — ignored by MINIFS; ","")&amp;IF(AND('SC Change Orders'!$F410&lt;&gt;"",NOT(ISNUMBER('SC Change Orders'!$F410))),"Amount Added held as text — ignored by SUMIFS; ","")&amp;IF(ISNUMBER('SC Change Orders'!$E410),IF(ISNUMBER('SC Change Orders'!$F410),IF(ISNUMBER('SC Change Orders'!$G410),  IF('SC Change Orders'!$G410&gt;0,IF(ROUND('SC Change Orders'!$E410+'SC Change Orders'!$F410,2)&lt;&gt;ROUND('SC Change Orders'!$G410,2),  "Original + Added &lt;&gt; Total Line Cost Allotted; ",""),""),""),""),"")&amp;IF(AND(ISNUMBER('SC Change Orders'!$B410),COUNTIFS('SC Change Orders'!$B$2:$B$501,'SC Change Orders'!$B410,'SC Change Orders'!$C$2:$C$501,'SC Change Orders'!$C410,'SC Change Orders'!$D$2:$D$501,'SC Change Orders'!$D410,'SC Change Orders'!$F$2:$F$501,'SC Change Orders'!$F410,'SC Change Orders'!$E$2:$E$501,'SC Change Orders'!$E410)&gt;1),"Duplicate of another row — funds counted twice; ","")&amp;IF(ISNUMBER('SC Change Orders'!$F410),IF('SC Change Orders'!$F410&lt;&gt;0,IF(AND(ISNUMBER('SC Change Orders'!$B410),NOT(COUNTIFS('SC Change Orders'!$B$2:$B$501,'SC Change Orders'!$B410,'SC Change Orders'!$C$2:$C$501,'SC Change Orders'!$C410,'SC Change Orders'!$D$2:$D$501,'SC Change Orders'!$D410,'SC Change Orders'!$F$2:$F$501,'SC Change Orders'!$F410,'SC Change Orders'!$E$2:$E$501,'SC Change Orders'!$E410)&gt;1),COUNTIFS('SC Change Orders'!$B$2:$B$501,'SC Change Orders'!$B410,'SC Change Orders'!$F$2:$F$501,'SC Change Orders'!$F410)&gt;1),  "Same PO and Amount Added as another row — check for a restatement counted twice; ",""),""),""))</f>
        <v/>
      </c>
    </row>
    <row r="429" customFormat="false" ht="15" hidden="false" customHeight="false" outlineLevel="0" collapsed="false">
      <c r="A429" s="18" t="str">
        <f aca="false">IF(AND('SC Change Orders'!$A411="",'SC Change Orders'!$B411="",'SC Change Orders'!$C411=""),"",411)</f>
        <v/>
      </c>
      <c r="B429" s="31" t="str">
        <f aca="false">IF($A429="","",'SC Change Orders'!$A411)</f>
        <v/>
      </c>
      <c r="C429" s="18" t="str">
        <f aca="false">IF($A429="","",'SC Change Orders'!$B411)</f>
        <v/>
      </c>
      <c r="D429" s="32" t="str">
        <f aca="false">IF($A429="","",'SC Change Orders'!$C411)</f>
        <v/>
      </c>
      <c r="E429" s="31" t="str">
        <f aca="false">IF($A429="","",'SC Change Orders'!$D411)</f>
        <v/>
      </c>
      <c r="F429" s="33" t="str">
        <f aca="false">IF($A429="","",'SC Change Orders'!$E411)</f>
        <v/>
      </c>
      <c r="G429" s="33" t="str">
        <f aca="false">IF($A429="","",'SC Change Orders'!$F411)</f>
        <v/>
      </c>
      <c r="H429" s="33" t="str">
        <f aca="false">IF($A429="","",'SC Change Orders'!$G411)</f>
        <v/>
      </c>
      <c r="I429" s="34" t="str">
        <f aca="false">IF($A429="","",IF(AND(ISNUMBER('SC Change Orders'!$C411),'SC Change Orders'!$C411&gt;=Controls!$C$5,'SC Change Orders'!$C411&lt;=Controls!$C$6),"Yes","No"))</f>
        <v/>
      </c>
      <c r="J429" s="31" t="str">
        <f aca="false">IF($A429="","",IF($K429="","OK",$K429))</f>
        <v/>
      </c>
      <c r="K429" s="0" t="str">
        <f aca="false">IF($A429="","",IF(NOT(ISNUMBER('SC Change Orders'!$B411)),"PO not numeric — row is invisible to the tracker; ","")&amp;IF(NOT(ISNUMBER('SC Change Orders'!$C411)),"Date missing or text — row excluded; ",  IF(OR('SC Change Orders'!$C411&lt;Controls!$C$5,'SC Change Orders'!$C411&gt;Controls!$C$6),"Dated outside the FY window — excluded; ",""))&amp;IF(AND('SC Change Orders'!$E411&lt;&gt;"",NOT(ISNUMBER('SC Change Orders'!$E411))),"Original Amount held as text — ignored by MINIFS; ","")&amp;IF(AND('SC Change Orders'!$F411&lt;&gt;"",NOT(ISNUMBER('SC Change Orders'!$F411))),"Amount Added held as text — ignored by SUMIFS; ","")&amp;IF(ISNUMBER('SC Change Orders'!$E411),IF(ISNUMBER('SC Change Orders'!$F411),IF(ISNUMBER('SC Change Orders'!$G411),  IF('SC Change Orders'!$G411&gt;0,IF(ROUND('SC Change Orders'!$E411+'SC Change Orders'!$F411,2)&lt;&gt;ROUND('SC Change Orders'!$G411,2),  "Original + Added &lt;&gt; Total Line Cost Allotted; ",""),""),""),""),"")&amp;IF(AND(ISNUMBER('SC Change Orders'!$B411),COUNTIFS('SC Change Orders'!$B$2:$B$501,'SC Change Orders'!$B411,'SC Change Orders'!$C$2:$C$501,'SC Change Orders'!$C411,'SC Change Orders'!$D$2:$D$501,'SC Change Orders'!$D411,'SC Change Orders'!$F$2:$F$501,'SC Change Orders'!$F411,'SC Change Orders'!$E$2:$E$501,'SC Change Orders'!$E411)&gt;1),"Duplicate of another row — funds counted twice; ","")&amp;IF(ISNUMBER('SC Change Orders'!$F411),IF('SC Change Orders'!$F411&lt;&gt;0,IF(AND(ISNUMBER('SC Change Orders'!$B411),NOT(COUNTIFS('SC Change Orders'!$B$2:$B$501,'SC Change Orders'!$B411,'SC Change Orders'!$C$2:$C$501,'SC Change Orders'!$C411,'SC Change Orders'!$D$2:$D$501,'SC Change Orders'!$D411,'SC Change Orders'!$F$2:$F$501,'SC Change Orders'!$F411,'SC Change Orders'!$E$2:$E$501,'SC Change Orders'!$E411)&gt;1),COUNTIFS('SC Change Orders'!$B$2:$B$501,'SC Change Orders'!$B411,'SC Change Orders'!$F$2:$F$501,'SC Change Orders'!$F411)&gt;1),  "Same PO and Amount Added as another row — check for a restatement counted twice; ",""),""),""))</f>
        <v/>
      </c>
    </row>
    <row r="430" customFormat="false" ht="15" hidden="false" customHeight="false" outlineLevel="0" collapsed="false">
      <c r="A430" s="18" t="str">
        <f aca="false">IF(AND('SC Change Orders'!$A412="",'SC Change Orders'!$B412="",'SC Change Orders'!$C412=""),"",412)</f>
        <v/>
      </c>
      <c r="B430" s="31" t="str">
        <f aca="false">IF($A430="","",'SC Change Orders'!$A412)</f>
        <v/>
      </c>
      <c r="C430" s="18" t="str">
        <f aca="false">IF($A430="","",'SC Change Orders'!$B412)</f>
        <v/>
      </c>
      <c r="D430" s="32" t="str">
        <f aca="false">IF($A430="","",'SC Change Orders'!$C412)</f>
        <v/>
      </c>
      <c r="E430" s="31" t="str">
        <f aca="false">IF($A430="","",'SC Change Orders'!$D412)</f>
        <v/>
      </c>
      <c r="F430" s="33" t="str">
        <f aca="false">IF($A430="","",'SC Change Orders'!$E412)</f>
        <v/>
      </c>
      <c r="G430" s="33" t="str">
        <f aca="false">IF($A430="","",'SC Change Orders'!$F412)</f>
        <v/>
      </c>
      <c r="H430" s="33" t="str">
        <f aca="false">IF($A430="","",'SC Change Orders'!$G412)</f>
        <v/>
      </c>
      <c r="I430" s="34" t="str">
        <f aca="false">IF($A430="","",IF(AND(ISNUMBER('SC Change Orders'!$C412),'SC Change Orders'!$C412&gt;=Controls!$C$5,'SC Change Orders'!$C412&lt;=Controls!$C$6),"Yes","No"))</f>
        <v/>
      </c>
      <c r="J430" s="31" t="str">
        <f aca="false">IF($A430="","",IF($K430="","OK",$K430))</f>
        <v/>
      </c>
      <c r="K430" s="0" t="str">
        <f aca="false">IF($A430="","",IF(NOT(ISNUMBER('SC Change Orders'!$B412)),"PO not numeric — row is invisible to the tracker; ","")&amp;IF(NOT(ISNUMBER('SC Change Orders'!$C412)),"Date missing or text — row excluded; ",  IF(OR('SC Change Orders'!$C412&lt;Controls!$C$5,'SC Change Orders'!$C412&gt;Controls!$C$6),"Dated outside the FY window — excluded; ",""))&amp;IF(AND('SC Change Orders'!$E412&lt;&gt;"",NOT(ISNUMBER('SC Change Orders'!$E412))),"Original Amount held as text — ignored by MINIFS; ","")&amp;IF(AND('SC Change Orders'!$F412&lt;&gt;"",NOT(ISNUMBER('SC Change Orders'!$F412))),"Amount Added held as text — ignored by SUMIFS; ","")&amp;IF(ISNUMBER('SC Change Orders'!$E412),IF(ISNUMBER('SC Change Orders'!$F412),IF(ISNUMBER('SC Change Orders'!$G412),  IF('SC Change Orders'!$G412&gt;0,IF(ROUND('SC Change Orders'!$E412+'SC Change Orders'!$F412,2)&lt;&gt;ROUND('SC Change Orders'!$G412,2),  "Original + Added &lt;&gt; Total Line Cost Allotted; ",""),""),""),""),"")&amp;IF(AND(ISNUMBER('SC Change Orders'!$B412),COUNTIFS('SC Change Orders'!$B$2:$B$501,'SC Change Orders'!$B412,'SC Change Orders'!$C$2:$C$501,'SC Change Orders'!$C412,'SC Change Orders'!$D$2:$D$501,'SC Change Orders'!$D412,'SC Change Orders'!$F$2:$F$501,'SC Change Orders'!$F412,'SC Change Orders'!$E$2:$E$501,'SC Change Orders'!$E412)&gt;1),"Duplicate of another row — funds counted twice; ","")&amp;IF(ISNUMBER('SC Change Orders'!$F412),IF('SC Change Orders'!$F412&lt;&gt;0,IF(AND(ISNUMBER('SC Change Orders'!$B412),NOT(COUNTIFS('SC Change Orders'!$B$2:$B$501,'SC Change Orders'!$B412,'SC Change Orders'!$C$2:$C$501,'SC Change Orders'!$C412,'SC Change Orders'!$D$2:$D$501,'SC Change Orders'!$D412,'SC Change Orders'!$F$2:$F$501,'SC Change Orders'!$F412,'SC Change Orders'!$E$2:$E$501,'SC Change Orders'!$E412)&gt;1),COUNTIFS('SC Change Orders'!$B$2:$B$501,'SC Change Orders'!$B412,'SC Change Orders'!$F$2:$F$501,'SC Change Orders'!$F412)&gt;1),  "Same PO and Amount Added as another row — check for a restatement counted twice; ",""),""),""))</f>
        <v/>
      </c>
    </row>
    <row r="431" customFormat="false" ht="15" hidden="false" customHeight="false" outlineLevel="0" collapsed="false">
      <c r="A431" s="18" t="str">
        <f aca="false">IF(AND('SC Change Orders'!$A413="",'SC Change Orders'!$B413="",'SC Change Orders'!$C413=""),"",413)</f>
        <v/>
      </c>
      <c r="B431" s="31" t="str">
        <f aca="false">IF($A431="","",'SC Change Orders'!$A413)</f>
        <v/>
      </c>
      <c r="C431" s="18" t="str">
        <f aca="false">IF($A431="","",'SC Change Orders'!$B413)</f>
        <v/>
      </c>
      <c r="D431" s="32" t="str">
        <f aca="false">IF($A431="","",'SC Change Orders'!$C413)</f>
        <v/>
      </c>
      <c r="E431" s="31" t="str">
        <f aca="false">IF($A431="","",'SC Change Orders'!$D413)</f>
        <v/>
      </c>
      <c r="F431" s="33" t="str">
        <f aca="false">IF($A431="","",'SC Change Orders'!$E413)</f>
        <v/>
      </c>
      <c r="G431" s="33" t="str">
        <f aca="false">IF($A431="","",'SC Change Orders'!$F413)</f>
        <v/>
      </c>
      <c r="H431" s="33" t="str">
        <f aca="false">IF($A431="","",'SC Change Orders'!$G413)</f>
        <v/>
      </c>
      <c r="I431" s="34" t="str">
        <f aca="false">IF($A431="","",IF(AND(ISNUMBER('SC Change Orders'!$C413),'SC Change Orders'!$C413&gt;=Controls!$C$5,'SC Change Orders'!$C413&lt;=Controls!$C$6),"Yes","No"))</f>
        <v/>
      </c>
      <c r="J431" s="31" t="str">
        <f aca="false">IF($A431="","",IF($K431="","OK",$K431))</f>
        <v/>
      </c>
      <c r="K431" s="0" t="str">
        <f aca="false">IF($A431="","",IF(NOT(ISNUMBER('SC Change Orders'!$B413)),"PO not numeric — row is invisible to the tracker; ","")&amp;IF(NOT(ISNUMBER('SC Change Orders'!$C413)),"Date missing or text — row excluded; ",  IF(OR('SC Change Orders'!$C413&lt;Controls!$C$5,'SC Change Orders'!$C413&gt;Controls!$C$6),"Dated outside the FY window — excluded; ",""))&amp;IF(AND('SC Change Orders'!$E413&lt;&gt;"",NOT(ISNUMBER('SC Change Orders'!$E413))),"Original Amount held as text — ignored by MINIFS; ","")&amp;IF(AND('SC Change Orders'!$F413&lt;&gt;"",NOT(ISNUMBER('SC Change Orders'!$F413))),"Amount Added held as text — ignored by SUMIFS; ","")&amp;IF(ISNUMBER('SC Change Orders'!$E413),IF(ISNUMBER('SC Change Orders'!$F413),IF(ISNUMBER('SC Change Orders'!$G413),  IF('SC Change Orders'!$G413&gt;0,IF(ROUND('SC Change Orders'!$E413+'SC Change Orders'!$F413,2)&lt;&gt;ROUND('SC Change Orders'!$G413,2),  "Original + Added &lt;&gt; Total Line Cost Allotted; ",""),""),""),""),"")&amp;IF(AND(ISNUMBER('SC Change Orders'!$B413),COUNTIFS('SC Change Orders'!$B$2:$B$501,'SC Change Orders'!$B413,'SC Change Orders'!$C$2:$C$501,'SC Change Orders'!$C413,'SC Change Orders'!$D$2:$D$501,'SC Change Orders'!$D413,'SC Change Orders'!$F$2:$F$501,'SC Change Orders'!$F413,'SC Change Orders'!$E$2:$E$501,'SC Change Orders'!$E413)&gt;1),"Duplicate of another row — funds counted twice; ","")&amp;IF(ISNUMBER('SC Change Orders'!$F413),IF('SC Change Orders'!$F413&lt;&gt;0,IF(AND(ISNUMBER('SC Change Orders'!$B413),NOT(COUNTIFS('SC Change Orders'!$B$2:$B$501,'SC Change Orders'!$B413,'SC Change Orders'!$C$2:$C$501,'SC Change Orders'!$C413,'SC Change Orders'!$D$2:$D$501,'SC Change Orders'!$D413,'SC Change Orders'!$F$2:$F$501,'SC Change Orders'!$F413,'SC Change Orders'!$E$2:$E$501,'SC Change Orders'!$E413)&gt;1),COUNTIFS('SC Change Orders'!$B$2:$B$501,'SC Change Orders'!$B413,'SC Change Orders'!$F$2:$F$501,'SC Change Orders'!$F413)&gt;1),  "Same PO and Amount Added as another row — check for a restatement counted twice; ",""),""),""))</f>
        <v/>
      </c>
    </row>
    <row r="432" customFormat="false" ht="15" hidden="false" customHeight="false" outlineLevel="0" collapsed="false">
      <c r="A432" s="18" t="str">
        <f aca="false">IF(AND('SC Change Orders'!$A414="",'SC Change Orders'!$B414="",'SC Change Orders'!$C414=""),"",414)</f>
        <v/>
      </c>
      <c r="B432" s="31" t="str">
        <f aca="false">IF($A432="","",'SC Change Orders'!$A414)</f>
        <v/>
      </c>
      <c r="C432" s="18" t="str">
        <f aca="false">IF($A432="","",'SC Change Orders'!$B414)</f>
        <v/>
      </c>
      <c r="D432" s="32" t="str">
        <f aca="false">IF($A432="","",'SC Change Orders'!$C414)</f>
        <v/>
      </c>
      <c r="E432" s="31" t="str">
        <f aca="false">IF($A432="","",'SC Change Orders'!$D414)</f>
        <v/>
      </c>
      <c r="F432" s="33" t="str">
        <f aca="false">IF($A432="","",'SC Change Orders'!$E414)</f>
        <v/>
      </c>
      <c r="G432" s="33" t="str">
        <f aca="false">IF($A432="","",'SC Change Orders'!$F414)</f>
        <v/>
      </c>
      <c r="H432" s="33" t="str">
        <f aca="false">IF($A432="","",'SC Change Orders'!$G414)</f>
        <v/>
      </c>
      <c r="I432" s="34" t="str">
        <f aca="false">IF($A432="","",IF(AND(ISNUMBER('SC Change Orders'!$C414),'SC Change Orders'!$C414&gt;=Controls!$C$5,'SC Change Orders'!$C414&lt;=Controls!$C$6),"Yes","No"))</f>
        <v/>
      </c>
      <c r="J432" s="31" t="str">
        <f aca="false">IF($A432="","",IF($K432="","OK",$K432))</f>
        <v/>
      </c>
      <c r="K432" s="0" t="str">
        <f aca="false">IF($A432="","",IF(NOT(ISNUMBER('SC Change Orders'!$B414)),"PO not numeric — row is invisible to the tracker; ","")&amp;IF(NOT(ISNUMBER('SC Change Orders'!$C414)),"Date missing or text — row excluded; ",  IF(OR('SC Change Orders'!$C414&lt;Controls!$C$5,'SC Change Orders'!$C414&gt;Controls!$C$6),"Dated outside the FY window — excluded; ",""))&amp;IF(AND('SC Change Orders'!$E414&lt;&gt;"",NOT(ISNUMBER('SC Change Orders'!$E414))),"Original Amount held as text — ignored by MINIFS; ","")&amp;IF(AND('SC Change Orders'!$F414&lt;&gt;"",NOT(ISNUMBER('SC Change Orders'!$F414))),"Amount Added held as text — ignored by SUMIFS; ","")&amp;IF(ISNUMBER('SC Change Orders'!$E414),IF(ISNUMBER('SC Change Orders'!$F414),IF(ISNUMBER('SC Change Orders'!$G414),  IF('SC Change Orders'!$G414&gt;0,IF(ROUND('SC Change Orders'!$E414+'SC Change Orders'!$F414,2)&lt;&gt;ROUND('SC Change Orders'!$G414,2),  "Original + Added &lt;&gt; Total Line Cost Allotted; ",""),""),""),""),"")&amp;IF(AND(ISNUMBER('SC Change Orders'!$B414),COUNTIFS('SC Change Orders'!$B$2:$B$501,'SC Change Orders'!$B414,'SC Change Orders'!$C$2:$C$501,'SC Change Orders'!$C414,'SC Change Orders'!$D$2:$D$501,'SC Change Orders'!$D414,'SC Change Orders'!$F$2:$F$501,'SC Change Orders'!$F414,'SC Change Orders'!$E$2:$E$501,'SC Change Orders'!$E414)&gt;1),"Duplicate of another row — funds counted twice; ","")&amp;IF(ISNUMBER('SC Change Orders'!$F414),IF('SC Change Orders'!$F414&lt;&gt;0,IF(AND(ISNUMBER('SC Change Orders'!$B414),NOT(COUNTIFS('SC Change Orders'!$B$2:$B$501,'SC Change Orders'!$B414,'SC Change Orders'!$C$2:$C$501,'SC Change Orders'!$C414,'SC Change Orders'!$D$2:$D$501,'SC Change Orders'!$D414,'SC Change Orders'!$F$2:$F$501,'SC Change Orders'!$F414,'SC Change Orders'!$E$2:$E$501,'SC Change Orders'!$E414)&gt;1),COUNTIFS('SC Change Orders'!$B$2:$B$501,'SC Change Orders'!$B414,'SC Change Orders'!$F$2:$F$501,'SC Change Orders'!$F414)&gt;1),  "Same PO and Amount Added as another row — check for a restatement counted twice; ",""),""),""))</f>
        <v/>
      </c>
    </row>
    <row r="433" customFormat="false" ht="15" hidden="false" customHeight="false" outlineLevel="0" collapsed="false">
      <c r="A433" s="18" t="str">
        <f aca="false">IF(AND('SC Change Orders'!$A415="",'SC Change Orders'!$B415="",'SC Change Orders'!$C415=""),"",415)</f>
        <v/>
      </c>
      <c r="B433" s="31" t="str">
        <f aca="false">IF($A433="","",'SC Change Orders'!$A415)</f>
        <v/>
      </c>
      <c r="C433" s="18" t="str">
        <f aca="false">IF($A433="","",'SC Change Orders'!$B415)</f>
        <v/>
      </c>
      <c r="D433" s="32" t="str">
        <f aca="false">IF($A433="","",'SC Change Orders'!$C415)</f>
        <v/>
      </c>
      <c r="E433" s="31" t="str">
        <f aca="false">IF($A433="","",'SC Change Orders'!$D415)</f>
        <v/>
      </c>
      <c r="F433" s="33" t="str">
        <f aca="false">IF($A433="","",'SC Change Orders'!$E415)</f>
        <v/>
      </c>
      <c r="G433" s="33" t="str">
        <f aca="false">IF($A433="","",'SC Change Orders'!$F415)</f>
        <v/>
      </c>
      <c r="H433" s="33" t="str">
        <f aca="false">IF($A433="","",'SC Change Orders'!$G415)</f>
        <v/>
      </c>
      <c r="I433" s="34" t="str">
        <f aca="false">IF($A433="","",IF(AND(ISNUMBER('SC Change Orders'!$C415),'SC Change Orders'!$C415&gt;=Controls!$C$5,'SC Change Orders'!$C415&lt;=Controls!$C$6),"Yes","No"))</f>
        <v/>
      </c>
      <c r="J433" s="31" t="str">
        <f aca="false">IF($A433="","",IF($K433="","OK",$K433))</f>
        <v/>
      </c>
      <c r="K433" s="0" t="str">
        <f aca="false">IF($A433="","",IF(NOT(ISNUMBER('SC Change Orders'!$B415)),"PO not numeric — row is invisible to the tracker; ","")&amp;IF(NOT(ISNUMBER('SC Change Orders'!$C415)),"Date missing or text — row excluded; ",  IF(OR('SC Change Orders'!$C415&lt;Controls!$C$5,'SC Change Orders'!$C415&gt;Controls!$C$6),"Dated outside the FY window — excluded; ",""))&amp;IF(AND('SC Change Orders'!$E415&lt;&gt;"",NOT(ISNUMBER('SC Change Orders'!$E415))),"Original Amount held as text — ignored by MINIFS; ","")&amp;IF(AND('SC Change Orders'!$F415&lt;&gt;"",NOT(ISNUMBER('SC Change Orders'!$F415))),"Amount Added held as text — ignored by SUMIFS; ","")&amp;IF(ISNUMBER('SC Change Orders'!$E415),IF(ISNUMBER('SC Change Orders'!$F415),IF(ISNUMBER('SC Change Orders'!$G415),  IF('SC Change Orders'!$G415&gt;0,IF(ROUND('SC Change Orders'!$E415+'SC Change Orders'!$F415,2)&lt;&gt;ROUND('SC Change Orders'!$G415,2),  "Original + Added &lt;&gt; Total Line Cost Allotted; ",""),""),""),""),"")&amp;IF(AND(ISNUMBER('SC Change Orders'!$B415),COUNTIFS('SC Change Orders'!$B$2:$B$501,'SC Change Orders'!$B415,'SC Change Orders'!$C$2:$C$501,'SC Change Orders'!$C415,'SC Change Orders'!$D$2:$D$501,'SC Change Orders'!$D415,'SC Change Orders'!$F$2:$F$501,'SC Change Orders'!$F415,'SC Change Orders'!$E$2:$E$501,'SC Change Orders'!$E415)&gt;1),"Duplicate of another row — funds counted twice; ","")&amp;IF(ISNUMBER('SC Change Orders'!$F415),IF('SC Change Orders'!$F415&lt;&gt;0,IF(AND(ISNUMBER('SC Change Orders'!$B415),NOT(COUNTIFS('SC Change Orders'!$B$2:$B$501,'SC Change Orders'!$B415,'SC Change Orders'!$C$2:$C$501,'SC Change Orders'!$C415,'SC Change Orders'!$D$2:$D$501,'SC Change Orders'!$D415,'SC Change Orders'!$F$2:$F$501,'SC Change Orders'!$F415,'SC Change Orders'!$E$2:$E$501,'SC Change Orders'!$E415)&gt;1),COUNTIFS('SC Change Orders'!$B$2:$B$501,'SC Change Orders'!$B415,'SC Change Orders'!$F$2:$F$501,'SC Change Orders'!$F415)&gt;1),  "Same PO and Amount Added as another row — check for a restatement counted twice; ",""),""),""))</f>
        <v/>
      </c>
    </row>
    <row r="434" customFormat="false" ht="15" hidden="false" customHeight="false" outlineLevel="0" collapsed="false">
      <c r="A434" s="18" t="str">
        <f aca="false">IF(AND('SC Change Orders'!$A416="",'SC Change Orders'!$B416="",'SC Change Orders'!$C416=""),"",416)</f>
        <v/>
      </c>
      <c r="B434" s="31" t="str">
        <f aca="false">IF($A434="","",'SC Change Orders'!$A416)</f>
        <v/>
      </c>
      <c r="C434" s="18" t="str">
        <f aca="false">IF($A434="","",'SC Change Orders'!$B416)</f>
        <v/>
      </c>
      <c r="D434" s="32" t="str">
        <f aca="false">IF($A434="","",'SC Change Orders'!$C416)</f>
        <v/>
      </c>
      <c r="E434" s="31" t="str">
        <f aca="false">IF($A434="","",'SC Change Orders'!$D416)</f>
        <v/>
      </c>
      <c r="F434" s="33" t="str">
        <f aca="false">IF($A434="","",'SC Change Orders'!$E416)</f>
        <v/>
      </c>
      <c r="G434" s="33" t="str">
        <f aca="false">IF($A434="","",'SC Change Orders'!$F416)</f>
        <v/>
      </c>
      <c r="H434" s="33" t="str">
        <f aca="false">IF($A434="","",'SC Change Orders'!$G416)</f>
        <v/>
      </c>
      <c r="I434" s="34" t="str">
        <f aca="false">IF($A434="","",IF(AND(ISNUMBER('SC Change Orders'!$C416),'SC Change Orders'!$C416&gt;=Controls!$C$5,'SC Change Orders'!$C416&lt;=Controls!$C$6),"Yes","No"))</f>
        <v/>
      </c>
      <c r="J434" s="31" t="str">
        <f aca="false">IF($A434="","",IF($K434="","OK",$K434))</f>
        <v/>
      </c>
      <c r="K434" s="0" t="str">
        <f aca="false">IF($A434="","",IF(NOT(ISNUMBER('SC Change Orders'!$B416)),"PO not numeric — row is invisible to the tracker; ","")&amp;IF(NOT(ISNUMBER('SC Change Orders'!$C416)),"Date missing or text — row excluded; ",  IF(OR('SC Change Orders'!$C416&lt;Controls!$C$5,'SC Change Orders'!$C416&gt;Controls!$C$6),"Dated outside the FY window — excluded; ",""))&amp;IF(AND('SC Change Orders'!$E416&lt;&gt;"",NOT(ISNUMBER('SC Change Orders'!$E416))),"Original Amount held as text — ignored by MINIFS; ","")&amp;IF(AND('SC Change Orders'!$F416&lt;&gt;"",NOT(ISNUMBER('SC Change Orders'!$F416))),"Amount Added held as text — ignored by SUMIFS; ","")&amp;IF(ISNUMBER('SC Change Orders'!$E416),IF(ISNUMBER('SC Change Orders'!$F416),IF(ISNUMBER('SC Change Orders'!$G416),  IF('SC Change Orders'!$G416&gt;0,IF(ROUND('SC Change Orders'!$E416+'SC Change Orders'!$F416,2)&lt;&gt;ROUND('SC Change Orders'!$G416,2),  "Original + Added &lt;&gt; Total Line Cost Allotted; ",""),""),""),""),"")&amp;IF(AND(ISNUMBER('SC Change Orders'!$B416),COUNTIFS('SC Change Orders'!$B$2:$B$501,'SC Change Orders'!$B416,'SC Change Orders'!$C$2:$C$501,'SC Change Orders'!$C416,'SC Change Orders'!$D$2:$D$501,'SC Change Orders'!$D416,'SC Change Orders'!$F$2:$F$501,'SC Change Orders'!$F416,'SC Change Orders'!$E$2:$E$501,'SC Change Orders'!$E416)&gt;1),"Duplicate of another row — funds counted twice; ","")&amp;IF(ISNUMBER('SC Change Orders'!$F416),IF('SC Change Orders'!$F416&lt;&gt;0,IF(AND(ISNUMBER('SC Change Orders'!$B416),NOT(COUNTIFS('SC Change Orders'!$B$2:$B$501,'SC Change Orders'!$B416,'SC Change Orders'!$C$2:$C$501,'SC Change Orders'!$C416,'SC Change Orders'!$D$2:$D$501,'SC Change Orders'!$D416,'SC Change Orders'!$F$2:$F$501,'SC Change Orders'!$F416,'SC Change Orders'!$E$2:$E$501,'SC Change Orders'!$E416)&gt;1),COUNTIFS('SC Change Orders'!$B$2:$B$501,'SC Change Orders'!$B416,'SC Change Orders'!$F$2:$F$501,'SC Change Orders'!$F416)&gt;1),  "Same PO and Amount Added as another row — check for a restatement counted twice; ",""),""),""))</f>
        <v/>
      </c>
    </row>
    <row r="435" customFormat="false" ht="15" hidden="false" customHeight="false" outlineLevel="0" collapsed="false">
      <c r="A435" s="18" t="str">
        <f aca="false">IF(AND('SC Change Orders'!$A417="",'SC Change Orders'!$B417="",'SC Change Orders'!$C417=""),"",417)</f>
        <v/>
      </c>
      <c r="B435" s="31" t="str">
        <f aca="false">IF($A435="","",'SC Change Orders'!$A417)</f>
        <v/>
      </c>
      <c r="C435" s="18" t="str">
        <f aca="false">IF($A435="","",'SC Change Orders'!$B417)</f>
        <v/>
      </c>
      <c r="D435" s="32" t="str">
        <f aca="false">IF($A435="","",'SC Change Orders'!$C417)</f>
        <v/>
      </c>
      <c r="E435" s="31" t="str">
        <f aca="false">IF($A435="","",'SC Change Orders'!$D417)</f>
        <v/>
      </c>
      <c r="F435" s="33" t="str">
        <f aca="false">IF($A435="","",'SC Change Orders'!$E417)</f>
        <v/>
      </c>
      <c r="G435" s="33" t="str">
        <f aca="false">IF($A435="","",'SC Change Orders'!$F417)</f>
        <v/>
      </c>
      <c r="H435" s="33" t="str">
        <f aca="false">IF($A435="","",'SC Change Orders'!$G417)</f>
        <v/>
      </c>
      <c r="I435" s="34" t="str">
        <f aca="false">IF($A435="","",IF(AND(ISNUMBER('SC Change Orders'!$C417),'SC Change Orders'!$C417&gt;=Controls!$C$5,'SC Change Orders'!$C417&lt;=Controls!$C$6),"Yes","No"))</f>
        <v/>
      </c>
      <c r="J435" s="31" t="str">
        <f aca="false">IF($A435="","",IF($K435="","OK",$K435))</f>
        <v/>
      </c>
      <c r="K435" s="0" t="str">
        <f aca="false">IF($A435="","",IF(NOT(ISNUMBER('SC Change Orders'!$B417)),"PO not numeric — row is invisible to the tracker; ","")&amp;IF(NOT(ISNUMBER('SC Change Orders'!$C417)),"Date missing or text — row excluded; ",  IF(OR('SC Change Orders'!$C417&lt;Controls!$C$5,'SC Change Orders'!$C417&gt;Controls!$C$6),"Dated outside the FY window — excluded; ",""))&amp;IF(AND('SC Change Orders'!$E417&lt;&gt;"",NOT(ISNUMBER('SC Change Orders'!$E417))),"Original Amount held as text — ignored by MINIFS; ","")&amp;IF(AND('SC Change Orders'!$F417&lt;&gt;"",NOT(ISNUMBER('SC Change Orders'!$F417))),"Amount Added held as text — ignored by SUMIFS; ","")&amp;IF(ISNUMBER('SC Change Orders'!$E417),IF(ISNUMBER('SC Change Orders'!$F417),IF(ISNUMBER('SC Change Orders'!$G417),  IF('SC Change Orders'!$G417&gt;0,IF(ROUND('SC Change Orders'!$E417+'SC Change Orders'!$F417,2)&lt;&gt;ROUND('SC Change Orders'!$G417,2),  "Original + Added &lt;&gt; Total Line Cost Allotted; ",""),""),""),""),"")&amp;IF(AND(ISNUMBER('SC Change Orders'!$B417),COUNTIFS('SC Change Orders'!$B$2:$B$501,'SC Change Orders'!$B417,'SC Change Orders'!$C$2:$C$501,'SC Change Orders'!$C417,'SC Change Orders'!$D$2:$D$501,'SC Change Orders'!$D417,'SC Change Orders'!$F$2:$F$501,'SC Change Orders'!$F417,'SC Change Orders'!$E$2:$E$501,'SC Change Orders'!$E417)&gt;1),"Duplicate of another row — funds counted twice; ","")&amp;IF(ISNUMBER('SC Change Orders'!$F417),IF('SC Change Orders'!$F417&lt;&gt;0,IF(AND(ISNUMBER('SC Change Orders'!$B417),NOT(COUNTIFS('SC Change Orders'!$B$2:$B$501,'SC Change Orders'!$B417,'SC Change Orders'!$C$2:$C$501,'SC Change Orders'!$C417,'SC Change Orders'!$D$2:$D$501,'SC Change Orders'!$D417,'SC Change Orders'!$F$2:$F$501,'SC Change Orders'!$F417,'SC Change Orders'!$E$2:$E$501,'SC Change Orders'!$E417)&gt;1),COUNTIFS('SC Change Orders'!$B$2:$B$501,'SC Change Orders'!$B417,'SC Change Orders'!$F$2:$F$501,'SC Change Orders'!$F417)&gt;1),  "Same PO and Amount Added as another row — check for a restatement counted twice; ",""),""),""))</f>
        <v/>
      </c>
    </row>
    <row r="436" customFormat="false" ht="15" hidden="false" customHeight="false" outlineLevel="0" collapsed="false">
      <c r="A436" s="18" t="str">
        <f aca="false">IF(AND('SC Change Orders'!$A418="",'SC Change Orders'!$B418="",'SC Change Orders'!$C418=""),"",418)</f>
        <v/>
      </c>
      <c r="B436" s="31" t="str">
        <f aca="false">IF($A436="","",'SC Change Orders'!$A418)</f>
        <v/>
      </c>
      <c r="C436" s="18" t="str">
        <f aca="false">IF($A436="","",'SC Change Orders'!$B418)</f>
        <v/>
      </c>
      <c r="D436" s="32" t="str">
        <f aca="false">IF($A436="","",'SC Change Orders'!$C418)</f>
        <v/>
      </c>
      <c r="E436" s="31" t="str">
        <f aca="false">IF($A436="","",'SC Change Orders'!$D418)</f>
        <v/>
      </c>
      <c r="F436" s="33" t="str">
        <f aca="false">IF($A436="","",'SC Change Orders'!$E418)</f>
        <v/>
      </c>
      <c r="G436" s="33" t="str">
        <f aca="false">IF($A436="","",'SC Change Orders'!$F418)</f>
        <v/>
      </c>
      <c r="H436" s="33" t="str">
        <f aca="false">IF($A436="","",'SC Change Orders'!$G418)</f>
        <v/>
      </c>
      <c r="I436" s="34" t="str">
        <f aca="false">IF($A436="","",IF(AND(ISNUMBER('SC Change Orders'!$C418),'SC Change Orders'!$C418&gt;=Controls!$C$5,'SC Change Orders'!$C418&lt;=Controls!$C$6),"Yes","No"))</f>
        <v/>
      </c>
      <c r="J436" s="31" t="str">
        <f aca="false">IF($A436="","",IF($K436="","OK",$K436))</f>
        <v/>
      </c>
      <c r="K436" s="0" t="str">
        <f aca="false">IF($A436="","",IF(NOT(ISNUMBER('SC Change Orders'!$B418)),"PO not numeric — row is invisible to the tracker; ","")&amp;IF(NOT(ISNUMBER('SC Change Orders'!$C418)),"Date missing or text — row excluded; ",  IF(OR('SC Change Orders'!$C418&lt;Controls!$C$5,'SC Change Orders'!$C418&gt;Controls!$C$6),"Dated outside the FY window — excluded; ",""))&amp;IF(AND('SC Change Orders'!$E418&lt;&gt;"",NOT(ISNUMBER('SC Change Orders'!$E418))),"Original Amount held as text — ignored by MINIFS; ","")&amp;IF(AND('SC Change Orders'!$F418&lt;&gt;"",NOT(ISNUMBER('SC Change Orders'!$F418))),"Amount Added held as text — ignored by SUMIFS; ","")&amp;IF(ISNUMBER('SC Change Orders'!$E418),IF(ISNUMBER('SC Change Orders'!$F418),IF(ISNUMBER('SC Change Orders'!$G418),  IF('SC Change Orders'!$G418&gt;0,IF(ROUND('SC Change Orders'!$E418+'SC Change Orders'!$F418,2)&lt;&gt;ROUND('SC Change Orders'!$G418,2),  "Original + Added &lt;&gt; Total Line Cost Allotted; ",""),""),""),""),"")&amp;IF(AND(ISNUMBER('SC Change Orders'!$B418),COUNTIFS('SC Change Orders'!$B$2:$B$501,'SC Change Orders'!$B418,'SC Change Orders'!$C$2:$C$501,'SC Change Orders'!$C418,'SC Change Orders'!$D$2:$D$501,'SC Change Orders'!$D418,'SC Change Orders'!$F$2:$F$501,'SC Change Orders'!$F418,'SC Change Orders'!$E$2:$E$501,'SC Change Orders'!$E418)&gt;1),"Duplicate of another row — funds counted twice; ","")&amp;IF(ISNUMBER('SC Change Orders'!$F418),IF('SC Change Orders'!$F418&lt;&gt;0,IF(AND(ISNUMBER('SC Change Orders'!$B418),NOT(COUNTIFS('SC Change Orders'!$B$2:$B$501,'SC Change Orders'!$B418,'SC Change Orders'!$C$2:$C$501,'SC Change Orders'!$C418,'SC Change Orders'!$D$2:$D$501,'SC Change Orders'!$D418,'SC Change Orders'!$F$2:$F$501,'SC Change Orders'!$F418,'SC Change Orders'!$E$2:$E$501,'SC Change Orders'!$E418)&gt;1),COUNTIFS('SC Change Orders'!$B$2:$B$501,'SC Change Orders'!$B418,'SC Change Orders'!$F$2:$F$501,'SC Change Orders'!$F418)&gt;1),  "Same PO and Amount Added as another row — check for a restatement counted twice; ",""),""),""))</f>
        <v/>
      </c>
    </row>
    <row r="437" customFormat="false" ht="15" hidden="false" customHeight="false" outlineLevel="0" collapsed="false">
      <c r="A437" s="18" t="str">
        <f aca="false">IF(AND('SC Change Orders'!$A419="",'SC Change Orders'!$B419="",'SC Change Orders'!$C419=""),"",419)</f>
        <v/>
      </c>
      <c r="B437" s="31" t="str">
        <f aca="false">IF($A437="","",'SC Change Orders'!$A419)</f>
        <v/>
      </c>
      <c r="C437" s="18" t="str">
        <f aca="false">IF($A437="","",'SC Change Orders'!$B419)</f>
        <v/>
      </c>
      <c r="D437" s="32" t="str">
        <f aca="false">IF($A437="","",'SC Change Orders'!$C419)</f>
        <v/>
      </c>
      <c r="E437" s="31" t="str">
        <f aca="false">IF($A437="","",'SC Change Orders'!$D419)</f>
        <v/>
      </c>
      <c r="F437" s="33" t="str">
        <f aca="false">IF($A437="","",'SC Change Orders'!$E419)</f>
        <v/>
      </c>
      <c r="G437" s="33" t="str">
        <f aca="false">IF($A437="","",'SC Change Orders'!$F419)</f>
        <v/>
      </c>
      <c r="H437" s="33" t="str">
        <f aca="false">IF($A437="","",'SC Change Orders'!$G419)</f>
        <v/>
      </c>
      <c r="I437" s="34" t="str">
        <f aca="false">IF($A437="","",IF(AND(ISNUMBER('SC Change Orders'!$C419),'SC Change Orders'!$C419&gt;=Controls!$C$5,'SC Change Orders'!$C419&lt;=Controls!$C$6),"Yes","No"))</f>
        <v/>
      </c>
      <c r="J437" s="31" t="str">
        <f aca="false">IF($A437="","",IF($K437="","OK",$K437))</f>
        <v/>
      </c>
      <c r="K437" s="0" t="str">
        <f aca="false">IF($A437="","",IF(NOT(ISNUMBER('SC Change Orders'!$B419)),"PO not numeric — row is invisible to the tracker; ","")&amp;IF(NOT(ISNUMBER('SC Change Orders'!$C419)),"Date missing or text — row excluded; ",  IF(OR('SC Change Orders'!$C419&lt;Controls!$C$5,'SC Change Orders'!$C419&gt;Controls!$C$6),"Dated outside the FY window — excluded; ",""))&amp;IF(AND('SC Change Orders'!$E419&lt;&gt;"",NOT(ISNUMBER('SC Change Orders'!$E419))),"Original Amount held as text — ignored by MINIFS; ","")&amp;IF(AND('SC Change Orders'!$F419&lt;&gt;"",NOT(ISNUMBER('SC Change Orders'!$F419))),"Amount Added held as text — ignored by SUMIFS; ","")&amp;IF(ISNUMBER('SC Change Orders'!$E419),IF(ISNUMBER('SC Change Orders'!$F419),IF(ISNUMBER('SC Change Orders'!$G419),  IF('SC Change Orders'!$G419&gt;0,IF(ROUND('SC Change Orders'!$E419+'SC Change Orders'!$F419,2)&lt;&gt;ROUND('SC Change Orders'!$G419,2),  "Original + Added &lt;&gt; Total Line Cost Allotted; ",""),""),""),""),"")&amp;IF(AND(ISNUMBER('SC Change Orders'!$B419),COUNTIFS('SC Change Orders'!$B$2:$B$501,'SC Change Orders'!$B419,'SC Change Orders'!$C$2:$C$501,'SC Change Orders'!$C419,'SC Change Orders'!$D$2:$D$501,'SC Change Orders'!$D419,'SC Change Orders'!$F$2:$F$501,'SC Change Orders'!$F419,'SC Change Orders'!$E$2:$E$501,'SC Change Orders'!$E419)&gt;1),"Duplicate of another row — funds counted twice; ","")&amp;IF(ISNUMBER('SC Change Orders'!$F419),IF('SC Change Orders'!$F419&lt;&gt;0,IF(AND(ISNUMBER('SC Change Orders'!$B419),NOT(COUNTIFS('SC Change Orders'!$B$2:$B$501,'SC Change Orders'!$B419,'SC Change Orders'!$C$2:$C$501,'SC Change Orders'!$C419,'SC Change Orders'!$D$2:$D$501,'SC Change Orders'!$D419,'SC Change Orders'!$F$2:$F$501,'SC Change Orders'!$F419,'SC Change Orders'!$E$2:$E$501,'SC Change Orders'!$E419)&gt;1),COUNTIFS('SC Change Orders'!$B$2:$B$501,'SC Change Orders'!$B419,'SC Change Orders'!$F$2:$F$501,'SC Change Orders'!$F419)&gt;1),  "Same PO and Amount Added as another row — check for a restatement counted twice; ",""),""),""))</f>
        <v/>
      </c>
    </row>
    <row r="438" customFormat="false" ht="15" hidden="false" customHeight="false" outlineLevel="0" collapsed="false">
      <c r="A438" s="18" t="str">
        <f aca="false">IF(AND('SC Change Orders'!$A420="",'SC Change Orders'!$B420="",'SC Change Orders'!$C420=""),"",420)</f>
        <v/>
      </c>
      <c r="B438" s="31" t="str">
        <f aca="false">IF($A438="","",'SC Change Orders'!$A420)</f>
        <v/>
      </c>
      <c r="C438" s="18" t="str">
        <f aca="false">IF($A438="","",'SC Change Orders'!$B420)</f>
        <v/>
      </c>
      <c r="D438" s="32" t="str">
        <f aca="false">IF($A438="","",'SC Change Orders'!$C420)</f>
        <v/>
      </c>
      <c r="E438" s="31" t="str">
        <f aca="false">IF($A438="","",'SC Change Orders'!$D420)</f>
        <v/>
      </c>
      <c r="F438" s="33" t="str">
        <f aca="false">IF($A438="","",'SC Change Orders'!$E420)</f>
        <v/>
      </c>
      <c r="G438" s="33" t="str">
        <f aca="false">IF($A438="","",'SC Change Orders'!$F420)</f>
        <v/>
      </c>
      <c r="H438" s="33" t="str">
        <f aca="false">IF($A438="","",'SC Change Orders'!$G420)</f>
        <v/>
      </c>
      <c r="I438" s="34" t="str">
        <f aca="false">IF($A438="","",IF(AND(ISNUMBER('SC Change Orders'!$C420),'SC Change Orders'!$C420&gt;=Controls!$C$5,'SC Change Orders'!$C420&lt;=Controls!$C$6),"Yes","No"))</f>
        <v/>
      </c>
      <c r="J438" s="31" t="str">
        <f aca="false">IF($A438="","",IF($K438="","OK",$K438))</f>
        <v/>
      </c>
      <c r="K438" s="0" t="str">
        <f aca="false">IF($A438="","",IF(NOT(ISNUMBER('SC Change Orders'!$B420)),"PO not numeric — row is invisible to the tracker; ","")&amp;IF(NOT(ISNUMBER('SC Change Orders'!$C420)),"Date missing or text — row excluded; ",  IF(OR('SC Change Orders'!$C420&lt;Controls!$C$5,'SC Change Orders'!$C420&gt;Controls!$C$6),"Dated outside the FY window — excluded; ",""))&amp;IF(AND('SC Change Orders'!$E420&lt;&gt;"",NOT(ISNUMBER('SC Change Orders'!$E420))),"Original Amount held as text — ignored by MINIFS; ","")&amp;IF(AND('SC Change Orders'!$F420&lt;&gt;"",NOT(ISNUMBER('SC Change Orders'!$F420))),"Amount Added held as text — ignored by SUMIFS; ","")&amp;IF(ISNUMBER('SC Change Orders'!$E420),IF(ISNUMBER('SC Change Orders'!$F420),IF(ISNUMBER('SC Change Orders'!$G420),  IF('SC Change Orders'!$G420&gt;0,IF(ROUND('SC Change Orders'!$E420+'SC Change Orders'!$F420,2)&lt;&gt;ROUND('SC Change Orders'!$G420,2),  "Original + Added &lt;&gt; Total Line Cost Allotted; ",""),""),""),""),"")&amp;IF(AND(ISNUMBER('SC Change Orders'!$B420),COUNTIFS('SC Change Orders'!$B$2:$B$501,'SC Change Orders'!$B420,'SC Change Orders'!$C$2:$C$501,'SC Change Orders'!$C420,'SC Change Orders'!$D$2:$D$501,'SC Change Orders'!$D420,'SC Change Orders'!$F$2:$F$501,'SC Change Orders'!$F420,'SC Change Orders'!$E$2:$E$501,'SC Change Orders'!$E420)&gt;1),"Duplicate of another row — funds counted twice; ","")&amp;IF(ISNUMBER('SC Change Orders'!$F420),IF('SC Change Orders'!$F420&lt;&gt;0,IF(AND(ISNUMBER('SC Change Orders'!$B420),NOT(COUNTIFS('SC Change Orders'!$B$2:$B$501,'SC Change Orders'!$B420,'SC Change Orders'!$C$2:$C$501,'SC Change Orders'!$C420,'SC Change Orders'!$D$2:$D$501,'SC Change Orders'!$D420,'SC Change Orders'!$F$2:$F$501,'SC Change Orders'!$F420,'SC Change Orders'!$E$2:$E$501,'SC Change Orders'!$E420)&gt;1),COUNTIFS('SC Change Orders'!$B$2:$B$501,'SC Change Orders'!$B420,'SC Change Orders'!$F$2:$F$501,'SC Change Orders'!$F420)&gt;1),  "Same PO and Amount Added as another row — check for a restatement counted twice; ",""),""),""))</f>
        <v/>
      </c>
    </row>
    <row r="439" customFormat="false" ht="15" hidden="false" customHeight="false" outlineLevel="0" collapsed="false">
      <c r="A439" s="18" t="str">
        <f aca="false">IF(AND('SC Change Orders'!$A421="",'SC Change Orders'!$B421="",'SC Change Orders'!$C421=""),"",421)</f>
        <v/>
      </c>
      <c r="B439" s="31" t="str">
        <f aca="false">IF($A439="","",'SC Change Orders'!$A421)</f>
        <v/>
      </c>
      <c r="C439" s="18" t="str">
        <f aca="false">IF($A439="","",'SC Change Orders'!$B421)</f>
        <v/>
      </c>
      <c r="D439" s="32" t="str">
        <f aca="false">IF($A439="","",'SC Change Orders'!$C421)</f>
        <v/>
      </c>
      <c r="E439" s="31" t="str">
        <f aca="false">IF($A439="","",'SC Change Orders'!$D421)</f>
        <v/>
      </c>
      <c r="F439" s="33" t="str">
        <f aca="false">IF($A439="","",'SC Change Orders'!$E421)</f>
        <v/>
      </c>
      <c r="G439" s="33" t="str">
        <f aca="false">IF($A439="","",'SC Change Orders'!$F421)</f>
        <v/>
      </c>
      <c r="H439" s="33" t="str">
        <f aca="false">IF($A439="","",'SC Change Orders'!$G421)</f>
        <v/>
      </c>
      <c r="I439" s="34" t="str">
        <f aca="false">IF($A439="","",IF(AND(ISNUMBER('SC Change Orders'!$C421),'SC Change Orders'!$C421&gt;=Controls!$C$5,'SC Change Orders'!$C421&lt;=Controls!$C$6),"Yes","No"))</f>
        <v/>
      </c>
      <c r="J439" s="31" t="str">
        <f aca="false">IF($A439="","",IF($K439="","OK",$K439))</f>
        <v/>
      </c>
      <c r="K439" s="0" t="str">
        <f aca="false">IF($A439="","",IF(NOT(ISNUMBER('SC Change Orders'!$B421)),"PO not numeric — row is invisible to the tracker; ","")&amp;IF(NOT(ISNUMBER('SC Change Orders'!$C421)),"Date missing or text — row excluded; ",  IF(OR('SC Change Orders'!$C421&lt;Controls!$C$5,'SC Change Orders'!$C421&gt;Controls!$C$6),"Dated outside the FY window — excluded; ",""))&amp;IF(AND('SC Change Orders'!$E421&lt;&gt;"",NOT(ISNUMBER('SC Change Orders'!$E421))),"Original Amount held as text — ignored by MINIFS; ","")&amp;IF(AND('SC Change Orders'!$F421&lt;&gt;"",NOT(ISNUMBER('SC Change Orders'!$F421))),"Amount Added held as text — ignored by SUMIFS; ","")&amp;IF(ISNUMBER('SC Change Orders'!$E421),IF(ISNUMBER('SC Change Orders'!$F421),IF(ISNUMBER('SC Change Orders'!$G421),  IF('SC Change Orders'!$G421&gt;0,IF(ROUND('SC Change Orders'!$E421+'SC Change Orders'!$F421,2)&lt;&gt;ROUND('SC Change Orders'!$G421,2),  "Original + Added &lt;&gt; Total Line Cost Allotted; ",""),""),""),""),"")&amp;IF(AND(ISNUMBER('SC Change Orders'!$B421),COUNTIFS('SC Change Orders'!$B$2:$B$501,'SC Change Orders'!$B421,'SC Change Orders'!$C$2:$C$501,'SC Change Orders'!$C421,'SC Change Orders'!$D$2:$D$501,'SC Change Orders'!$D421,'SC Change Orders'!$F$2:$F$501,'SC Change Orders'!$F421,'SC Change Orders'!$E$2:$E$501,'SC Change Orders'!$E421)&gt;1),"Duplicate of another row — funds counted twice; ","")&amp;IF(ISNUMBER('SC Change Orders'!$F421),IF('SC Change Orders'!$F421&lt;&gt;0,IF(AND(ISNUMBER('SC Change Orders'!$B421),NOT(COUNTIFS('SC Change Orders'!$B$2:$B$501,'SC Change Orders'!$B421,'SC Change Orders'!$C$2:$C$501,'SC Change Orders'!$C421,'SC Change Orders'!$D$2:$D$501,'SC Change Orders'!$D421,'SC Change Orders'!$F$2:$F$501,'SC Change Orders'!$F421,'SC Change Orders'!$E$2:$E$501,'SC Change Orders'!$E421)&gt;1),COUNTIFS('SC Change Orders'!$B$2:$B$501,'SC Change Orders'!$B421,'SC Change Orders'!$F$2:$F$501,'SC Change Orders'!$F421)&gt;1),  "Same PO and Amount Added as another row — check for a restatement counted twice; ",""),""),""))</f>
        <v/>
      </c>
    </row>
    <row r="440" customFormat="false" ht="15" hidden="false" customHeight="false" outlineLevel="0" collapsed="false">
      <c r="A440" s="18" t="str">
        <f aca="false">IF(AND('SC Change Orders'!$A422="",'SC Change Orders'!$B422="",'SC Change Orders'!$C422=""),"",422)</f>
        <v/>
      </c>
      <c r="B440" s="31" t="str">
        <f aca="false">IF($A440="","",'SC Change Orders'!$A422)</f>
        <v/>
      </c>
      <c r="C440" s="18" t="str">
        <f aca="false">IF($A440="","",'SC Change Orders'!$B422)</f>
        <v/>
      </c>
      <c r="D440" s="32" t="str">
        <f aca="false">IF($A440="","",'SC Change Orders'!$C422)</f>
        <v/>
      </c>
      <c r="E440" s="31" t="str">
        <f aca="false">IF($A440="","",'SC Change Orders'!$D422)</f>
        <v/>
      </c>
      <c r="F440" s="33" t="str">
        <f aca="false">IF($A440="","",'SC Change Orders'!$E422)</f>
        <v/>
      </c>
      <c r="G440" s="33" t="str">
        <f aca="false">IF($A440="","",'SC Change Orders'!$F422)</f>
        <v/>
      </c>
      <c r="H440" s="33" t="str">
        <f aca="false">IF($A440="","",'SC Change Orders'!$G422)</f>
        <v/>
      </c>
      <c r="I440" s="34" t="str">
        <f aca="false">IF($A440="","",IF(AND(ISNUMBER('SC Change Orders'!$C422),'SC Change Orders'!$C422&gt;=Controls!$C$5,'SC Change Orders'!$C422&lt;=Controls!$C$6),"Yes","No"))</f>
        <v/>
      </c>
      <c r="J440" s="31" t="str">
        <f aca="false">IF($A440="","",IF($K440="","OK",$K440))</f>
        <v/>
      </c>
      <c r="K440" s="0" t="str">
        <f aca="false">IF($A440="","",IF(NOT(ISNUMBER('SC Change Orders'!$B422)),"PO not numeric — row is invisible to the tracker; ","")&amp;IF(NOT(ISNUMBER('SC Change Orders'!$C422)),"Date missing or text — row excluded; ",  IF(OR('SC Change Orders'!$C422&lt;Controls!$C$5,'SC Change Orders'!$C422&gt;Controls!$C$6),"Dated outside the FY window — excluded; ",""))&amp;IF(AND('SC Change Orders'!$E422&lt;&gt;"",NOT(ISNUMBER('SC Change Orders'!$E422))),"Original Amount held as text — ignored by MINIFS; ","")&amp;IF(AND('SC Change Orders'!$F422&lt;&gt;"",NOT(ISNUMBER('SC Change Orders'!$F422))),"Amount Added held as text — ignored by SUMIFS; ","")&amp;IF(ISNUMBER('SC Change Orders'!$E422),IF(ISNUMBER('SC Change Orders'!$F422),IF(ISNUMBER('SC Change Orders'!$G422),  IF('SC Change Orders'!$G422&gt;0,IF(ROUND('SC Change Orders'!$E422+'SC Change Orders'!$F422,2)&lt;&gt;ROUND('SC Change Orders'!$G422,2),  "Original + Added &lt;&gt; Total Line Cost Allotted; ",""),""),""),""),"")&amp;IF(AND(ISNUMBER('SC Change Orders'!$B422),COUNTIFS('SC Change Orders'!$B$2:$B$501,'SC Change Orders'!$B422,'SC Change Orders'!$C$2:$C$501,'SC Change Orders'!$C422,'SC Change Orders'!$D$2:$D$501,'SC Change Orders'!$D422,'SC Change Orders'!$F$2:$F$501,'SC Change Orders'!$F422,'SC Change Orders'!$E$2:$E$501,'SC Change Orders'!$E422)&gt;1),"Duplicate of another row — funds counted twice; ","")&amp;IF(ISNUMBER('SC Change Orders'!$F422),IF('SC Change Orders'!$F422&lt;&gt;0,IF(AND(ISNUMBER('SC Change Orders'!$B422),NOT(COUNTIFS('SC Change Orders'!$B$2:$B$501,'SC Change Orders'!$B422,'SC Change Orders'!$C$2:$C$501,'SC Change Orders'!$C422,'SC Change Orders'!$D$2:$D$501,'SC Change Orders'!$D422,'SC Change Orders'!$F$2:$F$501,'SC Change Orders'!$F422,'SC Change Orders'!$E$2:$E$501,'SC Change Orders'!$E422)&gt;1),COUNTIFS('SC Change Orders'!$B$2:$B$501,'SC Change Orders'!$B422,'SC Change Orders'!$F$2:$F$501,'SC Change Orders'!$F422)&gt;1),  "Same PO and Amount Added as another row — check for a restatement counted twice; ",""),""),""))</f>
        <v/>
      </c>
    </row>
    <row r="441" customFormat="false" ht="15" hidden="false" customHeight="false" outlineLevel="0" collapsed="false">
      <c r="A441" s="18" t="str">
        <f aca="false">IF(AND('SC Change Orders'!$A423="",'SC Change Orders'!$B423="",'SC Change Orders'!$C423=""),"",423)</f>
        <v/>
      </c>
      <c r="B441" s="31" t="str">
        <f aca="false">IF($A441="","",'SC Change Orders'!$A423)</f>
        <v/>
      </c>
      <c r="C441" s="18" t="str">
        <f aca="false">IF($A441="","",'SC Change Orders'!$B423)</f>
        <v/>
      </c>
      <c r="D441" s="32" t="str">
        <f aca="false">IF($A441="","",'SC Change Orders'!$C423)</f>
        <v/>
      </c>
      <c r="E441" s="31" t="str">
        <f aca="false">IF($A441="","",'SC Change Orders'!$D423)</f>
        <v/>
      </c>
      <c r="F441" s="33" t="str">
        <f aca="false">IF($A441="","",'SC Change Orders'!$E423)</f>
        <v/>
      </c>
      <c r="G441" s="33" t="str">
        <f aca="false">IF($A441="","",'SC Change Orders'!$F423)</f>
        <v/>
      </c>
      <c r="H441" s="33" t="str">
        <f aca="false">IF($A441="","",'SC Change Orders'!$G423)</f>
        <v/>
      </c>
      <c r="I441" s="34" t="str">
        <f aca="false">IF($A441="","",IF(AND(ISNUMBER('SC Change Orders'!$C423),'SC Change Orders'!$C423&gt;=Controls!$C$5,'SC Change Orders'!$C423&lt;=Controls!$C$6),"Yes","No"))</f>
        <v/>
      </c>
      <c r="J441" s="31" t="str">
        <f aca="false">IF($A441="","",IF($K441="","OK",$K441))</f>
        <v/>
      </c>
      <c r="K441" s="0" t="str">
        <f aca="false">IF($A441="","",IF(NOT(ISNUMBER('SC Change Orders'!$B423)),"PO not numeric — row is invisible to the tracker; ","")&amp;IF(NOT(ISNUMBER('SC Change Orders'!$C423)),"Date missing or text — row excluded; ",  IF(OR('SC Change Orders'!$C423&lt;Controls!$C$5,'SC Change Orders'!$C423&gt;Controls!$C$6),"Dated outside the FY window — excluded; ",""))&amp;IF(AND('SC Change Orders'!$E423&lt;&gt;"",NOT(ISNUMBER('SC Change Orders'!$E423))),"Original Amount held as text — ignored by MINIFS; ","")&amp;IF(AND('SC Change Orders'!$F423&lt;&gt;"",NOT(ISNUMBER('SC Change Orders'!$F423))),"Amount Added held as text — ignored by SUMIFS; ","")&amp;IF(ISNUMBER('SC Change Orders'!$E423),IF(ISNUMBER('SC Change Orders'!$F423),IF(ISNUMBER('SC Change Orders'!$G423),  IF('SC Change Orders'!$G423&gt;0,IF(ROUND('SC Change Orders'!$E423+'SC Change Orders'!$F423,2)&lt;&gt;ROUND('SC Change Orders'!$G423,2),  "Original + Added &lt;&gt; Total Line Cost Allotted; ",""),""),""),""),"")&amp;IF(AND(ISNUMBER('SC Change Orders'!$B423),COUNTIFS('SC Change Orders'!$B$2:$B$501,'SC Change Orders'!$B423,'SC Change Orders'!$C$2:$C$501,'SC Change Orders'!$C423,'SC Change Orders'!$D$2:$D$501,'SC Change Orders'!$D423,'SC Change Orders'!$F$2:$F$501,'SC Change Orders'!$F423,'SC Change Orders'!$E$2:$E$501,'SC Change Orders'!$E423)&gt;1),"Duplicate of another row — funds counted twice; ","")&amp;IF(ISNUMBER('SC Change Orders'!$F423),IF('SC Change Orders'!$F423&lt;&gt;0,IF(AND(ISNUMBER('SC Change Orders'!$B423),NOT(COUNTIFS('SC Change Orders'!$B$2:$B$501,'SC Change Orders'!$B423,'SC Change Orders'!$C$2:$C$501,'SC Change Orders'!$C423,'SC Change Orders'!$D$2:$D$501,'SC Change Orders'!$D423,'SC Change Orders'!$F$2:$F$501,'SC Change Orders'!$F423,'SC Change Orders'!$E$2:$E$501,'SC Change Orders'!$E423)&gt;1),COUNTIFS('SC Change Orders'!$B$2:$B$501,'SC Change Orders'!$B423,'SC Change Orders'!$F$2:$F$501,'SC Change Orders'!$F423)&gt;1),  "Same PO and Amount Added as another row — check for a restatement counted twice; ",""),""),""))</f>
        <v/>
      </c>
    </row>
    <row r="442" customFormat="false" ht="15" hidden="false" customHeight="false" outlineLevel="0" collapsed="false">
      <c r="A442" s="18" t="str">
        <f aca="false">IF(AND('SC Change Orders'!$A424="",'SC Change Orders'!$B424="",'SC Change Orders'!$C424=""),"",424)</f>
        <v/>
      </c>
      <c r="B442" s="31" t="str">
        <f aca="false">IF($A442="","",'SC Change Orders'!$A424)</f>
        <v/>
      </c>
      <c r="C442" s="18" t="str">
        <f aca="false">IF($A442="","",'SC Change Orders'!$B424)</f>
        <v/>
      </c>
      <c r="D442" s="32" t="str">
        <f aca="false">IF($A442="","",'SC Change Orders'!$C424)</f>
        <v/>
      </c>
      <c r="E442" s="31" t="str">
        <f aca="false">IF($A442="","",'SC Change Orders'!$D424)</f>
        <v/>
      </c>
      <c r="F442" s="33" t="str">
        <f aca="false">IF($A442="","",'SC Change Orders'!$E424)</f>
        <v/>
      </c>
      <c r="G442" s="33" t="str">
        <f aca="false">IF($A442="","",'SC Change Orders'!$F424)</f>
        <v/>
      </c>
      <c r="H442" s="33" t="str">
        <f aca="false">IF($A442="","",'SC Change Orders'!$G424)</f>
        <v/>
      </c>
      <c r="I442" s="34" t="str">
        <f aca="false">IF($A442="","",IF(AND(ISNUMBER('SC Change Orders'!$C424),'SC Change Orders'!$C424&gt;=Controls!$C$5,'SC Change Orders'!$C424&lt;=Controls!$C$6),"Yes","No"))</f>
        <v/>
      </c>
      <c r="J442" s="31" t="str">
        <f aca="false">IF($A442="","",IF($K442="","OK",$K442))</f>
        <v/>
      </c>
      <c r="K442" s="0" t="str">
        <f aca="false">IF($A442="","",IF(NOT(ISNUMBER('SC Change Orders'!$B424)),"PO not numeric — row is invisible to the tracker; ","")&amp;IF(NOT(ISNUMBER('SC Change Orders'!$C424)),"Date missing or text — row excluded; ",  IF(OR('SC Change Orders'!$C424&lt;Controls!$C$5,'SC Change Orders'!$C424&gt;Controls!$C$6),"Dated outside the FY window — excluded; ",""))&amp;IF(AND('SC Change Orders'!$E424&lt;&gt;"",NOT(ISNUMBER('SC Change Orders'!$E424))),"Original Amount held as text — ignored by MINIFS; ","")&amp;IF(AND('SC Change Orders'!$F424&lt;&gt;"",NOT(ISNUMBER('SC Change Orders'!$F424))),"Amount Added held as text — ignored by SUMIFS; ","")&amp;IF(ISNUMBER('SC Change Orders'!$E424),IF(ISNUMBER('SC Change Orders'!$F424),IF(ISNUMBER('SC Change Orders'!$G424),  IF('SC Change Orders'!$G424&gt;0,IF(ROUND('SC Change Orders'!$E424+'SC Change Orders'!$F424,2)&lt;&gt;ROUND('SC Change Orders'!$G424,2),  "Original + Added &lt;&gt; Total Line Cost Allotted; ",""),""),""),""),"")&amp;IF(AND(ISNUMBER('SC Change Orders'!$B424),COUNTIFS('SC Change Orders'!$B$2:$B$501,'SC Change Orders'!$B424,'SC Change Orders'!$C$2:$C$501,'SC Change Orders'!$C424,'SC Change Orders'!$D$2:$D$501,'SC Change Orders'!$D424,'SC Change Orders'!$F$2:$F$501,'SC Change Orders'!$F424,'SC Change Orders'!$E$2:$E$501,'SC Change Orders'!$E424)&gt;1),"Duplicate of another row — funds counted twice; ","")&amp;IF(ISNUMBER('SC Change Orders'!$F424),IF('SC Change Orders'!$F424&lt;&gt;0,IF(AND(ISNUMBER('SC Change Orders'!$B424),NOT(COUNTIFS('SC Change Orders'!$B$2:$B$501,'SC Change Orders'!$B424,'SC Change Orders'!$C$2:$C$501,'SC Change Orders'!$C424,'SC Change Orders'!$D$2:$D$501,'SC Change Orders'!$D424,'SC Change Orders'!$F$2:$F$501,'SC Change Orders'!$F424,'SC Change Orders'!$E$2:$E$501,'SC Change Orders'!$E424)&gt;1),COUNTIFS('SC Change Orders'!$B$2:$B$501,'SC Change Orders'!$B424,'SC Change Orders'!$F$2:$F$501,'SC Change Orders'!$F424)&gt;1),  "Same PO and Amount Added as another row — check for a restatement counted twice; ",""),""),""))</f>
        <v/>
      </c>
    </row>
    <row r="443" customFormat="false" ht="15" hidden="false" customHeight="false" outlineLevel="0" collapsed="false">
      <c r="A443" s="18" t="str">
        <f aca="false">IF(AND('SC Change Orders'!$A425="",'SC Change Orders'!$B425="",'SC Change Orders'!$C425=""),"",425)</f>
        <v/>
      </c>
      <c r="B443" s="31" t="str">
        <f aca="false">IF($A443="","",'SC Change Orders'!$A425)</f>
        <v/>
      </c>
      <c r="C443" s="18" t="str">
        <f aca="false">IF($A443="","",'SC Change Orders'!$B425)</f>
        <v/>
      </c>
      <c r="D443" s="32" t="str">
        <f aca="false">IF($A443="","",'SC Change Orders'!$C425)</f>
        <v/>
      </c>
      <c r="E443" s="31" t="str">
        <f aca="false">IF($A443="","",'SC Change Orders'!$D425)</f>
        <v/>
      </c>
      <c r="F443" s="33" t="str">
        <f aca="false">IF($A443="","",'SC Change Orders'!$E425)</f>
        <v/>
      </c>
      <c r="G443" s="33" t="str">
        <f aca="false">IF($A443="","",'SC Change Orders'!$F425)</f>
        <v/>
      </c>
      <c r="H443" s="33" t="str">
        <f aca="false">IF($A443="","",'SC Change Orders'!$G425)</f>
        <v/>
      </c>
      <c r="I443" s="34" t="str">
        <f aca="false">IF($A443="","",IF(AND(ISNUMBER('SC Change Orders'!$C425),'SC Change Orders'!$C425&gt;=Controls!$C$5,'SC Change Orders'!$C425&lt;=Controls!$C$6),"Yes","No"))</f>
        <v/>
      </c>
      <c r="J443" s="31" t="str">
        <f aca="false">IF($A443="","",IF($K443="","OK",$K443))</f>
        <v/>
      </c>
      <c r="K443" s="0" t="str">
        <f aca="false">IF($A443="","",IF(NOT(ISNUMBER('SC Change Orders'!$B425)),"PO not numeric — row is invisible to the tracker; ","")&amp;IF(NOT(ISNUMBER('SC Change Orders'!$C425)),"Date missing or text — row excluded; ",  IF(OR('SC Change Orders'!$C425&lt;Controls!$C$5,'SC Change Orders'!$C425&gt;Controls!$C$6),"Dated outside the FY window — excluded; ",""))&amp;IF(AND('SC Change Orders'!$E425&lt;&gt;"",NOT(ISNUMBER('SC Change Orders'!$E425))),"Original Amount held as text — ignored by MINIFS; ","")&amp;IF(AND('SC Change Orders'!$F425&lt;&gt;"",NOT(ISNUMBER('SC Change Orders'!$F425))),"Amount Added held as text — ignored by SUMIFS; ","")&amp;IF(ISNUMBER('SC Change Orders'!$E425),IF(ISNUMBER('SC Change Orders'!$F425),IF(ISNUMBER('SC Change Orders'!$G425),  IF('SC Change Orders'!$G425&gt;0,IF(ROUND('SC Change Orders'!$E425+'SC Change Orders'!$F425,2)&lt;&gt;ROUND('SC Change Orders'!$G425,2),  "Original + Added &lt;&gt; Total Line Cost Allotted; ",""),""),""),""),"")&amp;IF(AND(ISNUMBER('SC Change Orders'!$B425),COUNTIFS('SC Change Orders'!$B$2:$B$501,'SC Change Orders'!$B425,'SC Change Orders'!$C$2:$C$501,'SC Change Orders'!$C425,'SC Change Orders'!$D$2:$D$501,'SC Change Orders'!$D425,'SC Change Orders'!$F$2:$F$501,'SC Change Orders'!$F425,'SC Change Orders'!$E$2:$E$501,'SC Change Orders'!$E425)&gt;1),"Duplicate of another row — funds counted twice; ","")&amp;IF(ISNUMBER('SC Change Orders'!$F425),IF('SC Change Orders'!$F425&lt;&gt;0,IF(AND(ISNUMBER('SC Change Orders'!$B425),NOT(COUNTIFS('SC Change Orders'!$B$2:$B$501,'SC Change Orders'!$B425,'SC Change Orders'!$C$2:$C$501,'SC Change Orders'!$C425,'SC Change Orders'!$D$2:$D$501,'SC Change Orders'!$D425,'SC Change Orders'!$F$2:$F$501,'SC Change Orders'!$F425,'SC Change Orders'!$E$2:$E$501,'SC Change Orders'!$E425)&gt;1),COUNTIFS('SC Change Orders'!$B$2:$B$501,'SC Change Orders'!$B425,'SC Change Orders'!$F$2:$F$501,'SC Change Orders'!$F425)&gt;1),  "Same PO and Amount Added as another row — check for a restatement counted twice; ",""),""),""))</f>
        <v/>
      </c>
    </row>
    <row r="444" customFormat="false" ht="15" hidden="false" customHeight="false" outlineLevel="0" collapsed="false">
      <c r="A444" s="18" t="str">
        <f aca="false">IF(AND('SC Change Orders'!$A426="",'SC Change Orders'!$B426="",'SC Change Orders'!$C426=""),"",426)</f>
        <v/>
      </c>
      <c r="B444" s="31" t="str">
        <f aca="false">IF($A444="","",'SC Change Orders'!$A426)</f>
        <v/>
      </c>
      <c r="C444" s="18" t="str">
        <f aca="false">IF($A444="","",'SC Change Orders'!$B426)</f>
        <v/>
      </c>
      <c r="D444" s="32" t="str">
        <f aca="false">IF($A444="","",'SC Change Orders'!$C426)</f>
        <v/>
      </c>
      <c r="E444" s="31" t="str">
        <f aca="false">IF($A444="","",'SC Change Orders'!$D426)</f>
        <v/>
      </c>
      <c r="F444" s="33" t="str">
        <f aca="false">IF($A444="","",'SC Change Orders'!$E426)</f>
        <v/>
      </c>
      <c r="G444" s="33" t="str">
        <f aca="false">IF($A444="","",'SC Change Orders'!$F426)</f>
        <v/>
      </c>
      <c r="H444" s="33" t="str">
        <f aca="false">IF($A444="","",'SC Change Orders'!$G426)</f>
        <v/>
      </c>
      <c r="I444" s="34" t="str">
        <f aca="false">IF($A444="","",IF(AND(ISNUMBER('SC Change Orders'!$C426),'SC Change Orders'!$C426&gt;=Controls!$C$5,'SC Change Orders'!$C426&lt;=Controls!$C$6),"Yes","No"))</f>
        <v/>
      </c>
      <c r="J444" s="31" t="str">
        <f aca="false">IF($A444="","",IF($K444="","OK",$K444))</f>
        <v/>
      </c>
      <c r="K444" s="0" t="str">
        <f aca="false">IF($A444="","",IF(NOT(ISNUMBER('SC Change Orders'!$B426)),"PO not numeric — row is invisible to the tracker; ","")&amp;IF(NOT(ISNUMBER('SC Change Orders'!$C426)),"Date missing or text — row excluded; ",  IF(OR('SC Change Orders'!$C426&lt;Controls!$C$5,'SC Change Orders'!$C426&gt;Controls!$C$6),"Dated outside the FY window — excluded; ",""))&amp;IF(AND('SC Change Orders'!$E426&lt;&gt;"",NOT(ISNUMBER('SC Change Orders'!$E426))),"Original Amount held as text — ignored by MINIFS; ","")&amp;IF(AND('SC Change Orders'!$F426&lt;&gt;"",NOT(ISNUMBER('SC Change Orders'!$F426))),"Amount Added held as text — ignored by SUMIFS; ","")&amp;IF(ISNUMBER('SC Change Orders'!$E426),IF(ISNUMBER('SC Change Orders'!$F426),IF(ISNUMBER('SC Change Orders'!$G426),  IF('SC Change Orders'!$G426&gt;0,IF(ROUND('SC Change Orders'!$E426+'SC Change Orders'!$F426,2)&lt;&gt;ROUND('SC Change Orders'!$G426,2),  "Original + Added &lt;&gt; Total Line Cost Allotted; ",""),""),""),""),"")&amp;IF(AND(ISNUMBER('SC Change Orders'!$B426),COUNTIFS('SC Change Orders'!$B$2:$B$501,'SC Change Orders'!$B426,'SC Change Orders'!$C$2:$C$501,'SC Change Orders'!$C426,'SC Change Orders'!$D$2:$D$501,'SC Change Orders'!$D426,'SC Change Orders'!$F$2:$F$501,'SC Change Orders'!$F426,'SC Change Orders'!$E$2:$E$501,'SC Change Orders'!$E426)&gt;1),"Duplicate of another row — funds counted twice; ","")&amp;IF(ISNUMBER('SC Change Orders'!$F426),IF('SC Change Orders'!$F426&lt;&gt;0,IF(AND(ISNUMBER('SC Change Orders'!$B426),NOT(COUNTIFS('SC Change Orders'!$B$2:$B$501,'SC Change Orders'!$B426,'SC Change Orders'!$C$2:$C$501,'SC Change Orders'!$C426,'SC Change Orders'!$D$2:$D$501,'SC Change Orders'!$D426,'SC Change Orders'!$F$2:$F$501,'SC Change Orders'!$F426,'SC Change Orders'!$E$2:$E$501,'SC Change Orders'!$E426)&gt;1),COUNTIFS('SC Change Orders'!$B$2:$B$501,'SC Change Orders'!$B426,'SC Change Orders'!$F$2:$F$501,'SC Change Orders'!$F426)&gt;1),  "Same PO and Amount Added as another row — check for a restatement counted twice; ",""),""),""))</f>
        <v/>
      </c>
    </row>
    <row r="445" customFormat="false" ht="15" hidden="false" customHeight="false" outlineLevel="0" collapsed="false">
      <c r="A445" s="18" t="str">
        <f aca="false">IF(AND('SC Change Orders'!$A427="",'SC Change Orders'!$B427="",'SC Change Orders'!$C427=""),"",427)</f>
        <v/>
      </c>
      <c r="B445" s="31" t="str">
        <f aca="false">IF($A445="","",'SC Change Orders'!$A427)</f>
        <v/>
      </c>
      <c r="C445" s="18" t="str">
        <f aca="false">IF($A445="","",'SC Change Orders'!$B427)</f>
        <v/>
      </c>
      <c r="D445" s="32" t="str">
        <f aca="false">IF($A445="","",'SC Change Orders'!$C427)</f>
        <v/>
      </c>
      <c r="E445" s="31" t="str">
        <f aca="false">IF($A445="","",'SC Change Orders'!$D427)</f>
        <v/>
      </c>
      <c r="F445" s="33" t="str">
        <f aca="false">IF($A445="","",'SC Change Orders'!$E427)</f>
        <v/>
      </c>
      <c r="G445" s="33" t="str">
        <f aca="false">IF($A445="","",'SC Change Orders'!$F427)</f>
        <v/>
      </c>
      <c r="H445" s="33" t="str">
        <f aca="false">IF($A445="","",'SC Change Orders'!$G427)</f>
        <v/>
      </c>
      <c r="I445" s="34" t="str">
        <f aca="false">IF($A445="","",IF(AND(ISNUMBER('SC Change Orders'!$C427),'SC Change Orders'!$C427&gt;=Controls!$C$5,'SC Change Orders'!$C427&lt;=Controls!$C$6),"Yes","No"))</f>
        <v/>
      </c>
      <c r="J445" s="31" t="str">
        <f aca="false">IF($A445="","",IF($K445="","OK",$K445))</f>
        <v/>
      </c>
      <c r="K445" s="0" t="str">
        <f aca="false">IF($A445="","",IF(NOT(ISNUMBER('SC Change Orders'!$B427)),"PO not numeric — row is invisible to the tracker; ","")&amp;IF(NOT(ISNUMBER('SC Change Orders'!$C427)),"Date missing or text — row excluded; ",  IF(OR('SC Change Orders'!$C427&lt;Controls!$C$5,'SC Change Orders'!$C427&gt;Controls!$C$6),"Dated outside the FY window — excluded; ",""))&amp;IF(AND('SC Change Orders'!$E427&lt;&gt;"",NOT(ISNUMBER('SC Change Orders'!$E427))),"Original Amount held as text — ignored by MINIFS; ","")&amp;IF(AND('SC Change Orders'!$F427&lt;&gt;"",NOT(ISNUMBER('SC Change Orders'!$F427))),"Amount Added held as text — ignored by SUMIFS; ","")&amp;IF(ISNUMBER('SC Change Orders'!$E427),IF(ISNUMBER('SC Change Orders'!$F427),IF(ISNUMBER('SC Change Orders'!$G427),  IF('SC Change Orders'!$G427&gt;0,IF(ROUND('SC Change Orders'!$E427+'SC Change Orders'!$F427,2)&lt;&gt;ROUND('SC Change Orders'!$G427,2),  "Original + Added &lt;&gt; Total Line Cost Allotted; ",""),""),""),""),"")&amp;IF(AND(ISNUMBER('SC Change Orders'!$B427),COUNTIFS('SC Change Orders'!$B$2:$B$501,'SC Change Orders'!$B427,'SC Change Orders'!$C$2:$C$501,'SC Change Orders'!$C427,'SC Change Orders'!$D$2:$D$501,'SC Change Orders'!$D427,'SC Change Orders'!$F$2:$F$501,'SC Change Orders'!$F427,'SC Change Orders'!$E$2:$E$501,'SC Change Orders'!$E427)&gt;1),"Duplicate of another row — funds counted twice; ","")&amp;IF(ISNUMBER('SC Change Orders'!$F427),IF('SC Change Orders'!$F427&lt;&gt;0,IF(AND(ISNUMBER('SC Change Orders'!$B427),NOT(COUNTIFS('SC Change Orders'!$B$2:$B$501,'SC Change Orders'!$B427,'SC Change Orders'!$C$2:$C$501,'SC Change Orders'!$C427,'SC Change Orders'!$D$2:$D$501,'SC Change Orders'!$D427,'SC Change Orders'!$F$2:$F$501,'SC Change Orders'!$F427,'SC Change Orders'!$E$2:$E$501,'SC Change Orders'!$E427)&gt;1),COUNTIFS('SC Change Orders'!$B$2:$B$501,'SC Change Orders'!$B427,'SC Change Orders'!$F$2:$F$501,'SC Change Orders'!$F427)&gt;1),  "Same PO and Amount Added as another row — check for a restatement counted twice; ",""),""),""))</f>
        <v/>
      </c>
    </row>
    <row r="446" customFormat="false" ht="15" hidden="false" customHeight="false" outlineLevel="0" collapsed="false">
      <c r="A446" s="18" t="str">
        <f aca="false">IF(AND('SC Change Orders'!$A428="",'SC Change Orders'!$B428="",'SC Change Orders'!$C428=""),"",428)</f>
        <v/>
      </c>
      <c r="B446" s="31" t="str">
        <f aca="false">IF($A446="","",'SC Change Orders'!$A428)</f>
        <v/>
      </c>
      <c r="C446" s="18" t="str">
        <f aca="false">IF($A446="","",'SC Change Orders'!$B428)</f>
        <v/>
      </c>
      <c r="D446" s="32" t="str">
        <f aca="false">IF($A446="","",'SC Change Orders'!$C428)</f>
        <v/>
      </c>
      <c r="E446" s="31" t="str">
        <f aca="false">IF($A446="","",'SC Change Orders'!$D428)</f>
        <v/>
      </c>
      <c r="F446" s="33" t="str">
        <f aca="false">IF($A446="","",'SC Change Orders'!$E428)</f>
        <v/>
      </c>
      <c r="G446" s="33" t="str">
        <f aca="false">IF($A446="","",'SC Change Orders'!$F428)</f>
        <v/>
      </c>
      <c r="H446" s="33" t="str">
        <f aca="false">IF($A446="","",'SC Change Orders'!$G428)</f>
        <v/>
      </c>
      <c r="I446" s="34" t="str">
        <f aca="false">IF($A446="","",IF(AND(ISNUMBER('SC Change Orders'!$C428),'SC Change Orders'!$C428&gt;=Controls!$C$5,'SC Change Orders'!$C428&lt;=Controls!$C$6),"Yes","No"))</f>
        <v/>
      </c>
      <c r="J446" s="31" t="str">
        <f aca="false">IF($A446="","",IF($K446="","OK",$K446))</f>
        <v/>
      </c>
      <c r="K446" s="0" t="str">
        <f aca="false">IF($A446="","",IF(NOT(ISNUMBER('SC Change Orders'!$B428)),"PO not numeric — row is invisible to the tracker; ","")&amp;IF(NOT(ISNUMBER('SC Change Orders'!$C428)),"Date missing or text — row excluded; ",  IF(OR('SC Change Orders'!$C428&lt;Controls!$C$5,'SC Change Orders'!$C428&gt;Controls!$C$6),"Dated outside the FY window — excluded; ",""))&amp;IF(AND('SC Change Orders'!$E428&lt;&gt;"",NOT(ISNUMBER('SC Change Orders'!$E428))),"Original Amount held as text — ignored by MINIFS; ","")&amp;IF(AND('SC Change Orders'!$F428&lt;&gt;"",NOT(ISNUMBER('SC Change Orders'!$F428))),"Amount Added held as text — ignored by SUMIFS; ","")&amp;IF(ISNUMBER('SC Change Orders'!$E428),IF(ISNUMBER('SC Change Orders'!$F428),IF(ISNUMBER('SC Change Orders'!$G428),  IF('SC Change Orders'!$G428&gt;0,IF(ROUND('SC Change Orders'!$E428+'SC Change Orders'!$F428,2)&lt;&gt;ROUND('SC Change Orders'!$G428,2),  "Original + Added &lt;&gt; Total Line Cost Allotted; ",""),""),""),""),"")&amp;IF(AND(ISNUMBER('SC Change Orders'!$B428),COUNTIFS('SC Change Orders'!$B$2:$B$501,'SC Change Orders'!$B428,'SC Change Orders'!$C$2:$C$501,'SC Change Orders'!$C428,'SC Change Orders'!$D$2:$D$501,'SC Change Orders'!$D428,'SC Change Orders'!$F$2:$F$501,'SC Change Orders'!$F428,'SC Change Orders'!$E$2:$E$501,'SC Change Orders'!$E428)&gt;1),"Duplicate of another row — funds counted twice; ","")&amp;IF(ISNUMBER('SC Change Orders'!$F428),IF('SC Change Orders'!$F428&lt;&gt;0,IF(AND(ISNUMBER('SC Change Orders'!$B428),NOT(COUNTIFS('SC Change Orders'!$B$2:$B$501,'SC Change Orders'!$B428,'SC Change Orders'!$C$2:$C$501,'SC Change Orders'!$C428,'SC Change Orders'!$D$2:$D$501,'SC Change Orders'!$D428,'SC Change Orders'!$F$2:$F$501,'SC Change Orders'!$F428,'SC Change Orders'!$E$2:$E$501,'SC Change Orders'!$E428)&gt;1),COUNTIFS('SC Change Orders'!$B$2:$B$501,'SC Change Orders'!$B428,'SC Change Orders'!$F$2:$F$501,'SC Change Orders'!$F428)&gt;1),  "Same PO and Amount Added as another row — check for a restatement counted twice; ",""),""),""))</f>
        <v/>
      </c>
    </row>
    <row r="447" customFormat="false" ht="15" hidden="false" customHeight="false" outlineLevel="0" collapsed="false">
      <c r="A447" s="18" t="str">
        <f aca="false">IF(AND('SC Change Orders'!$A429="",'SC Change Orders'!$B429="",'SC Change Orders'!$C429=""),"",429)</f>
        <v/>
      </c>
      <c r="B447" s="31" t="str">
        <f aca="false">IF($A447="","",'SC Change Orders'!$A429)</f>
        <v/>
      </c>
      <c r="C447" s="18" t="str">
        <f aca="false">IF($A447="","",'SC Change Orders'!$B429)</f>
        <v/>
      </c>
      <c r="D447" s="32" t="str">
        <f aca="false">IF($A447="","",'SC Change Orders'!$C429)</f>
        <v/>
      </c>
      <c r="E447" s="31" t="str">
        <f aca="false">IF($A447="","",'SC Change Orders'!$D429)</f>
        <v/>
      </c>
      <c r="F447" s="33" t="str">
        <f aca="false">IF($A447="","",'SC Change Orders'!$E429)</f>
        <v/>
      </c>
      <c r="G447" s="33" t="str">
        <f aca="false">IF($A447="","",'SC Change Orders'!$F429)</f>
        <v/>
      </c>
      <c r="H447" s="33" t="str">
        <f aca="false">IF($A447="","",'SC Change Orders'!$G429)</f>
        <v/>
      </c>
      <c r="I447" s="34" t="str">
        <f aca="false">IF($A447="","",IF(AND(ISNUMBER('SC Change Orders'!$C429),'SC Change Orders'!$C429&gt;=Controls!$C$5,'SC Change Orders'!$C429&lt;=Controls!$C$6),"Yes","No"))</f>
        <v/>
      </c>
      <c r="J447" s="31" t="str">
        <f aca="false">IF($A447="","",IF($K447="","OK",$K447))</f>
        <v/>
      </c>
      <c r="K447" s="0" t="str">
        <f aca="false">IF($A447="","",IF(NOT(ISNUMBER('SC Change Orders'!$B429)),"PO not numeric — row is invisible to the tracker; ","")&amp;IF(NOT(ISNUMBER('SC Change Orders'!$C429)),"Date missing or text — row excluded; ",  IF(OR('SC Change Orders'!$C429&lt;Controls!$C$5,'SC Change Orders'!$C429&gt;Controls!$C$6),"Dated outside the FY window — excluded; ",""))&amp;IF(AND('SC Change Orders'!$E429&lt;&gt;"",NOT(ISNUMBER('SC Change Orders'!$E429))),"Original Amount held as text — ignored by MINIFS; ","")&amp;IF(AND('SC Change Orders'!$F429&lt;&gt;"",NOT(ISNUMBER('SC Change Orders'!$F429))),"Amount Added held as text — ignored by SUMIFS; ","")&amp;IF(ISNUMBER('SC Change Orders'!$E429),IF(ISNUMBER('SC Change Orders'!$F429),IF(ISNUMBER('SC Change Orders'!$G429),  IF('SC Change Orders'!$G429&gt;0,IF(ROUND('SC Change Orders'!$E429+'SC Change Orders'!$F429,2)&lt;&gt;ROUND('SC Change Orders'!$G429,2),  "Original + Added &lt;&gt; Total Line Cost Allotted; ",""),""),""),""),"")&amp;IF(AND(ISNUMBER('SC Change Orders'!$B429),COUNTIFS('SC Change Orders'!$B$2:$B$501,'SC Change Orders'!$B429,'SC Change Orders'!$C$2:$C$501,'SC Change Orders'!$C429,'SC Change Orders'!$D$2:$D$501,'SC Change Orders'!$D429,'SC Change Orders'!$F$2:$F$501,'SC Change Orders'!$F429,'SC Change Orders'!$E$2:$E$501,'SC Change Orders'!$E429)&gt;1),"Duplicate of another row — funds counted twice; ","")&amp;IF(ISNUMBER('SC Change Orders'!$F429),IF('SC Change Orders'!$F429&lt;&gt;0,IF(AND(ISNUMBER('SC Change Orders'!$B429),NOT(COUNTIFS('SC Change Orders'!$B$2:$B$501,'SC Change Orders'!$B429,'SC Change Orders'!$C$2:$C$501,'SC Change Orders'!$C429,'SC Change Orders'!$D$2:$D$501,'SC Change Orders'!$D429,'SC Change Orders'!$F$2:$F$501,'SC Change Orders'!$F429,'SC Change Orders'!$E$2:$E$501,'SC Change Orders'!$E429)&gt;1),COUNTIFS('SC Change Orders'!$B$2:$B$501,'SC Change Orders'!$B429,'SC Change Orders'!$F$2:$F$501,'SC Change Orders'!$F429)&gt;1),  "Same PO and Amount Added as another row — check for a restatement counted twice; ",""),""),""))</f>
        <v/>
      </c>
    </row>
    <row r="448" customFormat="false" ht="15" hidden="false" customHeight="false" outlineLevel="0" collapsed="false">
      <c r="A448" s="18" t="str">
        <f aca="false">IF(AND('SC Change Orders'!$A430="",'SC Change Orders'!$B430="",'SC Change Orders'!$C430=""),"",430)</f>
        <v/>
      </c>
      <c r="B448" s="31" t="str">
        <f aca="false">IF($A448="","",'SC Change Orders'!$A430)</f>
        <v/>
      </c>
      <c r="C448" s="18" t="str">
        <f aca="false">IF($A448="","",'SC Change Orders'!$B430)</f>
        <v/>
      </c>
      <c r="D448" s="32" t="str">
        <f aca="false">IF($A448="","",'SC Change Orders'!$C430)</f>
        <v/>
      </c>
      <c r="E448" s="31" t="str">
        <f aca="false">IF($A448="","",'SC Change Orders'!$D430)</f>
        <v/>
      </c>
      <c r="F448" s="33" t="str">
        <f aca="false">IF($A448="","",'SC Change Orders'!$E430)</f>
        <v/>
      </c>
      <c r="G448" s="33" t="str">
        <f aca="false">IF($A448="","",'SC Change Orders'!$F430)</f>
        <v/>
      </c>
      <c r="H448" s="33" t="str">
        <f aca="false">IF($A448="","",'SC Change Orders'!$G430)</f>
        <v/>
      </c>
      <c r="I448" s="34" t="str">
        <f aca="false">IF($A448="","",IF(AND(ISNUMBER('SC Change Orders'!$C430),'SC Change Orders'!$C430&gt;=Controls!$C$5,'SC Change Orders'!$C430&lt;=Controls!$C$6),"Yes","No"))</f>
        <v/>
      </c>
      <c r="J448" s="31" t="str">
        <f aca="false">IF($A448="","",IF($K448="","OK",$K448))</f>
        <v/>
      </c>
      <c r="K448" s="0" t="str">
        <f aca="false">IF($A448="","",IF(NOT(ISNUMBER('SC Change Orders'!$B430)),"PO not numeric — row is invisible to the tracker; ","")&amp;IF(NOT(ISNUMBER('SC Change Orders'!$C430)),"Date missing or text — row excluded; ",  IF(OR('SC Change Orders'!$C430&lt;Controls!$C$5,'SC Change Orders'!$C430&gt;Controls!$C$6),"Dated outside the FY window — excluded; ",""))&amp;IF(AND('SC Change Orders'!$E430&lt;&gt;"",NOT(ISNUMBER('SC Change Orders'!$E430))),"Original Amount held as text — ignored by MINIFS; ","")&amp;IF(AND('SC Change Orders'!$F430&lt;&gt;"",NOT(ISNUMBER('SC Change Orders'!$F430))),"Amount Added held as text — ignored by SUMIFS; ","")&amp;IF(ISNUMBER('SC Change Orders'!$E430),IF(ISNUMBER('SC Change Orders'!$F430),IF(ISNUMBER('SC Change Orders'!$G430),  IF('SC Change Orders'!$G430&gt;0,IF(ROUND('SC Change Orders'!$E430+'SC Change Orders'!$F430,2)&lt;&gt;ROUND('SC Change Orders'!$G430,2),  "Original + Added &lt;&gt; Total Line Cost Allotted; ",""),""),""),""),"")&amp;IF(AND(ISNUMBER('SC Change Orders'!$B430),COUNTIFS('SC Change Orders'!$B$2:$B$501,'SC Change Orders'!$B430,'SC Change Orders'!$C$2:$C$501,'SC Change Orders'!$C430,'SC Change Orders'!$D$2:$D$501,'SC Change Orders'!$D430,'SC Change Orders'!$F$2:$F$501,'SC Change Orders'!$F430,'SC Change Orders'!$E$2:$E$501,'SC Change Orders'!$E430)&gt;1),"Duplicate of another row — funds counted twice; ","")&amp;IF(ISNUMBER('SC Change Orders'!$F430),IF('SC Change Orders'!$F430&lt;&gt;0,IF(AND(ISNUMBER('SC Change Orders'!$B430),NOT(COUNTIFS('SC Change Orders'!$B$2:$B$501,'SC Change Orders'!$B430,'SC Change Orders'!$C$2:$C$501,'SC Change Orders'!$C430,'SC Change Orders'!$D$2:$D$501,'SC Change Orders'!$D430,'SC Change Orders'!$F$2:$F$501,'SC Change Orders'!$F430,'SC Change Orders'!$E$2:$E$501,'SC Change Orders'!$E430)&gt;1),COUNTIFS('SC Change Orders'!$B$2:$B$501,'SC Change Orders'!$B430,'SC Change Orders'!$F$2:$F$501,'SC Change Orders'!$F430)&gt;1),  "Same PO and Amount Added as another row — check for a restatement counted twice; ",""),""),""))</f>
        <v/>
      </c>
    </row>
    <row r="449" customFormat="false" ht="15" hidden="false" customHeight="false" outlineLevel="0" collapsed="false">
      <c r="A449" s="18" t="str">
        <f aca="false">IF(AND('SC Change Orders'!$A431="",'SC Change Orders'!$B431="",'SC Change Orders'!$C431=""),"",431)</f>
        <v/>
      </c>
      <c r="B449" s="31" t="str">
        <f aca="false">IF($A449="","",'SC Change Orders'!$A431)</f>
        <v/>
      </c>
      <c r="C449" s="18" t="str">
        <f aca="false">IF($A449="","",'SC Change Orders'!$B431)</f>
        <v/>
      </c>
      <c r="D449" s="32" t="str">
        <f aca="false">IF($A449="","",'SC Change Orders'!$C431)</f>
        <v/>
      </c>
      <c r="E449" s="31" t="str">
        <f aca="false">IF($A449="","",'SC Change Orders'!$D431)</f>
        <v/>
      </c>
      <c r="F449" s="33" t="str">
        <f aca="false">IF($A449="","",'SC Change Orders'!$E431)</f>
        <v/>
      </c>
      <c r="G449" s="33" t="str">
        <f aca="false">IF($A449="","",'SC Change Orders'!$F431)</f>
        <v/>
      </c>
      <c r="H449" s="33" t="str">
        <f aca="false">IF($A449="","",'SC Change Orders'!$G431)</f>
        <v/>
      </c>
      <c r="I449" s="34" t="str">
        <f aca="false">IF($A449="","",IF(AND(ISNUMBER('SC Change Orders'!$C431),'SC Change Orders'!$C431&gt;=Controls!$C$5,'SC Change Orders'!$C431&lt;=Controls!$C$6),"Yes","No"))</f>
        <v/>
      </c>
      <c r="J449" s="31" t="str">
        <f aca="false">IF($A449="","",IF($K449="","OK",$K449))</f>
        <v/>
      </c>
      <c r="K449" s="0" t="str">
        <f aca="false">IF($A449="","",IF(NOT(ISNUMBER('SC Change Orders'!$B431)),"PO not numeric — row is invisible to the tracker; ","")&amp;IF(NOT(ISNUMBER('SC Change Orders'!$C431)),"Date missing or text — row excluded; ",  IF(OR('SC Change Orders'!$C431&lt;Controls!$C$5,'SC Change Orders'!$C431&gt;Controls!$C$6),"Dated outside the FY window — excluded; ",""))&amp;IF(AND('SC Change Orders'!$E431&lt;&gt;"",NOT(ISNUMBER('SC Change Orders'!$E431))),"Original Amount held as text — ignored by MINIFS; ","")&amp;IF(AND('SC Change Orders'!$F431&lt;&gt;"",NOT(ISNUMBER('SC Change Orders'!$F431))),"Amount Added held as text — ignored by SUMIFS; ","")&amp;IF(ISNUMBER('SC Change Orders'!$E431),IF(ISNUMBER('SC Change Orders'!$F431),IF(ISNUMBER('SC Change Orders'!$G431),  IF('SC Change Orders'!$G431&gt;0,IF(ROUND('SC Change Orders'!$E431+'SC Change Orders'!$F431,2)&lt;&gt;ROUND('SC Change Orders'!$G431,2),  "Original + Added &lt;&gt; Total Line Cost Allotted; ",""),""),""),""),"")&amp;IF(AND(ISNUMBER('SC Change Orders'!$B431),COUNTIFS('SC Change Orders'!$B$2:$B$501,'SC Change Orders'!$B431,'SC Change Orders'!$C$2:$C$501,'SC Change Orders'!$C431,'SC Change Orders'!$D$2:$D$501,'SC Change Orders'!$D431,'SC Change Orders'!$F$2:$F$501,'SC Change Orders'!$F431,'SC Change Orders'!$E$2:$E$501,'SC Change Orders'!$E431)&gt;1),"Duplicate of another row — funds counted twice; ","")&amp;IF(ISNUMBER('SC Change Orders'!$F431),IF('SC Change Orders'!$F431&lt;&gt;0,IF(AND(ISNUMBER('SC Change Orders'!$B431),NOT(COUNTIFS('SC Change Orders'!$B$2:$B$501,'SC Change Orders'!$B431,'SC Change Orders'!$C$2:$C$501,'SC Change Orders'!$C431,'SC Change Orders'!$D$2:$D$501,'SC Change Orders'!$D431,'SC Change Orders'!$F$2:$F$501,'SC Change Orders'!$F431,'SC Change Orders'!$E$2:$E$501,'SC Change Orders'!$E431)&gt;1),COUNTIFS('SC Change Orders'!$B$2:$B$501,'SC Change Orders'!$B431,'SC Change Orders'!$F$2:$F$501,'SC Change Orders'!$F431)&gt;1),  "Same PO and Amount Added as another row — check for a restatement counted twice; ",""),""),""))</f>
        <v/>
      </c>
    </row>
    <row r="450" customFormat="false" ht="15" hidden="false" customHeight="false" outlineLevel="0" collapsed="false">
      <c r="A450" s="18" t="str">
        <f aca="false">IF(AND('SC Change Orders'!$A432="",'SC Change Orders'!$B432="",'SC Change Orders'!$C432=""),"",432)</f>
        <v/>
      </c>
      <c r="B450" s="31" t="str">
        <f aca="false">IF($A450="","",'SC Change Orders'!$A432)</f>
        <v/>
      </c>
      <c r="C450" s="18" t="str">
        <f aca="false">IF($A450="","",'SC Change Orders'!$B432)</f>
        <v/>
      </c>
      <c r="D450" s="32" t="str">
        <f aca="false">IF($A450="","",'SC Change Orders'!$C432)</f>
        <v/>
      </c>
      <c r="E450" s="31" t="str">
        <f aca="false">IF($A450="","",'SC Change Orders'!$D432)</f>
        <v/>
      </c>
      <c r="F450" s="33" t="str">
        <f aca="false">IF($A450="","",'SC Change Orders'!$E432)</f>
        <v/>
      </c>
      <c r="G450" s="33" t="str">
        <f aca="false">IF($A450="","",'SC Change Orders'!$F432)</f>
        <v/>
      </c>
      <c r="H450" s="33" t="str">
        <f aca="false">IF($A450="","",'SC Change Orders'!$G432)</f>
        <v/>
      </c>
      <c r="I450" s="34" t="str">
        <f aca="false">IF($A450="","",IF(AND(ISNUMBER('SC Change Orders'!$C432),'SC Change Orders'!$C432&gt;=Controls!$C$5,'SC Change Orders'!$C432&lt;=Controls!$C$6),"Yes","No"))</f>
        <v/>
      </c>
      <c r="J450" s="31" t="str">
        <f aca="false">IF($A450="","",IF($K450="","OK",$K450))</f>
        <v/>
      </c>
      <c r="K450" s="0" t="str">
        <f aca="false">IF($A450="","",IF(NOT(ISNUMBER('SC Change Orders'!$B432)),"PO not numeric — row is invisible to the tracker; ","")&amp;IF(NOT(ISNUMBER('SC Change Orders'!$C432)),"Date missing or text — row excluded; ",  IF(OR('SC Change Orders'!$C432&lt;Controls!$C$5,'SC Change Orders'!$C432&gt;Controls!$C$6),"Dated outside the FY window — excluded; ",""))&amp;IF(AND('SC Change Orders'!$E432&lt;&gt;"",NOT(ISNUMBER('SC Change Orders'!$E432))),"Original Amount held as text — ignored by MINIFS; ","")&amp;IF(AND('SC Change Orders'!$F432&lt;&gt;"",NOT(ISNUMBER('SC Change Orders'!$F432))),"Amount Added held as text — ignored by SUMIFS; ","")&amp;IF(ISNUMBER('SC Change Orders'!$E432),IF(ISNUMBER('SC Change Orders'!$F432),IF(ISNUMBER('SC Change Orders'!$G432),  IF('SC Change Orders'!$G432&gt;0,IF(ROUND('SC Change Orders'!$E432+'SC Change Orders'!$F432,2)&lt;&gt;ROUND('SC Change Orders'!$G432,2),  "Original + Added &lt;&gt; Total Line Cost Allotted; ",""),""),""),""),"")&amp;IF(AND(ISNUMBER('SC Change Orders'!$B432),COUNTIFS('SC Change Orders'!$B$2:$B$501,'SC Change Orders'!$B432,'SC Change Orders'!$C$2:$C$501,'SC Change Orders'!$C432,'SC Change Orders'!$D$2:$D$501,'SC Change Orders'!$D432,'SC Change Orders'!$F$2:$F$501,'SC Change Orders'!$F432,'SC Change Orders'!$E$2:$E$501,'SC Change Orders'!$E432)&gt;1),"Duplicate of another row — funds counted twice; ","")&amp;IF(ISNUMBER('SC Change Orders'!$F432),IF('SC Change Orders'!$F432&lt;&gt;0,IF(AND(ISNUMBER('SC Change Orders'!$B432),NOT(COUNTIFS('SC Change Orders'!$B$2:$B$501,'SC Change Orders'!$B432,'SC Change Orders'!$C$2:$C$501,'SC Change Orders'!$C432,'SC Change Orders'!$D$2:$D$501,'SC Change Orders'!$D432,'SC Change Orders'!$F$2:$F$501,'SC Change Orders'!$F432,'SC Change Orders'!$E$2:$E$501,'SC Change Orders'!$E432)&gt;1),COUNTIFS('SC Change Orders'!$B$2:$B$501,'SC Change Orders'!$B432,'SC Change Orders'!$F$2:$F$501,'SC Change Orders'!$F432)&gt;1),  "Same PO and Amount Added as another row — check for a restatement counted twice; ",""),""),""))</f>
        <v/>
      </c>
    </row>
    <row r="451" customFormat="false" ht="15" hidden="false" customHeight="false" outlineLevel="0" collapsed="false">
      <c r="A451" s="18" t="str">
        <f aca="false">IF(AND('SC Change Orders'!$A433="",'SC Change Orders'!$B433="",'SC Change Orders'!$C433=""),"",433)</f>
        <v/>
      </c>
      <c r="B451" s="31" t="str">
        <f aca="false">IF($A451="","",'SC Change Orders'!$A433)</f>
        <v/>
      </c>
      <c r="C451" s="18" t="str">
        <f aca="false">IF($A451="","",'SC Change Orders'!$B433)</f>
        <v/>
      </c>
      <c r="D451" s="32" t="str">
        <f aca="false">IF($A451="","",'SC Change Orders'!$C433)</f>
        <v/>
      </c>
      <c r="E451" s="31" t="str">
        <f aca="false">IF($A451="","",'SC Change Orders'!$D433)</f>
        <v/>
      </c>
      <c r="F451" s="33" t="str">
        <f aca="false">IF($A451="","",'SC Change Orders'!$E433)</f>
        <v/>
      </c>
      <c r="G451" s="33" t="str">
        <f aca="false">IF($A451="","",'SC Change Orders'!$F433)</f>
        <v/>
      </c>
      <c r="H451" s="33" t="str">
        <f aca="false">IF($A451="","",'SC Change Orders'!$G433)</f>
        <v/>
      </c>
      <c r="I451" s="34" t="str">
        <f aca="false">IF($A451="","",IF(AND(ISNUMBER('SC Change Orders'!$C433),'SC Change Orders'!$C433&gt;=Controls!$C$5,'SC Change Orders'!$C433&lt;=Controls!$C$6),"Yes","No"))</f>
        <v/>
      </c>
      <c r="J451" s="31" t="str">
        <f aca="false">IF($A451="","",IF($K451="","OK",$K451))</f>
        <v/>
      </c>
      <c r="K451" s="0" t="str">
        <f aca="false">IF($A451="","",IF(NOT(ISNUMBER('SC Change Orders'!$B433)),"PO not numeric — row is invisible to the tracker; ","")&amp;IF(NOT(ISNUMBER('SC Change Orders'!$C433)),"Date missing or text — row excluded; ",  IF(OR('SC Change Orders'!$C433&lt;Controls!$C$5,'SC Change Orders'!$C433&gt;Controls!$C$6),"Dated outside the FY window — excluded; ",""))&amp;IF(AND('SC Change Orders'!$E433&lt;&gt;"",NOT(ISNUMBER('SC Change Orders'!$E433))),"Original Amount held as text — ignored by MINIFS; ","")&amp;IF(AND('SC Change Orders'!$F433&lt;&gt;"",NOT(ISNUMBER('SC Change Orders'!$F433))),"Amount Added held as text — ignored by SUMIFS; ","")&amp;IF(ISNUMBER('SC Change Orders'!$E433),IF(ISNUMBER('SC Change Orders'!$F433),IF(ISNUMBER('SC Change Orders'!$G433),  IF('SC Change Orders'!$G433&gt;0,IF(ROUND('SC Change Orders'!$E433+'SC Change Orders'!$F433,2)&lt;&gt;ROUND('SC Change Orders'!$G433,2),  "Original + Added &lt;&gt; Total Line Cost Allotted; ",""),""),""),""),"")&amp;IF(AND(ISNUMBER('SC Change Orders'!$B433),COUNTIFS('SC Change Orders'!$B$2:$B$501,'SC Change Orders'!$B433,'SC Change Orders'!$C$2:$C$501,'SC Change Orders'!$C433,'SC Change Orders'!$D$2:$D$501,'SC Change Orders'!$D433,'SC Change Orders'!$F$2:$F$501,'SC Change Orders'!$F433,'SC Change Orders'!$E$2:$E$501,'SC Change Orders'!$E433)&gt;1),"Duplicate of another row — funds counted twice; ","")&amp;IF(ISNUMBER('SC Change Orders'!$F433),IF('SC Change Orders'!$F433&lt;&gt;0,IF(AND(ISNUMBER('SC Change Orders'!$B433),NOT(COUNTIFS('SC Change Orders'!$B$2:$B$501,'SC Change Orders'!$B433,'SC Change Orders'!$C$2:$C$501,'SC Change Orders'!$C433,'SC Change Orders'!$D$2:$D$501,'SC Change Orders'!$D433,'SC Change Orders'!$F$2:$F$501,'SC Change Orders'!$F433,'SC Change Orders'!$E$2:$E$501,'SC Change Orders'!$E433)&gt;1),COUNTIFS('SC Change Orders'!$B$2:$B$501,'SC Change Orders'!$B433,'SC Change Orders'!$F$2:$F$501,'SC Change Orders'!$F433)&gt;1),  "Same PO and Amount Added as another row — check for a restatement counted twice; ",""),""),""))</f>
        <v/>
      </c>
    </row>
    <row r="452" customFormat="false" ht="15" hidden="false" customHeight="false" outlineLevel="0" collapsed="false">
      <c r="A452" s="18" t="str">
        <f aca="false">IF(AND('SC Change Orders'!$A434="",'SC Change Orders'!$B434="",'SC Change Orders'!$C434=""),"",434)</f>
        <v/>
      </c>
      <c r="B452" s="31" t="str">
        <f aca="false">IF($A452="","",'SC Change Orders'!$A434)</f>
        <v/>
      </c>
      <c r="C452" s="18" t="str">
        <f aca="false">IF($A452="","",'SC Change Orders'!$B434)</f>
        <v/>
      </c>
      <c r="D452" s="32" t="str">
        <f aca="false">IF($A452="","",'SC Change Orders'!$C434)</f>
        <v/>
      </c>
      <c r="E452" s="31" t="str">
        <f aca="false">IF($A452="","",'SC Change Orders'!$D434)</f>
        <v/>
      </c>
      <c r="F452" s="33" t="str">
        <f aca="false">IF($A452="","",'SC Change Orders'!$E434)</f>
        <v/>
      </c>
      <c r="G452" s="33" t="str">
        <f aca="false">IF($A452="","",'SC Change Orders'!$F434)</f>
        <v/>
      </c>
      <c r="H452" s="33" t="str">
        <f aca="false">IF($A452="","",'SC Change Orders'!$G434)</f>
        <v/>
      </c>
      <c r="I452" s="34" t="str">
        <f aca="false">IF($A452="","",IF(AND(ISNUMBER('SC Change Orders'!$C434),'SC Change Orders'!$C434&gt;=Controls!$C$5,'SC Change Orders'!$C434&lt;=Controls!$C$6),"Yes","No"))</f>
        <v/>
      </c>
      <c r="J452" s="31" t="str">
        <f aca="false">IF($A452="","",IF($K452="","OK",$K452))</f>
        <v/>
      </c>
      <c r="K452" s="0" t="str">
        <f aca="false">IF($A452="","",IF(NOT(ISNUMBER('SC Change Orders'!$B434)),"PO not numeric — row is invisible to the tracker; ","")&amp;IF(NOT(ISNUMBER('SC Change Orders'!$C434)),"Date missing or text — row excluded; ",  IF(OR('SC Change Orders'!$C434&lt;Controls!$C$5,'SC Change Orders'!$C434&gt;Controls!$C$6),"Dated outside the FY window — excluded; ",""))&amp;IF(AND('SC Change Orders'!$E434&lt;&gt;"",NOT(ISNUMBER('SC Change Orders'!$E434))),"Original Amount held as text — ignored by MINIFS; ","")&amp;IF(AND('SC Change Orders'!$F434&lt;&gt;"",NOT(ISNUMBER('SC Change Orders'!$F434))),"Amount Added held as text — ignored by SUMIFS; ","")&amp;IF(ISNUMBER('SC Change Orders'!$E434),IF(ISNUMBER('SC Change Orders'!$F434),IF(ISNUMBER('SC Change Orders'!$G434),  IF('SC Change Orders'!$G434&gt;0,IF(ROUND('SC Change Orders'!$E434+'SC Change Orders'!$F434,2)&lt;&gt;ROUND('SC Change Orders'!$G434,2),  "Original + Added &lt;&gt; Total Line Cost Allotted; ",""),""),""),""),"")&amp;IF(AND(ISNUMBER('SC Change Orders'!$B434),COUNTIFS('SC Change Orders'!$B$2:$B$501,'SC Change Orders'!$B434,'SC Change Orders'!$C$2:$C$501,'SC Change Orders'!$C434,'SC Change Orders'!$D$2:$D$501,'SC Change Orders'!$D434,'SC Change Orders'!$F$2:$F$501,'SC Change Orders'!$F434,'SC Change Orders'!$E$2:$E$501,'SC Change Orders'!$E434)&gt;1),"Duplicate of another row — funds counted twice; ","")&amp;IF(ISNUMBER('SC Change Orders'!$F434),IF('SC Change Orders'!$F434&lt;&gt;0,IF(AND(ISNUMBER('SC Change Orders'!$B434),NOT(COUNTIFS('SC Change Orders'!$B$2:$B$501,'SC Change Orders'!$B434,'SC Change Orders'!$C$2:$C$501,'SC Change Orders'!$C434,'SC Change Orders'!$D$2:$D$501,'SC Change Orders'!$D434,'SC Change Orders'!$F$2:$F$501,'SC Change Orders'!$F434,'SC Change Orders'!$E$2:$E$501,'SC Change Orders'!$E434)&gt;1),COUNTIFS('SC Change Orders'!$B$2:$B$501,'SC Change Orders'!$B434,'SC Change Orders'!$F$2:$F$501,'SC Change Orders'!$F434)&gt;1),  "Same PO and Amount Added as another row — check for a restatement counted twice; ",""),""),""))</f>
        <v/>
      </c>
    </row>
    <row r="453" customFormat="false" ht="15" hidden="false" customHeight="false" outlineLevel="0" collapsed="false">
      <c r="A453" s="18" t="str">
        <f aca="false">IF(AND('SC Change Orders'!$A435="",'SC Change Orders'!$B435="",'SC Change Orders'!$C435=""),"",435)</f>
        <v/>
      </c>
      <c r="B453" s="31" t="str">
        <f aca="false">IF($A453="","",'SC Change Orders'!$A435)</f>
        <v/>
      </c>
      <c r="C453" s="18" t="str">
        <f aca="false">IF($A453="","",'SC Change Orders'!$B435)</f>
        <v/>
      </c>
      <c r="D453" s="32" t="str">
        <f aca="false">IF($A453="","",'SC Change Orders'!$C435)</f>
        <v/>
      </c>
      <c r="E453" s="31" t="str">
        <f aca="false">IF($A453="","",'SC Change Orders'!$D435)</f>
        <v/>
      </c>
      <c r="F453" s="33" t="str">
        <f aca="false">IF($A453="","",'SC Change Orders'!$E435)</f>
        <v/>
      </c>
      <c r="G453" s="33" t="str">
        <f aca="false">IF($A453="","",'SC Change Orders'!$F435)</f>
        <v/>
      </c>
      <c r="H453" s="33" t="str">
        <f aca="false">IF($A453="","",'SC Change Orders'!$G435)</f>
        <v/>
      </c>
      <c r="I453" s="34" t="str">
        <f aca="false">IF($A453="","",IF(AND(ISNUMBER('SC Change Orders'!$C435),'SC Change Orders'!$C435&gt;=Controls!$C$5,'SC Change Orders'!$C435&lt;=Controls!$C$6),"Yes","No"))</f>
        <v/>
      </c>
      <c r="J453" s="31" t="str">
        <f aca="false">IF($A453="","",IF($K453="","OK",$K453))</f>
        <v/>
      </c>
      <c r="K453" s="0" t="str">
        <f aca="false">IF($A453="","",IF(NOT(ISNUMBER('SC Change Orders'!$B435)),"PO not numeric — row is invisible to the tracker; ","")&amp;IF(NOT(ISNUMBER('SC Change Orders'!$C435)),"Date missing or text — row excluded; ",  IF(OR('SC Change Orders'!$C435&lt;Controls!$C$5,'SC Change Orders'!$C435&gt;Controls!$C$6),"Dated outside the FY window — excluded; ",""))&amp;IF(AND('SC Change Orders'!$E435&lt;&gt;"",NOT(ISNUMBER('SC Change Orders'!$E435))),"Original Amount held as text — ignored by MINIFS; ","")&amp;IF(AND('SC Change Orders'!$F435&lt;&gt;"",NOT(ISNUMBER('SC Change Orders'!$F435))),"Amount Added held as text — ignored by SUMIFS; ","")&amp;IF(ISNUMBER('SC Change Orders'!$E435),IF(ISNUMBER('SC Change Orders'!$F435),IF(ISNUMBER('SC Change Orders'!$G435),  IF('SC Change Orders'!$G435&gt;0,IF(ROUND('SC Change Orders'!$E435+'SC Change Orders'!$F435,2)&lt;&gt;ROUND('SC Change Orders'!$G435,2),  "Original + Added &lt;&gt; Total Line Cost Allotted; ",""),""),""),""),"")&amp;IF(AND(ISNUMBER('SC Change Orders'!$B435),COUNTIFS('SC Change Orders'!$B$2:$B$501,'SC Change Orders'!$B435,'SC Change Orders'!$C$2:$C$501,'SC Change Orders'!$C435,'SC Change Orders'!$D$2:$D$501,'SC Change Orders'!$D435,'SC Change Orders'!$F$2:$F$501,'SC Change Orders'!$F435,'SC Change Orders'!$E$2:$E$501,'SC Change Orders'!$E435)&gt;1),"Duplicate of another row — funds counted twice; ","")&amp;IF(ISNUMBER('SC Change Orders'!$F435),IF('SC Change Orders'!$F435&lt;&gt;0,IF(AND(ISNUMBER('SC Change Orders'!$B435),NOT(COUNTIFS('SC Change Orders'!$B$2:$B$501,'SC Change Orders'!$B435,'SC Change Orders'!$C$2:$C$501,'SC Change Orders'!$C435,'SC Change Orders'!$D$2:$D$501,'SC Change Orders'!$D435,'SC Change Orders'!$F$2:$F$501,'SC Change Orders'!$F435,'SC Change Orders'!$E$2:$E$501,'SC Change Orders'!$E435)&gt;1),COUNTIFS('SC Change Orders'!$B$2:$B$501,'SC Change Orders'!$B435,'SC Change Orders'!$F$2:$F$501,'SC Change Orders'!$F435)&gt;1),  "Same PO and Amount Added as another row — check for a restatement counted twice; ",""),""),""))</f>
        <v/>
      </c>
    </row>
    <row r="454" customFormat="false" ht="15" hidden="false" customHeight="false" outlineLevel="0" collapsed="false">
      <c r="A454" s="18" t="str">
        <f aca="false">IF(AND('SC Change Orders'!$A436="",'SC Change Orders'!$B436="",'SC Change Orders'!$C436=""),"",436)</f>
        <v/>
      </c>
      <c r="B454" s="31" t="str">
        <f aca="false">IF($A454="","",'SC Change Orders'!$A436)</f>
        <v/>
      </c>
      <c r="C454" s="18" t="str">
        <f aca="false">IF($A454="","",'SC Change Orders'!$B436)</f>
        <v/>
      </c>
      <c r="D454" s="32" t="str">
        <f aca="false">IF($A454="","",'SC Change Orders'!$C436)</f>
        <v/>
      </c>
      <c r="E454" s="31" t="str">
        <f aca="false">IF($A454="","",'SC Change Orders'!$D436)</f>
        <v/>
      </c>
      <c r="F454" s="33" t="str">
        <f aca="false">IF($A454="","",'SC Change Orders'!$E436)</f>
        <v/>
      </c>
      <c r="G454" s="33" t="str">
        <f aca="false">IF($A454="","",'SC Change Orders'!$F436)</f>
        <v/>
      </c>
      <c r="H454" s="33" t="str">
        <f aca="false">IF($A454="","",'SC Change Orders'!$G436)</f>
        <v/>
      </c>
      <c r="I454" s="34" t="str">
        <f aca="false">IF($A454="","",IF(AND(ISNUMBER('SC Change Orders'!$C436),'SC Change Orders'!$C436&gt;=Controls!$C$5,'SC Change Orders'!$C436&lt;=Controls!$C$6),"Yes","No"))</f>
        <v/>
      </c>
      <c r="J454" s="31" t="str">
        <f aca="false">IF($A454="","",IF($K454="","OK",$K454))</f>
        <v/>
      </c>
      <c r="K454" s="0" t="str">
        <f aca="false">IF($A454="","",IF(NOT(ISNUMBER('SC Change Orders'!$B436)),"PO not numeric — row is invisible to the tracker; ","")&amp;IF(NOT(ISNUMBER('SC Change Orders'!$C436)),"Date missing or text — row excluded; ",  IF(OR('SC Change Orders'!$C436&lt;Controls!$C$5,'SC Change Orders'!$C436&gt;Controls!$C$6),"Dated outside the FY window — excluded; ",""))&amp;IF(AND('SC Change Orders'!$E436&lt;&gt;"",NOT(ISNUMBER('SC Change Orders'!$E436))),"Original Amount held as text — ignored by MINIFS; ","")&amp;IF(AND('SC Change Orders'!$F436&lt;&gt;"",NOT(ISNUMBER('SC Change Orders'!$F436))),"Amount Added held as text — ignored by SUMIFS; ","")&amp;IF(ISNUMBER('SC Change Orders'!$E436),IF(ISNUMBER('SC Change Orders'!$F436),IF(ISNUMBER('SC Change Orders'!$G436),  IF('SC Change Orders'!$G436&gt;0,IF(ROUND('SC Change Orders'!$E436+'SC Change Orders'!$F436,2)&lt;&gt;ROUND('SC Change Orders'!$G436,2),  "Original + Added &lt;&gt; Total Line Cost Allotted; ",""),""),""),""),"")&amp;IF(AND(ISNUMBER('SC Change Orders'!$B436),COUNTIFS('SC Change Orders'!$B$2:$B$501,'SC Change Orders'!$B436,'SC Change Orders'!$C$2:$C$501,'SC Change Orders'!$C436,'SC Change Orders'!$D$2:$D$501,'SC Change Orders'!$D436,'SC Change Orders'!$F$2:$F$501,'SC Change Orders'!$F436,'SC Change Orders'!$E$2:$E$501,'SC Change Orders'!$E436)&gt;1),"Duplicate of another row — funds counted twice; ","")&amp;IF(ISNUMBER('SC Change Orders'!$F436),IF('SC Change Orders'!$F436&lt;&gt;0,IF(AND(ISNUMBER('SC Change Orders'!$B436),NOT(COUNTIFS('SC Change Orders'!$B$2:$B$501,'SC Change Orders'!$B436,'SC Change Orders'!$C$2:$C$501,'SC Change Orders'!$C436,'SC Change Orders'!$D$2:$D$501,'SC Change Orders'!$D436,'SC Change Orders'!$F$2:$F$501,'SC Change Orders'!$F436,'SC Change Orders'!$E$2:$E$501,'SC Change Orders'!$E436)&gt;1),COUNTIFS('SC Change Orders'!$B$2:$B$501,'SC Change Orders'!$B436,'SC Change Orders'!$F$2:$F$501,'SC Change Orders'!$F436)&gt;1),  "Same PO and Amount Added as another row — check for a restatement counted twice; ",""),""),""))</f>
        <v/>
      </c>
    </row>
    <row r="455" customFormat="false" ht="15" hidden="false" customHeight="false" outlineLevel="0" collapsed="false">
      <c r="A455" s="18" t="str">
        <f aca="false">IF(AND('SC Change Orders'!$A437="",'SC Change Orders'!$B437="",'SC Change Orders'!$C437=""),"",437)</f>
        <v/>
      </c>
      <c r="B455" s="31" t="str">
        <f aca="false">IF($A455="","",'SC Change Orders'!$A437)</f>
        <v/>
      </c>
      <c r="C455" s="18" t="str">
        <f aca="false">IF($A455="","",'SC Change Orders'!$B437)</f>
        <v/>
      </c>
      <c r="D455" s="32" t="str">
        <f aca="false">IF($A455="","",'SC Change Orders'!$C437)</f>
        <v/>
      </c>
      <c r="E455" s="31" t="str">
        <f aca="false">IF($A455="","",'SC Change Orders'!$D437)</f>
        <v/>
      </c>
      <c r="F455" s="33" t="str">
        <f aca="false">IF($A455="","",'SC Change Orders'!$E437)</f>
        <v/>
      </c>
      <c r="G455" s="33" t="str">
        <f aca="false">IF($A455="","",'SC Change Orders'!$F437)</f>
        <v/>
      </c>
      <c r="H455" s="33" t="str">
        <f aca="false">IF($A455="","",'SC Change Orders'!$G437)</f>
        <v/>
      </c>
      <c r="I455" s="34" t="str">
        <f aca="false">IF($A455="","",IF(AND(ISNUMBER('SC Change Orders'!$C437),'SC Change Orders'!$C437&gt;=Controls!$C$5,'SC Change Orders'!$C437&lt;=Controls!$C$6),"Yes","No"))</f>
        <v/>
      </c>
      <c r="J455" s="31" t="str">
        <f aca="false">IF($A455="","",IF($K455="","OK",$K455))</f>
        <v/>
      </c>
      <c r="K455" s="0" t="str">
        <f aca="false">IF($A455="","",IF(NOT(ISNUMBER('SC Change Orders'!$B437)),"PO not numeric — row is invisible to the tracker; ","")&amp;IF(NOT(ISNUMBER('SC Change Orders'!$C437)),"Date missing or text — row excluded; ",  IF(OR('SC Change Orders'!$C437&lt;Controls!$C$5,'SC Change Orders'!$C437&gt;Controls!$C$6),"Dated outside the FY window — excluded; ",""))&amp;IF(AND('SC Change Orders'!$E437&lt;&gt;"",NOT(ISNUMBER('SC Change Orders'!$E437))),"Original Amount held as text — ignored by MINIFS; ","")&amp;IF(AND('SC Change Orders'!$F437&lt;&gt;"",NOT(ISNUMBER('SC Change Orders'!$F437))),"Amount Added held as text — ignored by SUMIFS; ","")&amp;IF(ISNUMBER('SC Change Orders'!$E437),IF(ISNUMBER('SC Change Orders'!$F437),IF(ISNUMBER('SC Change Orders'!$G437),  IF('SC Change Orders'!$G437&gt;0,IF(ROUND('SC Change Orders'!$E437+'SC Change Orders'!$F437,2)&lt;&gt;ROUND('SC Change Orders'!$G437,2),  "Original + Added &lt;&gt; Total Line Cost Allotted; ",""),""),""),""),"")&amp;IF(AND(ISNUMBER('SC Change Orders'!$B437),COUNTIFS('SC Change Orders'!$B$2:$B$501,'SC Change Orders'!$B437,'SC Change Orders'!$C$2:$C$501,'SC Change Orders'!$C437,'SC Change Orders'!$D$2:$D$501,'SC Change Orders'!$D437,'SC Change Orders'!$F$2:$F$501,'SC Change Orders'!$F437,'SC Change Orders'!$E$2:$E$501,'SC Change Orders'!$E437)&gt;1),"Duplicate of another row — funds counted twice; ","")&amp;IF(ISNUMBER('SC Change Orders'!$F437),IF('SC Change Orders'!$F437&lt;&gt;0,IF(AND(ISNUMBER('SC Change Orders'!$B437),NOT(COUNTIFS('SC Change Orders'!$B$2:$B$501,'SC Change Orders'!$B437,'SC Change Orders'!$C$2:$C$501,'SC Change Orders'!$C437,'SC Change Orders'!$D$2:$D$501,'SC Change Orders'!$D437,'SC Change Orders'!$F$2:$F$501,'SC Change Orders'!$F437,'SC Change Orders'!$E$2:$E$501,'SC Change Orders'!$E437)&gt;1),COUNTIFS('SC Change Orders'!$B$2:$B$501,'SC Change Orders'!$B437,'SC Change Orders'!$F$2:$F$501,'SC Change Orders'!$F437)&gt;1),  "Same PO and Amount Added as another row — check for a restatement counted twice; ",""),""),""))</f>
        <v/>
      </c>
    </row>
    <row r="456" customFormat="false" ht="15" hidden="false" customHeight="false" outlineLevel="0" collapsed="false">
      <c r="A456" s="18" t="str">
        <f aca="false">IF(AND('SC Change Orders'!$A438="",'SC Change Orders'!$B438="",'SC Change Orders'!$C438=""),"",438)</f>
        <v/>
      </c>
      <c r="B456" s="31" t="str">
        <f aca="false">IF($A456="","",'SC Change Orders'!$A438)</f>
        <v/>
      </c>
      <c r="C456" s="18" t="str">
        <f aca="false">IF($A456="","",'SC Change Orders'!$B438)</f>
        <v/>
      </c>
      <c r="D456" s="32" t="str">
        <f aca="false">IF($A456="","",'SC Change Orders'!$C438)</f>
        <v/>
      </c>
      <c r="E456" s="31" t="str">
        <f aca="false">IF($A456="","",'SC Change Orders'!$D438)</f>
        <v/>
      </c>
      <c r="F456" s="33" t="str">
        <f aca="false">IF($A456="","",'SC Change Orders'!$E438)</f>
        <v/>
      </c>
      <c r="G456" s="33" t="str">
        <f aca="false">IF($A456="","",'SC Change Orders'!$F438)</f>
        <v/>
      </c>
      <c r="H456" s="33" t="str">
        <f aca="false">IF($A456="","",'SC Change Orders'!$G438)</f>
        <v/>
      </c>
      <c r="I456" s="34" t="str">
        <f aca="false">IF($A456="","",IF(AND(ISNUMBER('SC Change Orders'!$C438),'SC Change Orders'!$C438&gt;=Controls!$C$5,'SC Change Orders'!$C438&lt;=Controls!$C$6),"Yes","No"))</f>
        <v/>
      </c>
      <c r="J456" s="31" t="str">
        <f aca="false">IF($A456="","",IF($K456="","OK",$K456))</f>
        <v/>
      </c>
      <c r="K456" s="0" t="str">
        <f aca="false">IF($A456="","",IF(NOT(ISNUMBER('SC Change Orders'!$B438)),"PO not numeric — row is invisible to the tracker; ","")&amp;IF(NOT(ISNUMBER('SC Change Orders'!$C438)),"Date missing or text — row excluded; ",  IF(OR('SC Change Orders'!$C438&lt;Controls!$C$5,'SC Change Orders'!$C438&gt;Controls!$C$6),"Dated outside the FY window — excluded; ",""))&amp;IF(AND('SC Change Orders'!$E438&lt;&gt;"",NOT(ISNUMBER('SC Change Orders'!$E438))),"Original Amount held as text — ignored by MINIFS; ","")&amp;IF(AND('SC Change Orders'!$F438&lt;&gt;"",NOT(ISNUMBER('SC Change Orders'!$F438))),"Amount Added held as text — ignored by SUMIFS; ","")&amp;IF(ISNUMBER('SC Change Orders'!$E438),IF(ISNUMBER('SC Change Orders'!$F438),IF(ISNUMBER('SC Change Orders'!$G438),  IF('SC Change Orders'!$G438&gt;0,IF(ROUND('SC Change Orders'!$E438+'SC Change Orders'!$F438,2)&lt;&gt;ROUND('SC Change Orders'!$G438,2),  "Original + Added &lt;&gt; Total Line Cost Allotted; ",""),""),""),""),"")&amp;IF(AND(ISNUMBER('SC Change Orders'!$B438),COUNTIFS('SC Change Orders'!$B$2:$B$501,'SC Change Orders'!$B438,'SC Change Orders'!$C$2:$C$501,'SC Change Orders'!$C438,'SC Change Orders'!$D$2:$D$501,'SC Change Orders'!$D438,'SC Change Orders'!$F$2:$F$501,'SC Change Orders'!$F438,'SC Change Orders'!$E$2:$E$501,'SC Change Orders'!$E438)&gt;1),"Duplicate of another row — funds counted twice; ","")&amp;IF(ISNUMBER('SC Change Orders'!$F438),IF('SC Change Orders'!$F438&lt;&gt;0,IF(AND(ISNUMBER('SC Change Orders'!$B438),NOT(COUNTIFS('SC Change Orders'!$B$2:$B$501,'SC Change Orders'!$B438,'SC Change Orders'!$C$2:$C$501,'SC Change Orders'!$C438,'SC Change Orders'!$D$2:$D$501,'SC Change Orders'!$D438,'SC Change Orders'!$F$2:$F$501,'SC Change Orders'!$F438,'SC Change Orders'!$E$2:$E$501,'SC Change Orders'!$E438)&gt;1),COUNTIFS('SC Change Orders'!$B$2:$B$501,'SC Change Orders'!$B438,'SC Change Orders'!$F$2:$F$501,'SC Change Orders'!$F438)&gt;1),  "Same PO and Amount Added as another row — check for a restatement counted twice; ",""),""),""))</f>
        <v/>
      </c>
    </row>
    <row r="457" customFormat="false" ht="15" hidden="false" customHeight="false" outlineLevel="0" collapsed="false">
      <c r="A457" s="18" t="str">
        <f aca="false">IF(AND('SC Change Orders'!$A439="",'SC Change Orders'!$B439="",'SC Change Orders'!$C439=""),"",439)</f>
        <v/>
      </c>
      <c r="B457" s="31" t="str">
        <f aca="false">IF($A457="","",'SC Change Orders'!$A439)</f>
        <v/>
      </c>
      <c r="C457" s="18" t="str">
        <f aca="false">IF($A457="","",'SC Change Orders'!$B439)</f>
        <v/>
      </c>
      <c r="D457" s="32" t="str">
        <f aca="false">IF($A457="","",'SC Change Orders'!$C439)</f>
        <v/>
      </c>
      <c r="E457" s="31" t="str">
        <f aca="false">IF($A457="","",'SC Change Orders'!$D439)</f>
        <v/>
      </c>
      <c r="F457" s="33" t="str">
        <f aca="false">IF($A457="","",'SC Change Orders'!$E439)</f>
        <v/>
      </c>
      <c r="G457" s="33" t="str">
        <f aca="false">IF($A457="","",'SC Change Orders'!$F439)</f>
        <v/>
      </c>
      <c r="H457" s="33" t="str">
        <f aca="false">IF($A457="","",'SC Change Orders'!$G439)</f>
        <v/>
      </c>
      <c r="I457" s="34" t="str">
        <f aca="false">IF($A457="","",IF(AND(ISNUMBER('SC Change Orders'!$C439),'SC Change Orders'!$C439&gt;=Controls!$C$5,'SC Change Orders'!$C439&lt;=Controls!$C$6),"Yes","No"))</f>
        <v/>
      </c>
      <c r="J457" s="31" t="str">
        <f aca="false">IF($A457="","",IF($K457="","OK",$K457))</f>
        <v/>
      </c>
      <c r="K457" s="0" t="str">
        <f aca="false">IF($A457="","",IF(NOT(ISNUMBER('SC Change Orders'!$B439)),"PO not numeric — row is invisible to the tracker; ","")&amp;IF(NOT(ISNUMBER('SC Change Orders'!$C439)),"Date missing or text — row excluded; ",  IF(OR('SC Change Orders'!$C439&lt;Controls!$C$5,'SC Change Orders'!$C439&gt;Controls!$C$6),"Dated outside the FY window — excluded; ",""))&amp;IF(AND('SC Change Orders'!$E439&lt;&gt;"",NOT(ISNUMBER('SC Change Orders'!$E439))),"Original Amount held as text — ignored by MINIFS; ","")&amp;IF(AND('SC Change Orders'!$F439&lt;&gt;"",NOT(ISNUMBER('SC Change Orders'!$F439))),"Amount Added held as text — ignored by SUMIFS; ","")&amp;IF(ISNUMBER('SC Change Orders'!$E439),IF(ISNUMBER('SC Change Orders'!$F439),IF(ISNUMBER('SC Change Orders'!$G439),  IF('SC Change Orders'!$G439&gt;0,IF(ROUND('SC Change Orders'!$E439+'SC Change Orders'!$F439,2)&lt;&gt;ROUND('SC Change Orders'!$G439,2),  "Original + Added &lt;&gt; Total Line Cost Allotted; ",""),""),""),""),"")&amp;IF(AND(ISNUMBER('SC Change Orders'!$B439),COUNTIFS('SC Change Orders'!$B$2:$B$501,'SC Change Orders'!$B439,'SC Change Orders'!$C$2:$C$501,'SC Change Orders'!$C439,'SC Change Orders'!$D$2:$D$501,'SC Change Orders'!$D439,'SC Change Orders'!$F$2:$F$501,'SC Change Orders'!$F439,'SC Change Orders'!$E$2:$E$501,'SC Change Orders'!$E439)&gt;1),"Duplicate of another row — funds counted twice; ","")&amp;IF(ISNUMBER('SC Change Orders'!$F439),IF('SC Change Orders'!$F439&lt;&gt;0,IF(AND(ISNUMBER('SC Change Orders'!$B439),NOT(COUNTIFS('SC Change Orders'!$B$2:$B$501,'SC Change Orders'!$B439,'SC Change Orders'!$C$2:$C$501,'SC Change Orders'!$C439,'SC Change Orders'!$D$2:$D$501,'SC Change Orders'!$D439,'SC Change Orders'!$F$2:$F$501,'SC Change Orders'!$F439,'SC Change Orders'!$E$2:$E$501,'SC Change Orders'!$E439)&gt;1),COUNTIFS('SC Change Orders'!$B$2:$B$501,'SC Change Orders'!$B439,'SC Change Orders'!$F$2:$F$501,'SC Change Orders'!$F439)&gt;1),  "Same PO and Amount Added as another row — check for a restatement counted twice; ",""),""),""))</f>
        <v/>
      </c>
    </row>
    <row r="458" customFormat="false" ht="15" hidden="false" customHeight="false" outlineLevel="0" collapsed="false">
      <c r="A458" s="18" t="str">
        <f aca="false">IF(AND('SC Change Orders'!$A440="",'SC Change Orders'!$B440="",'SC Change Orders'!$C440=""),"",440)</f>
        <v/>
      </c>
      <c r="B458" s="31" t="str">
        <f aca="false">IF($A458="","",'SC Change Orders'!$A440)</f>
        <v/>
      </c>
      <c r="C458" s="18" t="str">
        <f aca="false">IF($A458="","",'SC Change Orders'!$B440)</f>
        <v/>
      </c>
      <c r="D458" s="32" t="str">
        <f aca="false">IF($A458="","",'SC Change Orders'!$C440)</f>
        <v/>
      </c>
      <c r="E458" s="31" t="str">
        <f aca="false">IF($A458="","",'SC Change Orders'!$D440)</f>
        <v/>
      </c>
      <c r="F458" s="33" t="str">
        <f aca="false">IF($A458="","",'SC Change Orders'!$E440)</f>
        <v/>
      </c>
      <c r="G458" s="33" t="str">
        <f aca="false">IF($A458="","",'SC Change Orders'!$F440)</f>
        <v/>
      </c>
      <c r="H458" s="33" t="str">
        <f aca="false">IF($A458="","",'SC Change Orders'!$G440)</f>
        <v/>
      </c>
      <c r="I458" s="34" t="str">
        <f aca="false">IF($A458="","",IF(AND(ISNUMBER('SC Change Orders'!$C440),'SC Change Orders'!$C440&gt;=Controls!$C$5,'SC Change Orders'!$C440&lt;=Controls!$C$6),"Yes","No"))</f>
        <v/>
      </c>
      <c r="J458" s="31" t="str">
        <f aca="false">IF($A458="","",IF($K458="","OK",$K458))</f>
        <v/>
      </c>
      <c r="K458" s="0" t="str">
        <f aca="false">IF($A458="","",IF(NOT(ISNUMBER('SC Change Orders'!$B440)),"PO not numeric — row is invisible to the tracker; ","")&amp;IF(NOT(ISNUMBER('SC Change Orders'!$C440)),"Date missing or text — row excluded; ",  IF(OR('SC Change Orders'!$C440&lt;Controls!$C$5,'SC Change Orders'!$C440&gt;Controls!$C$6),"Dated outside the FY window — excluded; ",""))&amp;IF(AND('SC Change Orders'!$E440&lt;&gt;"",NOT(ISNUMBER('SC Change Orders'!$E440))),"Original Amount held as text — ignored by MINIFS; ","")&amp;IF(AND('SC Change Orders'!$F440&lt;&gt;"",NOT(ISNUMBER('SC Change Orders'!$F440))),"Amount Added held as text — ignored by SUMIFS; ","")&amp;IF(ISNUMBER('SC Change Orders'!$E440),IF(ISNUMBER('SC Change Orders'!$F440),IF(ISNUMBER('SC Change Orders'!$G440),  IF('SC Change Orders'!$G440&gt;0,IF(ROUND('SC Change Orders'!$E440+'SC Change Orders'!$F440,2)&lt;&gt;ROUND('SC Change Orders'!$G440,2),  "Original + Added &lt;&gt; Total Line Cost Allotted; ",""),""),""),""),"")&amp;IF(AND(ISNUMBER('SC Change Orders'!$B440),COUNTIFS('SC Change Orders'!$B$2:$B$501,'SC Change Orders'!$B440,'SC Change Orders'!$C$2:$C$501,'SC Change Orders'!$C440,'SC Change Orders'!$D$2:$D$501,'SC Change Orders'!$D440,'SC Change Orders'!$F$2:$F$501,'SC Change Orders'!$F440,'SC Change Orders'!$E$2:$E$501,'SC Change Orders'!$E440)&gt;1),"Duplicate of another row — funds counted twice; ","")&amp;IF(ISNUMBER('SC Change Orders'!$F440),IF('SC Change Orders'!$F440&lt;&gt;0,IF(AND(ISNUMBER('SC Change Orders'!$B440),NOT(COUNTIFS('SC Change Orders'!$B$2:$B$501,'SC Change Orders'!$B440,'SC Change Orders'!$C$2:$C$501,'SC Change Orders'!$C440,'SC Change Orders'!$D$2:$D$501,'SC Change Orders'!$D440,'SC Change Orders'!$F$2:$F$501,'SC Change Orders'!$F440,'SC Change Orders'!$E$2:$E$501,'SC Change Orders'!$E440)&gt;1),COUNTIFS('SC Change Orders'!$B$2:$B$501,'SC Change Orders'!$B440,'SC Change Orders'!$F$2:$F$501,'SC Change Orders'!$F440)&gt;1),  "Same PO and Amount Added as another row — check for a restatement counted twice; ",""),""),""))</f>
        <v/>
      </c>
    </row>
    <row r="459" customFormat="false" ht="15" hidden="false" customHeight="false" outlineLevel="0" collapsed="false">
      <c r="A459" s="18" t="str">
        <f aca="false">IF(AND('SC Change Orders'!$A441="",'SC Change Orders'!$B441="",'SC Change Orders'!$C441=""),"",441)</f>
        <v/>
      </c>
      <c r="B459" s="31" t="str">
        <f aca="false">IF($A459="","",'SC Change Orders'!$A441)</f>
        <v/>
      </c>
      <c r="C459" s="18" t="str">
        <f aca="false">IF($A459="","",'SC Change Orders'!$B441)</f>
        <v/>
      </c>
      <c r="D459" s="32" t="str">
        <f aca="false">IF($A459="","",'SC Change Orders'!$C441)</f>
        <v/>
      </c>
      <c r="E459" s="31" t="str">
        <f aca="false">IF($A459="","",'SC Change Orders'!$D441)</f>
        <v/>
      </c>
      <c r="F459" s="33" t="str">
        <f aca="false">IF($A459="","",'SC Change Orders'!$E441)</f>
        <v/>
      </c>
      <c r="G459" s="33" t="str">
        <f aca="false">IF($A459="","",'SC Change Orders'!$F441)</f>
        <v/>
      </c>
      <c r="H459" s="33" t="str">
        <f aca="false">IF($A459="","",'SC Change Orders'!$G441)</f>
        <v/>
      </c>
      <c r="I459" s="34" t="str">
        <f aca="false">IF($A459="","",IF(AND(ISNUMBER('SC Change Orders'!$C441),'SC Change Orders'!$C441&gt;=Controls!$C$5,'SC Change Orders'!$C441&lt;=Controls!$C$6),"Yes","No"))</f>
        <v/>
      </c>
      <c r="J459" s="31" t="str">
        <f aca="false">IF($A459="","",IF($K459="","OK",$K459))</f>
        <v/>
      </c>
      <c r="K459" s="0" t="str">
        <f aca="false">IF($A459="","",IF(NOT(ISNUMBER('SC Change Orders'!$B441)),"PO not numeric — row is invisible to the tracker; ","")&amp;IF(NOT(ISNUMBER('SC Change Orders'!$C441)),"Date missing or text — row excluded; ",  IF(OR('SC Change Orders'!$C441&lt;Controls!$C$5,'SC Change Orders'!$C441&gt;Controls!$C$6),"Dated outside the FY window — excluded; ",""))&amp;IF(AND('SC Change Orders'!$E441&lt;&gt;"",NOT(ISNUMBER('SC Change Orders'!$E441))),"Original Amount held as text — ignored by MINIFS; ","")&amp;IF(AND('SC Change Orders'!$F441&lt;&gt;"",NOT(ISNUMBER('SC Change Orders'!$F441))),"Amount Added held as text — ignored by SUMIFS; ","")&amp;IF(ISNUMBER('SC Change Orders'!$E441),IF(ISNUMBER('SC Change Orders'!$F441),IF(ISNUMBER('SC Change Orders'!$G441),  IF('SC Change Orders'!$G441&gt;0,IF(ROUND('SC Change Orders'!$E441+'SC Change Orders'!$F441,2)&lt;&gt;ROUND('SC Change Orders'!$G441,2),  "Original + Added &lt;&gt; Total Line Cost Allotted; ",""),""),""),""),"")&amp;IF(AND(ISNUMBER('SC Change Orders'!$B441),COUNTIFS('SC Change Orders'!$B$2:$B$501,'SC Change Orders'!$B441,'SC Change Orders'!$C$2:$C$501,'SC Change Orders'!$C441,'SC Change Orders'!$D$2:$D$501,'SC Change Orders'!$D441,'SC Change Orders'!$F$2:$F$501,'SC Change Orders'!$F441,'SC Change Orders'!$E$2:$E$501,'SC Change Orders'!$E441)&gt;1),"Duplicate of another row — funds counted twice; ","")&amp;IF(ISNUMBER('SC Change Orders'!$F441),IF('SC Change Orders'!$F441&lt;&gt;0,IF(AND(ISNUMBER('SC Change Orders'!$B441),NOT(COUNTIFS('SC Change Orders'!$B$2:$B$501,'SC Change Orders'!$B441,'SC Change Orders'!$C$2:$C$501,'SC Change Orders'!$C441,'SC Change Orders'!$D$2:$D$501,'SC Change Orders'!$D441,'SC Change Orders'!$F$2:$F$501,'SC Change Orders'!$F441,'SC Change Orders'!$E$2:$E$501,'SC Change Orders'!$E441)&gt;1),COUNTIFS('SC Change Orders'!$B$2:$B$501,'SC Change Orders'!$B441,'SC Change Orders'!$F$2:$F$501,'SC Change Orders'!$F441)&gt;1),  "Same PO and Amount Added as another row — check for a restatement counted twice; ",""),""),""))</f>
        <v/>
      </c>
    </row>
    <row r="460" customFormat="false" ht="15" hidden="false" customHeight="false" outlineLevel="0" collapsed="false">
      <c r="A460" s="18" t="str">
        <f aca="false">IF(AND('SC Change Orders'!$A442="",'SC Change Orders'!$B442="",'SC Change Orders'!$C442=""),"",442)</f>
        <v/>
      </c>
      <c r="B460" s="31" t="str">
        <f aca="false">IF($A460="","",'SC Change Orders'!$A442)</f>
        <v/>
      </c>
      <c r="C460" s="18" t="str">
        <f aca="false">IF($A460="","",'SC Change Orders'!$B442)</f>
        <v/>
      </c>
      <c r="D460" s="32" t="str">
        <f aca="false">IF($A460="","",'SC Change Orders'!$C442)</f>
        <v/>
      </c>
      <c r="E460" s="31" t="str">
        <f aca="false">IF($A460="","",'SC Change Orders'!$D442)</f>
        <v/>
      </c>
      <c r="F460" s="33" t="str">
        <f aca="false">IF($A460="","",'SC Change Orders'!$E442)</f>
        <v/>
      </c>
      <c r="G460" s="33" t="str">
        <f aca="false">IF($A460="","",'SC Change Orders'!$F442)</f>
        <v/>
      </c>
      <c r="H460" s="33" t="str">
        <f aca="false">IF($A460="","",'SC Change Orders'!$G442)</f>
        <v/>
      </c>
      <c r="I460" s="34" t="str">
        <f aca="false">IF($A460="","",IF(AND(ISNUMBER('SC Change Orders'!$C442),'SC Change Orders'!$C442&gt;=Controls!$C$5,'SC Change Orders'!$C442&lt;=Controls!$C$6),"Yes","No"))</f>
        <v/>
      </c>
      <c r="J460" s="31" t="str">
        <f aca="false">IF($A460="","",IF($K460="","OK",$K460))</f>
        <v/>
      </c>
      <c r="K460" s="0" t="str">
        <f aca="false">IF($A460="","",IF(NOT(ISNUMBER('SC Change Orders'!$B442)),"PO not numeric — row is invisible to the tracker; ","")&amp;IF(NOT(ISNUMBER('SC Change Orders'!$C442)),"Date missing or text — row excluded; ",  IF(OR('SC Change Orders'!$C442&lt;Controls!$C$5,'SC Change Orders'!$C442&gt;Controls!$C$6),"Dated outside the FY window — excluded; ",""))&amp;IF(AND('SC Change Orders'!$E442&lt;&gt;"",NOT(ISNUMBER('SC Change Orders'!$E442))),"Original Amount held as text — ignored by MINIFS; ","")&amp;IF(AND('SC Change Orders'!$F442&lt;&gt;"",NOT(ISNUMBER('SC Change Orders'!$F442))),"Amount Added held as text — ignored by SUMIFS; ","")&amp;IF(ISNUMBER('SC Change Orders'!$E442),IF(ISNUMBER('SC Change Orders'!$F442),IF(ISNUMBER('SC Change Orders'!$G442),  IF('SC Change Orders'!$G442&gt;0,IF(ROUND('SC Change Orders'!$E442+'SC Change Orders'!$F442,2)&lt;&gt;ROUND('SC Change Orders'!$G442,2),  "Original + Added &lt;&gt; Total Line Cost Allotted; ",""),""),""),""),"")&amp;IF(AND(ISNUMBER('SC Change Orders'!$B442),COUNTIFS('SC Change Orders'!$B$2:$B$501,'SC Change Orders'!$B442,'SC Change Orders'!$C$2:$C$501,'SC Change Orders'!$C442,'SC Change Orders'!$D$2:$D$501,'SC Change Orders'!$D442,'SC Change Orders'!$F$2:$F$501,'SC Change Orders'!$F442,'SC Change Orders'!$E$2:$E$501,'SC Change Orders'!$E442)&gt;1),"Duplicate of another row — funds counted twice; ","")&amp;IF(ISNUMBER('SC Change Orders'!$F442),IF('SC Change Orders'!$F442&lt;&gt;0,IF(AND(ISNUMBER('SC Change Orders'!$B442),NOT(COUNTIFS('SC Change Orders'!$B$2:$B$501,'SC Change Orders'!$B442,'SC Change Orders'!$C$2:$C$501,'SC Change Orders'!$C442,'SC Change Orders'!$D$2:$D$501,'SC Change Orders'!$D442,'SC Change Orders'!$F$2:$F$501,'SC Change Orders'!$F442,'SC Change Orders'!$E$2:$E$501,'SC Change Orders'!$E442)&gt;1),COUNTIFS('SC Change Orders'!$B$2:$B$501,'SC Change Orders'!$B442,'SC Change Orders'!$F$2:$F$501,'SC Change Orders'!$F442)&gt;1),  "Same PO and Amount Added as another row — check for a restatement counted twice; ",""),""),""))</f>
        <v/>
      </c>
    </row>
    <row r="461" customFormat="false" ht="15" hidden="false" customHeight="false" outlineLevel="0" collapsed="false">
      <c r="A461" s="18" t="str">
        <f aca="false">IF(AND('SC Change Orders'!$A443="",'SC Change Orders'!$B443="",'SC Change Orders'!$C443=""),"",443)</f>
        <v/>
      </c>
      <c r="B461" s="31" t="str">
        <f aca="false">IF($A461="","",'SC Change Orders'!$A443)</f>
        <v/>
      </c>
      <c r="C461" s="18" t="str">
        <f aca="false">IF($A461="","",'SC Change Orders'!$B443)</f>
        <v/>
      </c>
      <c r="D461" s="32" t="str">
        <f aca="false">IF($A461="","",'SC Change Orders'!$C443)</f>
        <v/>
      </c>
      <c r="E461" s="31" t="str">
        <f aca="false">IF($A461="","",'SC Change Orders'!$D443)</f>
        <v/>
      </c>
      <c r="F461" s="33" t="str">
        <f aca="false">IF($A461="","",'SC Change Orders'!$E443)</f>
        <v/>
      </c>
      <c r="G461" s="33" t="str">
        <f aca="false">IF($A461="","",'SC Change Orders'!$F443)</f>
        <v/>
      </c>
      <c r="H461" s="33" t="str">
        <f aca="false">IF($A461="","",'SC Change Orders'!$G443)</f>
        <v/>
      </c>
      <c r="I461" s="34" t="str">
        <f aca="false">IF($A461="","",IF(AND(ISNUMBER('SC Change Orders'!$C443),'SC Change Orders'!$C443&gt;=Controls!$C$5,'SC Change Orders'!$C443&lt;=Controls!$C$6),"Yes","No"))</f>
        <v/>
      </c>
      <c r="J461" s="31" t="str">
        <f aca="false">IF($A461="","",IF($K461="","OK",$K461))</f>
        <v/>
      </c>
      <c r="K461" s="0" t="str">
        <f aca="false">IF($A461="","",IF(NOT(ISNUMBER('SC Change Orders'!$B443)),"PO not numeric — row is invisible to the tracker; ","")&amp;IF(NOT(ISNUMBER('SC Change Orders'!$C443)),"Date missing or text — row excluded; ",  IF(OR('SC Change Orders'!$C443&lt;Controls!$C$5,'SC Change Orders'!$C443&gt;Controls!$C$6),"Dated outside the FY window — excluded; ",""))&amp;IF(AND('SC Change Orders'!$E443&lt;&gt;"",NOT(ISNUMBER('SC Change Orders'!$E443))),"Original Amount held as text — ignored by MINIFS; ","")&amp;IF(AND('SC Change Orders'!$F443&lt;&gt;"",NOT(ISNUMBER('SC Change Orders'!$F443))),"Amount Added held as text — ignored by SUMIFS; ","")&amp;IF(ISNUMBER('SC Change Orders'!$E443),IF(ISNUMBER('SC Change Orders'!$F443),IF(ISNUMBER('SC Change Orders'!$G443),  IF('SC Change Orders'!$G443&gt;0,IF(ROUND('SC Change Orders'!$E443+'SC Change Orders'!$F443,2)&lt;&gt;ROUND('SC Change Orders'!$G443,2),  "Original + Added &lt;&gt; Total Line Cost Allotted; ",""),""),""),""),"")&amp;IF(AND(ISNUMBER('SC Change Orders'!$B443),COUNTIFS('SC Change Orders'!$B$2:$B$501,'SC Change Orders'!$B443,'SC Change Orders'!$C$2:$C$501,'SC Change Orders'!$C443,'SC Change Orders'!$D$2:$D$501,'SC Change Orders'!$D443,'SC Change Orders'!$F$2:$F$501,'SC Change Orders'!$F443,'SC Change Orders'!$E$2:$E$501,'SC Change Orders'!$E443)&gt;1),"Duplicate of another row — funds counted twice; ","")&amp;IF(ISNUMBER('SC Change Orders'!$F443),IF('SC Change Orders'!$F443&lt;&gt;0,IF(AND(ISNUMBER('SC Change Orders'!$B443),NOT(COUNTIFS('SC Change Orders'!$B$2:$B$501,'SC Change Orders'!$B443,'SC Change Orders'!$C$2:$C$501,'SC Change Orders'!$C443,'SC Change Orders'!$D$2:$D$501,'SC Change Orders'!$D443,'SC Change Orders'!$F$2:$F$501,'SC Change Orders'!$F443,'SC Change Orders'!$E$2:$E$501,'SC Change Orders'!$E443)&gt;1),COUNTIFS('SC Change Orders'!$B$2:$B$501,'SC Change Orders'!$B443,'SC Change Orders'!$F$2:$F$501,'SC Change Orders'!$F443)&gt;1),  "Same PO and Amount Added as another row — check for a restatement counted twice; ",""),""),""))</f>
        <v/>
      </c>
    </row>
    <row r="462" customFormat="false" ht="15" hidden="false" customHeight="false" outlineLevel="0" collapsed="false">
      <c r="A462" s="18" t="str">
        <f aca="false">IF(AND('SC Change Orders'!$A444="",'SC Change Orders'!$B444="",'SC Change Orders'!$C444=""),"",444)</f>
        <v/>
      </c>
      <c r="B462" s="31" t="str">
        <f aca="false">IF($A462="","",'SC Change Orders'!$A444)</f>
        <v/>
      </c>
      <c r="C462" s="18" t="str">
        <f aca="false">IF($A462="","",'SC Change Orders'!$B444)</f>
        <v/>
      </c>
      <c r="D462" s="32" t="str">
        <f aca="false">IF($A462="","",'SC Change Orders'!$C444)</f>
        <v/>
      </c>
      <c r="E462" s="31" t="str">
        <f aca="false">IF($A462="","",'SC Change Orders'!$D444)</f>
        <v/>
      </c>
      <c r="F462" s="33" t="str">
        <f aca="false">IF($A462="","",'SC Change Orders'!$E444)</f>
        <v/>
      </c>
      <c r="G462" s="33" t="str">
        <f aca="false">IF($A462="","",'SC Change Orders'!$F444)</f>
        <v/>
      </c>
      <c r="H462" s="33" t="str">
        <f aca="false">IF($A462="","",'SC Change Orders'!$G444)</f>
        <v/>
      </c>
      <c r="I462" s="34" t="str">
        <f aca="false">IF($A462="","",IF(AND(ISNUMBER('SC Change Orders'!$C444),'SC Change Orders'!$C444&gt;=Controls!$C$5,'SC Change Orders'!$C444&lt;=Controls!$C$6),"Yes","No"))</f>
        <v/>
      </c>
      <c r="J462" s="31" t="str">
        <f aca="false">IF($A462="","",IF($K462="","OK",$K462))</f>
        <v/>
      </c>
      <c r="K462" s="0" t="str">
        <f aca="false">IF($A462="","",IF(NOT(ISNUMBER('SC Change Orders'!$B444)),"PO not numeric — row is invisible to the tracker; ","")&amp;IF(NOT(ISNUMBER('SC Change Orders'!$C444)),"Date missing or text — row excluded; ",  IF(OR('SC Change Orders'!$C444&lt;Controls!$C$5,'SC Change Orders'!$C444&gt;Controls!$C$6),"Dated outside the FY window — excluded; ",""))&amp;IF(AND('SC Change Orders'!$E444&lt;&gt;"",NOT(ISNUMBER('SC Change Orders'!$E444))),"Original Amount held as text — ignored by MINIFS; ","")&amp;IF(AND('SC Change Orders'!$F444&lt;&gt;"",NOT(ISNUMBER('SC Change Orders'!$F444))),"Amount Added held as text — ignored by SUMIFS; ","")&amp;IF(ISNUMBER('SC Change Orders'!$E444),IF(ISNUMBER('SC Change Orders'!$F444),IF(ISNUMBER('SC Change Orders'!$G444),  IF('SC Change Orders'!$G444&gt;0,IF(ROUND('SC Change Orders'!$E444+'SC Change Orders'!$F444,2)&lt;&gt;ROUND('SC Change Orders'!$G444,2),  "Original + Added &lt;&gt; Total Line Cost Allotted; ",""),""),""),""),"")&amp;IF(AND(ISNUMBER('SC Change Orders'!$B444),COUNTIFS('SC Change Orders'!$B$2:$B$501,'SC Change Orders'!$B444,'SC Change Orders'!$C$2:$C$501,'SC Change Orders'!$C444,'SC Change Orders'!$D$2:$D$501,'SC Change Orders'!$D444,'SC Change Orders'!$F$2:$F$501,'SC Change Orders'!$F444,'SC Change Orders'!$E$2:$E$501,'SC Change Orders'!$E444)&gt;1),"Duplicate of another row — funds counted twice; ","")&amp;IF(ISNUMBER('SC Change Orders'!$F444),IF('SC Change Orders'!$F444&lt;&gt;0,IF(AND(ISNUMBER('SC Change Orders'!$B444),NOT(COUNTIFS('SC Change Orders'!$B$2:$B$501,'SC Change Orders'!$B444,'SC Change Orders'!$C$2:$C$501,'SC Change Orders'!$C444,'SC Change Orders'!$D$2:$D$501,'SC Change Orders'!$D444,'SC Change Orders'!$F$2:$F$501,'SC Change Orders'!$F444,'SC Change Orders'!$E$2:$E$501,'SC Change Orders'!$E444)&gt;1),COUNTIFS('SC Change Orders'!$B$2:$B$501,'SC Change Orders'!$B444,'SC Change Orders'!$F$2:$F$501,'SC Change Orders'!$F444)&gt;1),  "Same PO and Amount Added as another row — check for a restatement counted twice; ",""),""),""))</f>
        <v/>
      </c>
    </row>
    <row r="463" customFormat="false" ht="15" hidden="false" customHeight="false" outlineLevel="0" collapsed="false">
      <c r="A463" s="18" t="str">
        <f aca="false">IF(AND('SC Change Orders'!$A445="",'SC Change Orders'!$B445="",'SC Change Orders'!$C445=""),"",445)</f>
        <v/>
      </c>
      <c r="B463" s="31" t="str">
        <f aca="false">IF($A463="","",'SC Change Orders'!$A445)</f>
        <v/>
      </c>
      <c r="C463" s="18" t="str">
        <f aca="false">IF($A463="","",'SC Change Orders'!$B445)</f>
        <v/>
      </c>
      <c r="D463" s="32" t="str">
        <f aca="false">IF($A463="","",'SC Change Orders'!$C445)</f>
        <v/>
      </c>
      <c r="E463" s="31" t="str">
        <f aca="false">IF($A463="","",'SC Change Orders'!$D445)</f>
        <v/>
      </c>
      <c r="F463" s="33" t="str">
        <f aca="false">IF($A463="","",'SC Change Orders'!$E445)</f>
        <v/>
      </c>
      <c r="G463" s="33" t="str">
        <f aca="false">IF($A463="","",'SC Change Orders'!$F445)</f>
        <v/>
      </c>
      <c r="H463" s="33" t="str">
        <f aca="false">IF($A463="","",'SC Change Orders'!$G445)</f>
        <v/>
      </c>
      <c r="I463" s="34" t="str">
        <f aca="false">IF($A463="","",IF(AND(ISNUMBER('SC Change Orders'!$C445),'SC Change Orders'!$C445&gt;=Controls!$C$5,'SC Change Orders'!$C445&lt;=Controls!$C$6),"Yes","No"))</f>
        <v/>
      </c>
      <c r="J463" s="31" t="str">
        <f aca="false">IF($A463="","",IF($K463="","OK",$K463))</f>
        <v/>
      </c>
      <c r="K463" s="0" t="str">
        <f aca="false">IF($A463="","",IF(NOT(ISNUMBER('SC Change Orders'!$B445)),"PO not numeric — row is invisible to the tracker; ","")&amp;IF(NOT(ISNUMBER('SC Change Orders'!$C445)),"Date missing or text — row excluded; ",  IF(OR('SC Change Orders'!$C445&lt;Controls!$C$5,'SC Change Orders'!$C445&gt;Controls!$C$6),"Dated outside the FY window — excluded; ",""))&amp;IF(AND('SC Change Orders'!$E445&lt;&gt;"",NOT(ISNUMBER('SC Change Orders'!$E445))),"Original Amount held as text — ignored by MINIFS; ","")&amp;IF(AND('SC Change Orders'!$F445&lt;&gt;"",NOT(ISNUMBER('SC Change Orders'!$F445))),"Amount Added held as text — ignored by SUMIFS; ","")&amp;IF(ISNUMBER('SC Change Orders'!$E445),IF(ISNUMBER('SC Change Orders'!$F445),IF(ISNUMBER('SC Change Orders'!$G445),  IF('SC Change Orders'!$G445&gt;0,IF(ROUND('SC Change Orders'!$E445+'SC Change Orders'!$F445,2)&lt;&gt;ROUND('SC Change Orders'!$G445,2),  "Original + Added &lt;&gt; Total Line Cost Allotted; ",""),""),""),""),"")&amp;IF(AND(ISNUMBER('SC Change Orders'!$B445),COUNTIFS('SC Change Orders'!$B$2:$B$501,'SC Change Orders'!$B445,'SC Change Orders'!$C$2:$C$501,'SC Change Orders'!$C445,'SC Change Orders'!$D$2:$D$501,'SC Change Orders'!$D445,'SC Change Orders'!$F$2:$F$501,'SC Change Orders'!$F445,'SC Change Orders'!$E$2:$E$501,'SC Change Orders'!$E445)&gt;1),"Duplicate of another row — funds counted twice; ","")&amp;IF(ISNUMBER('SC Change Orders'!$F445),IF('SC Change Orders'!$F445&lt;&gt;0,IF(AND(ISNUMBER('SC Change Orders'!$B445),NOT(COUNTIFS('SC Change Orders'!$B$2:$B$501,'SC Change Orders'!$B445,'SC Change Orders'!$C$2:$C$501,'SC Change Orders'!$C445,'SC Change Orders'!$D$2:$D$501,'SC Change Orders'!$D445,'SC Change Orders'!$F$2:$F$501,'SC Change Orders'!$F445,'SC Change Orders'!$E$2:$E$501,'SC Change Orders'!$E445)&gt;1),COUNTIFS('SC Change Orders'!$B$2:$B$501,'SC Change Orders'!$B445,'SC Change Orders'!$F$2:$F$501,'SC Change Orders'!$F445)&gt;1),  "Same PO and Amount Added as another row — check for a restatement counted twice; ",""),""),""))</f>
        <v/>
      </c>
    </row>
    <row r="464" customFormat="false" ht="15" hidden="false" customHeight="false" outlineLevel="0" collapsed="false">
      <c r="A464" s="18" t="str">
        <f aca="false">IF(AND('SC Change Orders'!$A446="",'SC Change Orders'!$B446="",'SC Change Orders'!$C446=""),"",446)</f>
        <v/>
      </c>
      <c r="B464" s="31" t="str">
        <f aca="false">IF($A464="","",'SC Change Orders'!$A446)</f>
        <v/>
      </c>
      <c r="C464" s="18" t="str">
        <f aca="false">IF($A464="","",'SC Change Orders'!$B446)</f>
        <v/>
      </c>
      <c r="D464" s="32" t="str">
        <f aca="false">IF($A464="","",'SC Change Orders'!$C446)</f>
        <v/>
      </c>
      <c r="E464" s="31" t="str">
        <f aca="false">IF($A464="","",'SC Change Orders'!$D446)</f>
        <v/>
      </c>
      <c r="F464" s="33" t="str">
        <f aca="false">IF($A464="","",'SC Change Orders'!$E446)</f>
        <v/>
      </c>
      <c r="G464" s="33" t="str">
        <f aca="false">IF($A464="","",'SC Change Orders'!$F446)</f>
        <v/>
      </c>
      <c r="H464" s="33" t="str">
        <f aca="false">IF($A464="","",'SC Change Orders'!$G446)</f>
        <v/>
      </c>
      <c r="I464" s="34" t="str">
        <f aca="false">IF($A464="","",IF(AND(ISNUMBER('SC Change Orders'!$C446),'SC Change Orders'!$C446&gt;=Controls!$C$5,'SC Change Orders'!$C446&lt;=Controls!$C$6),"Yes","No"))</f>
        <v/>
      </c>
      <c r="J464" s="31" t="str">
        <f aca="false">IF($A464="","",IF($K464="","OK",$K464))</f>
        <v/>
      </c>
      <c r="K464" s="0" t="str">
        <f aca="false">IF($A464="","",IF(NOT(ISNUMBER('SC Change Orders'!$B446)),"PO not numeric — row is invisible to the tracker; ","")&amp;IF(NOT(ISNUMBER('SC Change Orders'!$C446)),"Date missing or text — row excluded; ",  IF(OR('SC Change Orders'!$C446&lt;Controls!$C$5,'SC Change Orders'!$C446&gt;Controls!$C$6),"Dated outside the FY window — excluded; ",""))&amp;IF(AND('SC Change Orders'!$E446&lt;&gt;"",NOT(ISNUMBER('SC Change Orders'!$E446))),"Original Amount held as text — ignored by MINIFS; ","")&amp;IF(AND('SC Change Orders'!$F446&lt;&gt;"",NOT(ISNUMBER('SC Change Orders'!$F446))),"Amount Added held as text — ignored by SUMIFS; ","")&amp;IF(ISNUMBER('SC Change Orders'!$E446),IF(ISNUMBER('SC Change Orders'!$F446),IF(ISNUMBER('SC Change Orders'!$G446),  IF('SC Change Orders'!$G446&gt;0,IF(ROUND('SC Change Orders'!$E446+'SC Change Orders'!$F446,2)&lt;&gt;ROUND('SC Change Orders'!$G446,2),  "Original + Added &lt;&gt; Total Line Cost Allotted; ",""),""),""),""),"")&amp;IF(AND(ISNUMBER('SC Change Orders'!$B446),COUNTIFS('SC Change Orders'!$B$2:$B$501,'SC Change Orders'!$B446,'SC Change Orders'!$C$2:$C$501,'SC Change Orders'!$C446,'SC Change Orders'!$D$2:$D$501,'SC Change Orders'!$D446,'SC Change Orders'!$F$2:$F$501,'SC Change Orders'!$F446,'SC Change Orders'!$E$2:$E$501,'SC Change Orders'!$E446)&gt;1),"Duplicate of another row — funds counted twice; ","")&amp;IF(ISNUMBER('SC Change Orders'!$F446),IF('SC Change Orders'!$F446&lt;&gt;0,IF(AND(ISNUMBER('SC Change Orders'!$B446),NOT(COUNTIFS('SC Change Orders'!$B$2:$B$501,'SC Change Orders'!$B446,'SC Change Orders'!$C$2:$C$501,'SC Change Orders'!$C446,'SC Change Orders'!$D$2:$D$501,'SC Change Orders'!$D446,'SC Change Orders'!$F$2:$F$501,'SC Change Orders'!$F446,'SC Change Orders'!$E$2:$E$501,'SC Change Orders'!$E446)&gt;1),COUNTIFS('SC Change Orders'!$B$2:$B$501,'SC Change Orders'!$B446,'SC Change Orders'!$F$2:$F$501,'SC Change Orders'!$F446)&gt;1),  "Same PO and Amount Added as another row — check for a restatement counted twice; ",""),""),""))</f>
        <v/>
      </c>
    </row>
    <row r="465" customFormat="false" ht="15" hidden="false" customHeight="false" outlineLevel="0" collapsed="false">
      <c r="A465" s="18" t="str">
        <f aca="false">IF(AND('SC Change Orders'!$A447="",'SC Change Orders'!$B447="",'SC Change Orders'!$C447=""),"",447)</f>
        <v/>
      </c>
      <c r="B465" s="31" t="str">
        <f aca="false">IF($A465="","",'SC Change Orders'!$A447)</f>
        <v/>
      </c>
      <c r="C465" s="18" t="str">
        <f aca="false">IF($A465="","",'SC Change Orders'!$B447)</f>
        <v/>
      </c>
      <c r="D465" s="32" t="str">
        <f aca="false">IF($A465="","",'SC Change Orders'!$C447)</f>
        <v/>
      </c>
      <c r="E465" s="31" t="str">
        <f aca="false">IF($A465="","",'SC Change Orders'!$D447)</f>
        <v/>
      </c>
      <c r="F465" s="33" t="str">
        <f aca="false">IF($A465="","",'SC Change Orders'!$E447)</f>
        <v/>
      </c>
      <c r="G465" s="33" t="str">
        <f aca="false">IF($A465="","",'SC Change Orders'!$F447)</f>
        <v/>
      </c>
      <c r="H465" s="33" t="str">
        <f aca="false">IF($A465="","",'SC Change Orders'!$G447)</f>
        <v/>
      </c>
      <c r="I465" s="34" t="str">
        <f aca="false">IF($A465="","",IF(AND(ISNUMBER('SC Change Orders'!$C447),'SC Change Orders'!$C447&gt;=Controls!$C$5,'SC Change Orders'!$C447&lt;=Controls!$C$6),"Yes","No"))</f>
        <v/>
      </c>
      <c r="J465" s="31" t="str">
        <f aca="false">IF($A465="","",IF($K465="","OK",$K465))</f>
        <v/>
      </c>
      <c r="K465" s="0" t="str">
        <f aca="false">IF($A465="","",IF(NOT(ISNUMBER('SC Change Orders'!$B447)),"PO not numeric — row is invisible to the tracker; ","")&amp;IF(NOT(ISNUMBER('SC Change Orders'!$C447)),"Date missing or text — row excluded; ",  IF(OR('SC Change Orders'!$C447&lt;Controls!$C$5,'SC Change Orders'!$C447&gt;Controls!$C$6),"Dated outside the FY window — excluded; ",""))&amp;IF(AND('SC Change Orders'!$E447&lt;&gt;"",NOT(ISNUMBER('SC Change Orders'!$E447))),"Original Amount held as text — ignored by MINIFS; ","")&amp;IF(AND('SC Change Orders'!$F447&lt;&gt;"",NOT(ISNUMBER('SC Change Orders'!$F447))),"Amount Added held as text — ignored by SUMIFS; ","")&amp;IF(ISNUMBER('SC Change Orders'!$E447),IF(ISNUMBER('SC Change Orders'!$F447),IF(ISNUMBER('SC Change Orders'!$G447),  IF('SC Change Orders'!$G447&gt;0,IF(ROUND('SC Change Orders'!$E447+'SC Change Orders'!$F447,2)&lt;&gt;ROUND('SC Change Orders'!$G447,2),  "Original + Added &lt;&gt; Total Line Cost Allotted; ",""),""),""),""),"")&amp;IF(AND(ISNUMBER('SC Change Orders'!$B447),COUNTIFS('SC Change Orders'!$B$2:$B$501,'SC Change Orders'!$B447,'SC Change Orders'!$C$2:$C$501,'SC Change Orders'!$C447,'SC Change Orders'!$D$2:$D$501,'SC Change Orders'!$D447,'SC Change Orders'!$F$2:$F$501,'SC Change Orders'!$F447,'SC Change Orders'!$E$2:$E$501,'SC Change Orders'!$E447)&gt;1),"Duplicate of another row — funds counted twice; ","")&amp;IF(ISNUMBER('SC Change Orders'!$F447),IF('SC Change Orders'!$F447&lt;&gt;0,IF(AND(ISNUMBER('SC Change Orders'!$B447),NOT(COUNTIFS('SC Change Orders'!$B$2:$B$501,'SC Change Orders'!$B447,'SC Change Orders'!$C$2:$C$501,'SC Change Orders'!$C447,'SC Change Orders'!$D$2:$D$501,'SC Change Orders'!$D447,'SC Change Orders'!$F$2:$F$501,'SC Change Orders'!$F447,'SC Change Orders'!$E$2:$E$501,'SC Change Orders'!$E447)&gt;1),COUNTIFS('SC Change Orders'!$B$2:$B$501,'SC Change Orders'!$B447,'SC Change Orders'!$F$2:$F$501,'SC Change Orders'!$F447)&gt;1),  "Same PO and Amount Added as another row — check for a restatement counted twice; ",""),""),""))</f>
        <v/>
      </c>
    </row>
    <row r="466" customFormat="false" ht="15" hidden="false" customHeight="false" outlineLevel="0" collapsed="false">
      <c r="A466" s="18" t="str">
        <f aca="false">IF(AND('SC Change Orders'!$A448="",'SC Change Orders'!$B448="",'SC Change Orders'!$C448=""),"",448)</f>
        <v/>
      </c>
      <c r="B466" s="31" t="str">
        <f aca="false">IF($A466="","",'SC Change Orders'!$A448)</f>
        <v/>
      </c>
      <c r="C466" s="18" t="str">
        <f aca="false">IF($A466="","",'SC Change Orders'!$B448)</f>
        <v/>
      </c>
      <c r="D466" s="32" t="str">
        <f aca="false">IF($A466="","",'SC Change Orders'!$C448)</f>
        <v/>
      </c>
      <c r="E466" s="31" t="str">
        <f aca="false">IF($A466="","",'SC Change Orders'!$D448)</f>
        <v/>
      </c>
      <c r="F466" s="33" t="str">
        <f aca="false">IF($A466="","",'SC Change Orders'!$E448)</f>
        <v/>
      </c>
      <c r="G466" s="33" t="str">
        <f aca="false">IF($A466="","",'SC Change Orders'!$F448)</f>
        <v/>
      </c>
      <c r="H466" s="33" t="str">
        <f aca="false">IF($A466="","",'SC Change Orders'!$G448)</f>
        <v/>
      </c>
      <c r="I466" s="34" t="str">
        <f aca="false">IF($A466="","",IF(AND(ISNUMBER('SC Change Orders'!$C448),'SC Change Orders'!$C448&gt;=Controls!$C$5,'SC Change Orders'!$C448&lt;=Controls!$C$6),"Yes","No"))</f>
        <v/>
      </c>
      <c r="J466" s="31" t="str">
        <f aca="false">IF($A466="","",IF($K466="","OK",$K466))</f>
        <v/>
      </c>
      <c r="K466" s="0" t="str">
        <f aca="false">IF($A466="","",IF(NOT(ISNUMBER('SC Change Orders'!$B448)),"PO not numeric — row is invisible to the tracker; ","")&amp;IF(NOT(ISNUMBER('SC Change Orders'!$C448)),"Date missing or text — row excluded; ",  IF(OR('SC Change Orders'!$C448&lt;Controls!$C$5,'SC Change Orders'!$C448&gt;Controls!$C$6),"Dated outside the FY window — excluded; ",""))&amp;IF(AND('SC Change Orders'!$E448&lt;&gt;"",NOT(ISNUMBER('SC Change Orders'!$E448))),"Original Amount held as text — ignored by MINIFS; ","")&amp;IF(AND('SC Change Orders'!$F448&lt;&gt;"",NOT(ISNUMBER('SC Change Orders'!$F448))),"Amount Added held as text — ignored by SUMIFS; ","")&amp;IF(ISNUMBER('SC Change Orders'!$E448),IF(ISNUMBER('SC Change Orders'!$F448),IF(ISNUMBER('SC Change Orders'!$G448),  IF('SC Change Orders'!$G448&gt;0,IF(ROUND('SC Change Orders'!$E448+'SC Change Orders'!$F448,2)&lt;&gt;ROUND('SC Change Orders'!$G448,2),  "Original + Added &lt;&gt; Total Line Cost Allotted; ",""),""),""),""),"")&amp;IF(AND(ISNUMBER('SC Change Orders'!$B448),COUNTIFS('SC Change Orders'!$B$2:$B$501,'SC Change Orders'!$B448,'SC Change Orders'!$C$2:$C$501,'SC Change Orders'!$C448,'SC Change Orders'!$D$2:$D$501,'SC Change Orders'!$D448,'SC Change Orders'!$F$2:$F$501,'SC Change Orders'!$F448,'SC Change Orders'!$E$2:$E$501,'SC Change Orders'!$E448)&gt;1),"Duplicate of another row — funds counted twice; ","")&amp;IF(ISNUMBER('SC Change Orders'!$F448),IF('SC Change Orders'!$F448&lt;&gt;0,IF(AND(ISNUMBER('SC Change Orders'!$B448),NOT(COUNTIFS('SC Change Orders'!$B$2:$B$501,'SC Change Orders'!$B448,'SC Change Orders'!$C$2:$C$501,'SC Change Orders'!$C448,'SC Change Orders'!$D$2:$D$501,'SC Change Orders'!$D448,'SC Change Orders'!$F$2:$F$501,'SC Change Orders'!$F448,'SC Change Orders'!$E$2:$E$501,'SC Change Orders'!$E448)&gt;1),COUNTIFS('SC Change Orders'!$B$2:$B$501,'SC Change Orders'!$B448,'SC Change Orders'!$F$2:$F$501,'SC Change Orders'!$F448)&gt;1),  "Same PO and Amount Added as another row — check for a restatement counted twice; ",""),""),""))</f>
        <v/>
      </c>
    </row>
    <row r="467" customFormat="false" ht="15" hidden="false" customHeight="false" outlineLevel="0" collapsed="false">
      <c r="A467" s="18" t="str">
        <f aca="false">IF(AND('SC Change Orders'!$A449="",'SC Change Orders'!$B449="",'SC Change Orders'!$C449=""),"",449)</f>
        <v/>
      </c>
      <c r="B467" s="31" t="str">
        <f aca="false">IF($A467="","",'SC Change Orders'!$A449)</f>
        <v/>
      </c>
      <c r="C467" s="18" t="str">
        <f aca="false">IF($A467="","",'SC Change Orders'!$B449)</f>
        <v/>
      </c>
      <c r="D467" s="32" t="str">
        <f aca="false">IF($A467="","",'SC Change Orders'!$C449)</f>
        <v/>
      </c>
      <c r="E467" s="31" t="str">
        <f aca="false">IF($A467="","",'SC Change Orders'!$D449)</f>
        <v/>
      </c>
      <c r="F467" s="33" t="str">
        <f aca="false">IF($A467="","",'SC Change Orders'!$E449)</f>
        <v/>
      </c>
      <c r="G467" s="33" t="str">
        <f aca="false">IF($A467="","",'SC Change Orders'!$F449)</f>
        <v/>
      </c>
      <c r="H467" s="33" t="str">
        <f aca="false">IF($A467="","",'SC Change Orders'!$G449)</f>
        <v/>
      </c>
      <c r="I467" s="34" t="str">
        <f aca="false">IF($A467="","",IF(AND(ISNUMBER('SC Change Orders'!$C449),'SC Change Orders'!$C449&gt;=Controls!$C$5,'SC Change Orders'!$C449&lt;=Controls!$C$6),"Yes","No"))</f>
        <v/>
      </c>
      <c r="J467" s="31" t="str">
        <f aca="false">IF($A467="","",IF($K467="","OK",$K467))</f>
        <v/>
      </c>
      <c r="K467" s="0" t="str">
        <f aca="false">IF($A467="","",IF(NOT(ISNUMBER('SC Change Orders'!$B449)),"PO not numeric — row is invisible to the tracker; ","")&amp;IF(NOT(ISNUMBER('SC Change Orders'!$C449)),"Date missing or text — row excluded; ",  IF(OR('SC Change Orders'!$C449&lt;Controls!$C$5,'SC Change Orders'!$C449&gt;Controls!$C$6),"Dated outside the FY window — excluded; ",""))&amp;IF(AND('SC Change Orders'!$E449&lt;&gt;"",NOT(ISNUMBER('SC Change Orders'!$E449))),"Original Amount held as text — ignored by MINIFS; ","")&amp;IF(AND('SC Change Orders'!$F449&lt;&gt;"",NOT(ISNUMBER('SC Change Orders'!$F449))),"Amount Added held as text — ignored by SUMIFS; ","")&amp;IF(ISNUMBER('SC Change Orders'!$E449),IF(ISNUMBER('SC Change Orders'!$F449),IF(ISNUMBER('SC Change Orders'!$G449),  IF('SC Change Orders'!$G449&gt;0,IF(ROUND('SC Change Orders'!$E449+'SC Change Orders'!$F449,2)&lt;&gt;ROUND('SC Change Orders'!$G449,2),  "Original + Added &lt;&gt; Total Line Cost Allotted; ",""),""),""),""),"")&amp;IF(AND(ISNUMBER('SC Change Orders'!$B449),COUNTIFS('SC Change Orders'!$B$2:$B$501,'SC Change Orders'!$B449,'SC Change Orders'!$C$2:$C$501,'SC Change Orders'!$C449,'SC Change Orders'!$D$2:$D$501,'SC Change Orders'!$D449,'SC Change Orders'!$F$2:$F$501,'SC Change Orders'!$F449,'SC Change Orders'!$E$2:$E$501,'SC Change Orders'!$E449)&gt;1),"Duplicate of another row — funds counted twice; ","")&amp;IF(ISNUMBER('SC Change Orders'!$F449),IF('SC Change Orders'!$F449&lt;&gt;0,IF(AND(ISNUMBER('SC Change Orders'!$B449),NOT(COUNTIFS('SC Change Orders'!$B$2:$B$501,'SC Change Orders'!$B449,'SC Change Orders'!$C$2:$C$501,'SC Change Orders'!$C449,'SC Change Orders'!$D$2:$D$501,'SC Change Orders'!$D449,'SC Change Orders'!$F$2:$F$501,'SC Change Orders'!$F449,'SC Change Orders'!$E$2:$E$501,'SC Change Orders'!$E449)&gt;1),COUNTIFS('SC Change Orders'!$B$2:$B$501,'SC Change Orders'!$B449,'SC Change Orders'!$F$2:$F$501,'SC Change Orders'!$F449)&gt;1),  "Same PO and Amount Added as another row — check for a restatement counted twice; ",""),""),""))</f>
        <v/>
      </c>
    </row>
    <row r="468" customFormat="false" ht="15" hidden="false" customHeight="false" outlineLevel="0" collapsed="false">
      <c r="A468" s="18" t="str">
        <f aca="false">IF(AND('SC Change Orders'!$A450="",'SC Change Orders'!$B450="",'SC Change Orders'!$C450=""),"",450)</f>
        <v/>
      </c>
      <c r="B468" s="31" t="str">
        <f aca="false">IF($A468="","",'SC Change Orders'!$A450)</f>
        <v/>
      </c>
      <c r="C468" s="18" t="str">
        <f aca="false">IF($A468="","",'SC Change Orders'!$B450)</f>
        <v/>
      </c>
      <c r="D468" s="32" t="str">
        <f aca="false">IF($A468="","",'SC Change Orders'!$C450)</f>
        <v/>
      </c>
      <c r="E468" s="31" t="str">
        <f aca="false">IF($A468="","",'SC Change Orders'!$D450)</f>
        <v/>
      </c>
      <c r="F468" s="33" t="str">
        <f aca="false">IF($A468="","",'SC Change Orders'!$E450)</f>
        <v/>
      </c>
      <c r="G468" s="33" t="str">
        <f aca="false">IF($A468="","",'SC Change Orders'!$F450)</f>
        <v/>
      </c>
      <c r="H468" s="33" t="str">
        <f aca="false">IF($A468="","",'SC Change Orders'!$G450)</f>
        <v/>
      </c>
      <c r="I468" s="34" t="str">
        <f aca="false">IF($A468="","",IF(AND(ISNUMBER('SC Change Orders'!$C450),'SC Change Orders'!$C450&gt;=Controls!$C$5,'SC Change Orders'!$C450&lt;=Controls!$C$6),"Yes","No"))</f>
        <v/>
      </c>
      <c r="J468" s="31" t="str">
        <f aca="false">IF($A468="","",IF($K468="","OK",$K468))</f>
        <v/>
      </c>
      <c r="K468" s="0" t="str">
        <f aca="false">IF($A468="","",IF(NOT(ISNUMBER('SC Change Orders'!$B450)),"PO not numeric — row is invisible to the tracker; ","")&amp;IF(NOT(ISNUMBER('SC Change Orders'!$C450)),"Date missing or text — row excluded; ",  IF(OR('SC Change Orders'!$C450&lt;Controls!$C$5,'SC Change Orders'!$C450&gt;Controls!$C$6),"Dated outside the FY window — excluded; ",""))&amp;IF(AND('SC Change Orders'!$E450&lt;&gt;"",NOT(ISNUMBER('SC Change Orders'!$E450))),"Original Amount held as text — ignored by MINIFS; ","")&amp;IF(AND('SC Change Orders'!$F450&lt;&gt;"",NOT(ISNUMBER('SC Change Orders'!$F450))),"Amount Added held as text — ignored by SUMIFS; ","")&amp;IF(ISNUMBER('SC Change Orders'!$E450),IF(ISNUMBER('SC Change Orders'!$F450),IF(ISNUMBER('SC Change Orders'!$G450),  IF('SC Change Orders'!$G450&gt;0,IF(ROUND('SC Change Orders'!$E450+'SC Change Orders'!$F450,2)&lt;&gt;ROUND('SC Change Orders'!$G450,2),  "Original + Added &lt;&gt; Total Line Cost Allotted; ",""),""),""),""),"")&amp;IF(AND(ISNUMBER('SC Change Orders'!$B450),COUNTIFS('SC Change Orders'!$B$2:$B$501,'SC Change Orders'!$B450,'SC Change Orders'!$C$2:$C$501,'SC Change Orders'!$C450,'SC Change Orders'!$D$2:$D$501,'SC Change Orders'!$D450,'SC Change Orders'!$F$2:$F$501,'SC Change Orders'!$F450,'SC Change Orders'!$E$2:$E$501,'SC Change Orders'!$E450)&gt;1),"Duplicate of another row — funds counted twice; ","")&amp;IF(ISNUMBER('SC Change Orders'!$F450),IF('SC Change Orders'!$F450&lt;&gt;0,IF(AND(ISNUMBER('SC Change Orders'!$B450),NOT(COUNTIFS('SC Change Orders'!$B$2:$B$501,'SC Change Orders'!$B450,'SC Change Orders'!$C$2:$C$501,'SC Change Orders'!$C450,'SC Change Orders'!$D$2:$D$501,'SC Change Orders'!$D450,'SC Change Orders'!$F$2:$F$501,'SC Change Orders'!$F450,'SC Change Orders'!$E$2:$E$501,'SC Change Orders'!$E450)&gt;1),COUNTIFS('SC Change Orders'!$B$2:$B$501,'SC Change Orders'!$B450,'SC Change Orders'!$F$2:$F$501,'SC Change Orders'!$F450)&gt;1),  "Same PO and Amount Added as another row — check for a restatement counted twice; ",""),""),""))</f>
        <v/>
      </c>
    </row>
    <row r="469" customFormat="false" ht="15" hidden="false" customHeight="false" outlineLevel="0" collapsed="false">
      <c r="A469" s="18" t="str">
        <f aca="false">IF(AND('SC Change Orders'!$A451="",'SC Change Orders'!$B451="",'SC Change Orders'!$C451=""),"",451)</f>
        <v/>
      </c>
      <c r="B469" s="31" t="str">
        <f aca="false">IF($A469="","",'SC Change Orders'!$A451)</f>
        <v/>
      </c>
      <c r="C469" s="18" t="str">
        <f aca="false">IF($A469="","",'SC Change Orders'!$B451)</f>
        <v/>
      </c>
      <c r="D469" s="32" t="str">
        <f aca="false">IF($A469="","",'SC Change Orders'!$C451)</f>
        <v/>
      </c>
      <c r="E469" s="31" t="str">
        <f aca="false">IF($A469="","",'SC Change Orders'!$D451)</f>
        <v/>
      </c>
      <c r="F469" s="33" t="str">
        <f aca="false">IF($A469="","",'SC Change Orders'!$E451)</f>
        <v/>
      </c>
      <c r="G469" s="33" t="str">
        <f aca="false">IF($A469="","",'SC Change Orders'!$F451)</f>
        <v/>
      </c>
      <c r="H469" s="33" t="str">
        <f aca="false">IF($A469="","",'SC Change Orders'!$G451)</f>
        <v/>
      </c>
      <c r="I469" s="34" t="str">
        <f aca="false">IF($A469="","",IF(AND(ISNUMBER('SC Change Orders'!$C451),'SC Change Orders'!$C451&gt;=Controls!$C$5,'SC Change Orders'!$C451&lt;=Controls!$C$6),"Yes","No"))</f>
        <v/>
      </c>
      <c r="J469" s="31" t="str">
        <f aca="false">IF($A469="","",IF($K469="","OK",$K469))</f>
        <v/>
      </c>
      <c r="K469" s="0" t="str">
        <f aca="false">IF($A469="","",IF(NOT(ISNUMBER('SC Change Orders'!$B451)),"PO not numeric — row is invisible to the tracker; ","")&amp;IF(NOT(ISNUMBER('SC Change Orders'!$C451)),"Date missing or text — row excluded; ",  IF(OR('SC Change Orders'!$C451&lt;Controls!$C$5,'SC Change Orders'!$C451&gt;Controls!$C$6),"Dated outside the FY window — excluded; ",""))&amp;IF(AND('SC Change Orders'!$E451&lt;&gt;"",NOT(ISNUMBER('SC Change Orders'!$E451))),"Original Amount held as text — ignored by MINIFS; ","")&amp;IF(AND('SC Change Orders'!$F451&lt;&gt;"",NOT(ISNUMBER('SC Change Orders'!$F451))),"Amount Added held as text — ignored by SUMIFS; ","")&amp;IF(ISNUMBER('SC Change Orders'!$E451),IF(ISNUMBER('SC Change Orders'!$F451),IF(ISNUMBER('SC Change Orders'!$G451),  IF('SC Change Orders'!$G451&gt;0,IF(ROUND('SC Change Orders'!$E451+'SC Change Orders'!$F451,2)&lt;&gt;ROUND('SC Change Orders'!$G451,2),  "Original + Added &lt;&gt; Total Line Cost Allotted; ",""),""),""),""),"")&amp;IF(AND(ISNUMBER('SC Change Orders'!$B451),COUNTIFS('SC Change Orders'!$B$2:$B$501,'SC Change Orders'!$B451,'SC Change Orders'!$C$2:$C$501,'SC Change Orders'!$C451,'SC Change Orders'!$D$2:$D$501,'SC Change Orders'!$D451,'SC Change Orders'!$F$2:$F$501,'SC Change Orders'!$F451,'SC Change Orders'!$E$2:$E$501,'SC Change Orders'!$E451)&gt;1),"Duplicate of another row — funds counted twice; ","")&amp;IF(ISNUMBER('SC Change Orders'!$F451),IF('SC Change Orders'!$F451&lt;&gt;0,IF(AND(ISNUMBER('SC Change Orders'!$B451),NOT(COUNTIFS('SC Change Orders'!$B$2:$B$501,'SC Change Orders'!$B451,'SC Change Orders'!$C$2:$C$501,'SC Change Orders'!$C451,'SC Change Orders'!$D$2:$D$501,'SC Change Orders'!$D451,'SC Change Orders'!$F$2:$F$501,'SC Change Orders'!$F451,'SC Change Orders'!$E$2:$E$501,'SC Change Orders'!$E451)&gt;1),COUNTIFS('SC Change Orders'!$B$2:$B$501,'SC Change Orders'!$B451,'SC Change Orders'!$F$2:$F$501,'SC Change Orders'!$F451)&gt;1),  "Same PO and Amount Added as another row — check for a restatement counted twice; ",""),""),""))</f>
        <v/>
      </c>
    </row>
    <row r="470" customFormat="false" ht="15" hidden="false" customHeight="false" outlineLevel="0" collapsed="false">
      <c r="A470" s="18" t="str">
        <f aca="false">IF(AND('SC Change Orders'!$A452="",'SC Change Orders'!$B452="",'SC Change Orders'!$C452=""),"",452)</f>
        <v/>
      </c>
      <c r="B470" s="31" t="str">
        <f aca="false">IF($A470="","",'SC Change Orders'!$A452)</f>
        <v/>
      </c>
      <c r="C470" s="18" t="str">
        <f aca="false">IF($A470="","",'SC Change Orders'!$B452)</f>
        <v/>
      </c>
      <c r="D470" s="32" t="str">
        <f aca="false">IF($A470="","",'SC Change Orders'!$C452)</f>
        <v/>
      </c>
      <c r="E470" s="31" t="str">
        <f aca="false">IF($A470="","",'SC Change Orders'!$D452)</f>
        <v/>
      </c>
      <c r="F470" s="33" t="str">
        <f aca="false">IF($A470="","",'SC Change Orders'!$E452)</f>
        <v/>
      </c>
      <c r="G470" s="33" t="str">
        <f aca="false">IF($A470="","",'SC Change Orders'!$F452)</f>
        <v/>
      </c>
      <c r="H470" s="33" t="str">
        <f aca="false">IF($A470="","",'SC Change Orders'!$G452)</f>
        <v/>
      </c>
      <c r="I470" s="34" t="str">
        <f aca="false">IF($A470="","",IF(AND(ISNUMBER('SC Change Orders'!$C452),'SC Change Orders'!$C452&gt;=Controls!$C$5,'SC Change Orders'!$C452&lt;=Controls!$C$6),"Yes","No"))</f>
        <v/>
      </c>
      <c r="J470" s="31" t="str">
        <f aca="false">IF($A470="","",IF($K470="","OK",$K470))</f>
        <v/>
      </c>
      <c r="K470" s="0" t="str">
        <f aca="false">IF($A470="","",IF(NOT(ISNUMBER('SC Change Orders'!$B452)),"PO not numeric — row is invisible to the tracker; ","")&amp;IF(NOT(ISNUMBER('SC Change Orders'!$C452)),"Date missing or text — row excluded; ",  IF(OR('SC Change Orders'!$C452&lt;Controls!$C$5,'SC Change Orders'!$C452&gt;Controls!$C$6),"Dated outside the FY window — excluded; ",""))&amp;IF(AND('SC Change Orders'!$E452&lt;&gt;"",NOT(ISNUMBER('SC Change Orders'!$E452))),"Original Amount held as text — ignored by MINIFS; ","")&amp;IF(AND('SC Change Orders'!$F452&lt;&gt;"",NOT(ISNUMBER('SC Change Orders'!$F452))),"Amount Added held as text — ignored by SUMIFS; ","")&amp;IF(ISNUMBER('SC Change Orders'!$E452),IF(ISNUMBER('SC Change Orders'!$F452),IF(ISNUMBER('SC Change Orders'!$G452),  IF('SC Change Orders'!$G452&gt;0,IF(ROUND('SC Change Orders'!$E452+'SC Change Orders'!$F452,2)&lt;&gt;ROUND('SC Change Orders'!$G452,2),  "Original + Added &lt;&gt; Total Line Cost Allotted; ",""),""),""),""),"")&amp;IF(AND(ISNUMBER('SC Change Orders'!$B452),COUNTIFS('SC Change Orders'!$B$2:$B$501,'SC Change Orders'!$B452,'SC Change Orders'!$C$2:$C$501,'SC Change Orders'!$C452,'SC Change Orders'!$D$2:$D$501,'SC Change Orders'!$D452,'SC Change Orders'!$F$2:$F$501,'SC Change Orders'!$F452,'SC Change Orders'!$E$2:$E$501,'SC Change Orders'!$E452)&gt;1),"Duplicate of another row — funds counted twice; ","")&amp;IF(ISNUMBER('SC Change Orders'!$F452),IF('SC Change Orders'!$F452&lt;&gt;0,IF(AND(ISNUMBER('SC Change Orders'!$B452),NOT(COUNTIFS('SC Change Orders'!$B$2:$B$501,'SC Change Orders'!$B452,'SC Change Orders'!$C$2:$C$501,'SC Change Orders'!$C452,'SC Change Orders'!$D$2:$D$501,'SC Change Orders'!$D452,'SC Change Orders'!$F$2:$F$501,'SC Change Orders'!$F452,'SC Change Orders'!$E$2:$E$501,'SC Change Orders'!$E452)&gt;1),COUNTIFS('SC Change Orders'!$B$2:$B$501,'SC Change Orders'!$B452,'SC Change Orders'!$F$2:$F$501,'SC Change Orders'!$F452)&gt;1),  "Same PO and Amount Added as another row — check for a restatement counted twice; ",""),""),""))</f>
        <v/>
      </c>
    </row>
    <row r="471" customFormat="false" ht="15" hidden="false" customHeight="false" outlineLevel="0" collapsed="false">
      <c r="A471" s="18" t="str">
        <f aca="false">IF(AND('SC Change Orders'!$A453="",'SC Change Orders'!$B453="",'SC Change Orders'!$C453=""),"",453)</f>
        <v/>
      </c>
      <c r="B471" s="31" t="str">
        <f aca="false">IF($A471="","",'SC Change Orders'!$A453)</f>
        <v/>
      </c>
      <c r="C471" s="18" t="str">
        <f aca="false">IF($A471="","",'SC Change Orders'!$B453)</f>
        <v/>
      </c>
      <c r="D471" s="32" t="str">
        <f aca="false">IF($A471="","",'SC Change Orders'!$C453)</f>
        <v/>
      </c>
      <c r="E471" s="31" t="str">
        <f aca="false">IF($A471="","",'SC Change Orders'!$D453)</f>
        <v/>
      </c>
      <c r="F471" s="33" t="str">
        <f aca="false">IF($A471="","",'SC Change Orders'!$E453)</f>
        <v/>
      </c>
      <c r="G471" s="33" t="str">
        <f aca="false">IF($A471="","",'SC Change Orders'!$F453)</f>
        <v/>
      </c>
      <c r="H471" s="33" t="str">
        <f aca="false">IF($A471="","",'SC Change Orders'!$G453)</f>
        <v/>
      </c>
      <c r="I471" s="34" t="str">
        <f aca="false">IF($A471="","",IF(AND(ISNUMBER('SC Change Orders'!$C453),'SC Change Orders'!$C453&gt;=Controls!$C$5,'SC Change Orders'!$C453&lt;=Controls!$C$6),"Yes","No"))</f>
        <v/>
      </c>
      <c r="J471" s="31" t="str">
        <f aca="false">IF($A471="","",IF($K471="","OK",$K471))</f>
        <v/>
      </c>
      <c r="K471" s="0" t="str">
        <f aca="false">IF($A471="","",IF(NOT(ISNUMBER('SC Change Orders'!$B453)),"PO not numeric — row is invisible to the tracker; ","")&amp;IF(NOT(ISNUMBER('SC Change Orders'!$C453)),"Date missing or text — row excluded; ",  IF(OR('SC Change Orders'!$C453&lt;Controls!$C$5,'SC Change Orders'!$C453&gt;Controls!$C$6),"Dated outside the FY window — excluded; ",""))&amp;IF(AND('SC Change Orders'!$E453&lt;&gt;"",NOT(ISNUMBER('SC Change Orders'!$E453))),"Original Amount held as text — ignored by MINIFS; ","")&amp;IF(AND('SC Change Orders'!$F453&lt;&gt;"",NOT(ISNUMBER('SC Change Orders'!$F453))),"Amount Added held as text — ignored by SUMIFS; ","")&amp;IF(ISNUMBER('SC Change Orders'!$E453),IF(ISNUMBER('SC Change Orders'!$F453),IF(ISNUMBER('SC Change Orders'!$G453),  IF('SC Change Orders'!$G453&gt;0,IF(ROUND('SC Change Orders'!$E453+'SC Change Orders'!$F453,2)&lt;&gt;ROUND('SC Change Orders'!$G453,2),  "Original + Added &lt;&gt; Total Line Cost Allotted; ",""),""),""),""),"")&amp;IF(AND(ISNUMBER('SC Change Orders'!$B453),COUNTIFS('SC Change Orders'!$B$2:$B$501,'SC Change Orders'!$B453,'SC Change Orders'!$C$2:$C$501,'SC Change Orders'!$C453,'SC Change Orders'!$D$2:$D$501,'SC Change Orders'!$D453,'SC Change Orders'!$F$2:$F$501,'SC Change Orders'!$F453,'SC Change Orders'!$E$2:$E$501,'SC Change Orders'!$E453)&gt;1),"Duplicate of another row — funds counted twice; ","")&amp;IF(ISNUMBER('SC Change Orders'!$F453),IF('SC Change Orders'!$F453&lt;&gt;0,IF(AND(ISNUMBER('SC Change Orders'!$B453),NOT(COUNTIFS('SC Change Orders'!$B$2:$B$501,'SC Change Orders'!$B453,'SC Change Orders'!$C$2:$C$501,'SC Change Orders'!$C453,'SC Change Orders'!$D$2:$D$501,'SC Change Orders'!$D453,'SC Change Orders'!$F$2:$F$501,'SC Change Orders'!$F453,'SC Change Orders'!$E$2:$E$501,'SC Change Orders'!$E453)&gt;1),COUNTIFS('SC Change Orders'!$B$2:$B$501,'SC Change Orders'!$B453,'SC Change Orders'!$F$2:$F$501,'SC Change Orders'!$F453)&gt;1),  "Same PO and Amount Added as another row — check for a restatement counted twice; ",""),""),""))</f>
        <v/>
      </c>
    </row>
    <row r="472" customFormat="false" ht="15" hidden="false" customHeight="false" outlineLevel="0" collapsed="false">
      <c r="A472" s="18" t="str">
        <f aca="false">IF(AND('SC Change Orders'!$A454="",'SC Change Orders'!$B454="",'SC Change Orders'!$C454=""),"",454)</f>
        <v/>
      </c>
      <c r="B472" s="31" t="str">
        <f aca="false">IF($A472="","",'SC Change Orders'!$A454)</f>
        <v/>
      </c>
      <c r="C472" s="18" t="str">
        <f aca="false">IF($A472="","",'SC Change Orders'!$B454)</f>
        <v/>
      </c>
      <c r="D472" s="32" t="str">
        <f aca="false">IF($A472="","",'SC Change Orders'!$C454)</f>
        <v/>
      </c>
      <c r="E472" s="31" t="str">
        <f aca="false">IF($A472="","",'SC Change Orders'!$D454)</f>
        <v/>
      </c>
      <c r="F472" s="33" t="str">
        <f aca="false">IF($A472="","",'SC Change Orders'!$E454)</f>
        <v/>
      </c>
      <c r="G472" s="33" t="str">
        <f aca="false">IF($A472="","",'SC Change Orders'!$F454)</f>
        <v/>
      </c>
      <c r="H472" s="33" t="str">
        <f aca="false">IF($A472="","",'SC Change Orders'!$G454)</f>
        <v/>
      </c>
      <c r="I472" s="34" t="str">
        <f aca="false">IF($A472="","",IF(AND(ISNUMBER('SC Change Orders'!$C454),'SC Change Orders'!$C454&gt;=Controls!$C$5,'SC Change Orders'!$C454&lt;=Controls!$C$6),"Yes","No"))</f>
        <v/>
      </c>
      <c r="J472" s="31" t="str">
        <f aca="false">IF($A472="","",IF($K472="","OK",$K472))</f>
        <v/>
      </c>
      <c r="K472" s="0" t="str">
        <f aca="false">IF($A472="","",IF(NOT(ISNUMBER('SC Change Orders'!$B454)),"PO not numeric — row is invisible to the tracker; ","")&amp;IF(NOT(ISNUMBER('SC Change Orders'!$C454)),"Date missing or text — row excluded; ",  IF(OR('SC Change Orders'!$C454&lt;Controls!$C$5,'SC Change Orders'!$C454&gt;Controls!$C$6),"Dated outside the FY window — excluded; ",""))&amp;IF(AND('SC Change Orders'!$E454&lt;&gt;"",NOT(ISNUMBER('SC Change Orders'!$E454))),"Original Amount held as text — ignored by MINIFS; ","")&amp;IF(AND('SC Change Orders'!$F454&lt;&gt;"",NOT(ISNUMBER('SC Change Orders'!$F454))),"Amount Added held as text — ignored by SUMIFS; ","")&amp;IF(ISNUMBER('SC Change Orders'!$E454),IF(ISNUMBER('SC Change Orders'!$F454),IF(ISNUMBER('SC Change Orders'!$G454),  IF('SC Change Orders'!$G454&gt;0,IF(ROUND('SC Change Orders'!$E454+'SC Change Orders'!$F454,2)&lt;&gt;ROUND('SC Change Orders'!$G454,2),  "Original + Added &lt;&gt; Total Line Cost Allotted; ",""),""),""),""),"")&amp;IF(AND(ISNUMBER('SC Change Orders'!$B454),COUNTIFS('SC Change Orders'!$B$2:$B$501,'SC Change Orders'!$B454,'SC Change Orders'!$C$2:$C$501,'SC Change Orders'!$C454,'SC Change Orders'!$D$2:$D$501,'SC Change Orders'!$D454,'SC Change Orders'!$F$2:$F$501,'SC Change Orders'!$F454,'SC Change Orders'!$E$2:$E$501,'SC Change Orders'!$E454)&gt;1),"Duplicate of another row — funds counted twice; ","")&amp;IF(ISNUMBER('SC Change Orders'!$F454),IF('SC Change Orders'!$F454&lt;&gt;0,IF(AND(ISNUMBER('SC Change Orders'!$B454),NOT(COUNTIFS('SC Change Orders'!$B$2:$B$501,'SC Change Orders'!$B454,'SC Change Orders'!$C$2:$C$501,'SC Change Orders'!$C454,'SC Change Orders'!$D$2:$D$501,'SC Change Orders'!$D454,'SC Change Orders'!$F$2:$F$501,'SC Change Orders'!$F454,'SC Change Orders'!$E$2:$E$501,'SC Change Orders'!$E454)&gt;1),COUNTIFS('SC Change Orders'!$B$2:$B$501,'SC Change Orders'!$B454,'SC Change Orders'!$F$2:$F$501,'SC Change Orders'!$F454)&gt;1),  "Same PO and Amount Added as another row — check for a restatement counted twice; ",""),""),""))</f>
        <v/>
      </c>
    </row>
    <row r="473" customFormat="false" ht="15" hidden="false" customHeight="false" outlineLevel="0" collapsed="false">
      <c r="A473" s="18" t="str">
        <f aca="false">IF(AND('SC Change Orders'!$A455="",'SC Change Orders'!$B455="",'SC Change Orders'!$C455=""),"",455)</f>
        <v/>
      </c>
      <c r="B473" s="31" t="str">
        <f aca="false">IF($A473="","",'SC Change Orders'!$A455)</f>
        <v/>
      </c>
      <c r="C473" s="18" t="str">
        <f aca="false">IF($A473="","",'SC Change Orders'!$B455)</f>
        <v/>
      </c>
      <c r="D473" s="32" t="str">
        <f aca="false">IF($A473="","",'SC Change Orders'!$C455)</f>
        <v/>
      </c>
      <c r="E473" s="31" t="str">
        <f aca="false">IF($A473="","",'SC Change Orders'!$D455)</f>
        <v/>
      </c>
      <c r="F473" s="33" t="str">
        <f aca="false">IF($A473="","",'SC Change Orders'!$E455)</f>
        <v/>
      </c>
      <c r="G473" s="33" t="str">
        <f aca="false">IF($A473="","",'SC Change Orders'!$F455)</f>
        <v/>
      </c>
      <c r="H473" s="33" t="str">
        <f aca="false">IF($A473="","",'SC Change Orders'!$G455)</f>
        <v/>
      </c>
      <c r="I473" s="34" t="str">
        <f aca="false">IF($A473="","",IF(AND(ISNUMBER('SC Change Orders'!$C455),'SC Change Orders'!$C455&gt;=Controls!$C$5,'SC Change Orders'!$C455&lt;=Controls!$C$6),"Yes","No"))</f>
        <v/>
      </c>
      <c r="J473" s="31" t="str">
        <f aca="false">IF($A473="","",IF($K473="","OK",$K473))</f>
        <v/>
      </c>
      <c r="K473" s="0" t="str">
        <f aca="false">IF($A473="","",IF(NOT(ISNUMBER('SC Change Orders'!$B455)),"PO not numeric — row is invisible to the tracker; ","")&amp;IF(NOT(ISNUMBER('SC Change Orders'!$C455)),"Date missing or text — row excluded; ",  IF(OR('SC Change Orders'!$C455&lt;Controls!$C$5,'SC Change Orders'!$C455&gt;Controls!$C$6),"Dated outside the FY window — excluded; ",""))&amp;IF(AND('SC Change Orders'!$E455&lt;&gt;"",NOT(ISNUMBER('SC Change Orders'!$E455))),"Original Amount held as text — ignored by MINIFS; ","")&amp;IF(AND('SC Change Orders'!$F455&lt;&gt;"",NOT(ISNUMBER('SC Change Orders'!$F455))),"Amount Added held as text — ignored by SUMIFS; ","")&amp;IF(ISNUMBER('SC Change Orders'!$E455),IF(ISNUMBER('SC Change Orders'!$F455),IF(ISNUMBER('SC Change Orders'!$G455),  IF('SC Change Orders'!$G455&gt;0,IF(ROUND('SC Change Orders'!$E455+'SC Change Orders'!$F455,2)&lt;&gt;ROUND('SC Change Orders'!$G455,2),  "Original + Added &lt;&gt; Total Line Cost Allotted; ",""),""),""),""),"")&amp;IF(AND(ISNUMBER('SC Change Orders'!$B455),COUNTIFS('SC Change Orders'!$B$2:$B$501,'SC Change Orders'!$B455,'SC Change Orders'!$C$2:$C$501,'SC Change Orders'!$C455,'SC Change Orders'!$D$2:$D$501,'SC Change Orders'!$D455,'SC Change Orders'!$F$2:$F$501,'SC Change Orders'!$F455,'SC Change Orders'!$E$2:$E$501,'SC Change Orders'!$E455)&gt;1),"Duplicate of another row — funds counted twice; ","")&amp;IF(ISNUMBER('SC Change Orders'!$F455),IF('SC Change Orders'!$F455&lt;&gt;0,IF(AND(ISNUMBER('SC Change Orders'!$B455),NOT(COUNTIFS('SC Change Orders'!$B$2:$B$501,'SC Change Orders'!$B455,'SC Change Orders'!$C$2:$C$501,'SC Change Orders'!$C455,'SC Change Orders'!$D$2:$D$501,'SC Change Orders'!$D455,'SC Change Orders'!$F$2:$F$501,'SC Change Orders'!$F455,'SC Change Orders'!$E$2:$E$501,'SC Change Orders'!$E455)&gt;1),COUNTIFS('SC Change Orders'!$B$2:$B$501,'SC Change Orders'!$B455,'SC Change Orders'!$F$2:$F$501,'SC Change Orders'!$F455)&gt;1),  "Same PO and Amount Added as another row — check for a restatement counted twice; ",""),""),""))</f>
        <v/>
      </c>
    </row>
    <row r="474" customFormat="false" ht="15" hidden="false" customHeight="false" outlineLevel="0" collapsed="false">
      <c r="A474" s="18" t="str">
        <f aca="false">IF(AND('SC Change Orders'!$A456="",'SC Change Orders'!$B456="",'SC Change Orders'!$C456=""),"",456)</f>
        <v/>
      </c>
      <c r="B474" s="31" t="str">
        <f aca="false">IF($A474="","",'SC Change Orders'!$A456)</f>
        <v/>
      </c>
      <c r="C474" s="18" t="str">
        <f aca="false">IF($A474="","",'SC Change Orders'!$B456)</f>
        <v/>
      </c>
      <c r="D474" s="32" t="str">
        <f aca="false">IF($A474="","",'SC Change Orders'!$C456)</f>
        <v/>
      </c>
      <c r="E474" s="31" t="str">
        <f aca="false">IF($A474="","",'SC Change Orders'!$D456)</f>
        <v/>
      </c>
      <c r="F474" s="33" t="str">
        <f aca="false">IF($A474="","",'SC Change Orders'!$E456)</f>
        <v/>
      </c>
      <c r="G474" s="33" t="str">
        <f aca="false">IF($A474="","",'SC Change Orders'!$F456)</f>
        <v/>
      </c>
      <c r="H474" s="33" t="str">
        <f aca="false">IF($A474="","",'SC Change Orders'!$G456)</f>
        <v/>
      </c>
      <c r="I474" s="34" t="str">
        <f aca="false">IF($A474="","",IF(AND(ISNUMBER('SC Change Orders'!$C456),'SC Change Orders'!$C456&gt;=Controls!$C$5,'SC Change Orders'!$C456&lt;=Controls!$C$6),"Yes","No"))</f>
        <v/>
      </c>
      <c r="J474" s="31" t="str">
        <f aca="false">IF($A474="","",IF($K474="","OK",$K474))</f>
        <v/>
      </c>
      <c r="K474" s="0" t="str">
        <f aca="false">IF($A474="","",IF(NOT(ISNUMBER('SC Change Orders'!$B456)),"PO not numeric — row is invisible to the tracker; ","")&amp;IF(NOT(ISNUMBER('SC Change Orders'!$C456)),"Date missing or text — row excluded; ",  IF(OR('SC Change Orders'!$C456&lt;Controls!$C$5,'SC Change Orders'!$C456&gt;Controls!$C$6),"Dated outside the FY window — excluded; ",""))&amp;IF(AND('SC Change Orders'!$E456&lt;&gt;"",NOT(ISNUMBER('SC Change Orders'!$E456))),"Original Amount held as text — ignored by MINIFS; ","")&amp;IF(AND('SC Change Orders'!$F456&lt;&gt;"",NOT(ISNUMBER('SC Change Orders'!$F456))),"Amount Added held as text — ignored by SUMIFS; ","")&amp;IF(ISNUMBER('SC Change Orders'!$E456),IF(ISNUMBER('SC Change Orders'!$F456),IF(ISNUMBER('SC Change Orders'!$G456),  IF('SC Change Orders'!$G456&gt;0,IF(ROUND('SC Change Orders'!$E456+'SC Change Orders'!$F456,2)&lt;&gt;ROUND('SC Change Orders'!$G456,2),  "Original + Added &lt;&gt; Total Line Cost Allotted; ",""),""),""),""),"")&amp;IF(AND(ISNUMBER('SC Change Orders'!$B456),COUNTIFS('SC Change Orders'!$B$2:$B$501,'SC Change Orders'!$B456,'SC Change Orders'!$C$2:$C$501,'SC Change Orders'!$C456,'SC Change Orders'!$D$2:$D$501,'SC Change Orders'!$D456,'SC Change Orders'!$F$2:$F$501,'SC Change Orders'!$F456,'SC Change Orders'!$E$2:$E$501,'SC Change Orders'!$E456)&gt;1),"Duplicate of another row — funds counted twice; ","")&amp;IF(ISNUMBER('SC Change Orders'!$F456),IF('SC Change Orders'!$F456&lt;&gt;0,IF(AND(ISNUMBER('SC Change Orders'!$B456),NOT(COUNTIFS('SC Change Orders'!$B$2:$B$501,'SC Change Orders'!$B456,'SC Change Orders'!$C$2:$C$501,'SC Change Orders'!$C456,'SC Change Orders'!$D$2:$D$501,'SC Change Orders'!$D456,'SC Change Orders'!$F$2:$F$501,'SC Change Orders'!$F456,'SC Change Orders'!$E$2:$E$501,'SC Change Orders'!$E456)&gt;1),COUNTIFS('SC Change Orders'!$B$2:$B$501,'SC Change Orders'!$B456,'SC Change Orders'!$F$2:$F$501,'SC Change Orders'!$F456)&gt;1),  "Same PO and Amount Added as another row — check for a restatement counted twice; ",""),""),""))</f>
        <v/>
      </c>
    </row>
    <row r="475" customFormat="false" ht="15" hidden="false" customHeight="false" outlineLevel="0" collapsed="false">
      <c r="A475" s="18" t="str">
        <f aca="false">IF(AND('SC Change Orders'!$A457="",'SC Change Orders'!$B457="",'SC Change Orders'!$C457=""),"",457)</f>
        <v/>
      </c>
      <c r="B475" s="31" t="str">
        <f aca="false">IF($A475="","",'SC Change Orders'!$A457)</f>
        <v/>
      </c>
      <c r="C475" s="18" t="str">
        <f aca="false">IF($A475="","",'SC Change Orders'!$B457)</f>
        <v/>
      </c>
      <c r="D475" s="32" t="str">
        <f aca="false">IF($A475="","",'SC Change Orders'!$C457)</f>
        <v/>
      </c>
      <c r="E475" s="31" t="str">
        <f aca="false">IF($A475="","",'SC Change Orders'!$D457)</f>
        <v/>
      </c>
      <c r="F475" s="33" t="str">
        <f aca="false">IF($A475="","",'SC Change Orders'!$E457)</f>
        <v/>
      </c>
      <c r="G475" s="33" t="str">
        <f aca="false">IF($A475="","",'SC Change Orders'!$F457)</f>
        <v/>
      </c>
      <c r="H475" s="33" t="str">
        <f aca="false">IF($A475="","",'SC Change Orders'!$G457)</f>
        <v/>
      </c>
      <c r="I475" s="34" t="str">
        <f aca="false">IF($A475="","",IF(AND(ISNUMBER('SC Change Orders'!$C457),'SC Change Orders'!$C457&gt;=Controls!$C$5,'SC Change Orders'!$C457&lt;=Controls!$C$6),"Yes","No"))</f>
        <v/>
      </c>
      <c r="J475" s="31" t="str">
        <f aca="false">IF($A475="","",IF($K475="","OK",$K475))</f>
        <v/>
      </c>
      <c r="K475" s="0" t="str">
        <f aca="false">IF($A475="","",IF(NOT(ISNUMBER('SC Change Orders'!$B457)),"PO not numeric — row is invisible to the tracker; ","")&amp;IF(NOT(ISNUMBER('SC Change Orders'!$C457)),"Date missing or text — row excluded; ",  IF(OR('SC Change Orders'!$C457&lt;Controls!$C$5,'SC Change Orders'!$C457&gt;Controls!$C$6),"Dated outside the FY window — excluded; ",""))&amp;IF(AND('SC Change Orders'!$E457&lt;&gt;"",NOT(ISNUMBER('SC Change Orders'!$E457))),"Original Amount held as text — ignored by MINIFS; ","")&amp;IF(AND('SC Change Orders'!$F457&lt;&gt;"",NOT(ISNUMBER('SC Change Orders'!$F457))),"Amount Added held as text — ignored by SUMIFS; ","")&amp;IF(ISNUMBER('SC Change Orders'!$E457),IF(ISNUMBER('SC Change Orders'!$F457),IF(ISNUMBER('SC Change Orders'!$G457),  IF('SC Change Orders'!$G457&gt;0,IF(ROUND('SC Change Orders'!$E457+'SC Change Orders'!$F457,2)&lt;&gt;ROUND('SC Change Orders'!$G457,2),  "Original + Added &lt;&gt; Total Line Cost Allotted; ",""),""),""),""),"")&amp;IF(AND(ISNUMBER('SC Change Orders'!$B457),COUNTIFS('SC Change Orders'!$B$2:$B$501,'SC Change Orders'!$B457,'SC Change Orders'!$C$2:$C$501,'SC Change Orders'!$C457,'SC Change Orders'!$D$2:$D$501,'SC Change Orders'!$D457,'SC Change Orders'!$F$2:$F$501,'SC Change Orders'!$F457,'SC Change Orders'!$E$2:$E$501,'SC Change Orders'!$E457)&gt;1),"Duplicate of another row — funds counted twice; ","")&amp;IF(ISNUMBER('SC Change Orders'!$F457),IF('SC Change Orders'!$F457&lt;&gt;0,IF(AND(ISNUMBER('SC Change Orders'!$B457),NOT(COUNTIFS('SC Change Orders'!$B$2:$B$501,'SC Change Orders'!$B457,'SC Change Orders'!$C$2:$C$501,'SC Change Orders'!$C457,'SC Change Orders'!$D$2:$D$501,'SC Change Orders'!$D457,'SC Change Orders'!$F$2:$F$501,'SC Change Orders'!$F457,'SC Change Orders'!$E$2:$E$501,'SC Change Orders'!$E457)&gt;1),COUNTIFS('SC Change Orders'!$B$2:$B$501,'SC Change Orders'!$B457,'SC Change Orders'!$F$2:$F$501,'SC Change Orders'!$F457)&gt;1),  "Same PO and Amount Added as another row — check for a restatement counted twice; ",""),""),""))</f>
        <v/>
      </c>
    </row>
    <row r="476" customFormat="false" ht="15" hidden="false" customHeight="false" outlineLevel="0" collapsed="false">
      <c r="A476" s="18" t="str">
        <f aca="false">IF(AND('SC Change Orders'!$A458="",'SC Change Orders'!$B458="",'SC Change Orders'!$C458=""),"",458)</f>
        <v/>
      </c>
      <c r="B476" s="31" t="str">
        <f aca="false">IF($A476="","",'SC Change Orders'!$A458)</f>
        <v/>
      </c>
      <c r="C476" s="18" t="str">
        <f aca="false">IF($A476="","",'SC Change Orders'!$B458)</f>
        <v/>
      </c>
      <c r="D476" s="32" t="str">
        <f aca="false">IF($A476="","",'SC Change Orders'!$C458)</f>
        <v/>
      </c>
      <c r="E476" s="31" t="str">
        <f aca="false">IF($A476="","",'SC Change Orders'!$D458)</f>
        <v/>
      </c>
      <c r="F476" s="33" t="str">
        <f aca="false">IF($A476="","",'SC Change Orders'!$E458)</f>
        <v/>
      </c>
      <c r="G476" s="33" t="str">
        <f aca="false">IF($A476="","",'SC Change Orders'!$F458)</f>
        <v/>
      </c>
      <c r="H476" s="33" t="str">
        <f aca="false">IF($A476="","",'SC Change Orders'!$G458)</f>
        <v/>
      </c>
      <c r="I476" s="34" t="str">
        <f aca="false">IF($A476="","",IF(AND(ISNUMBER('SC Change Orders'!$C458),'SC Change Orders'!$C458&gt;=Controls!$C$5,'SC Change Orders'!$C458&lt;=Controls!$C$6),"Yes","No"))</f>
        <v/>
      </c>
      <c r="J476" s="31" t="str">
        <f aca="false">IF($A476="","",IF($K476="","OK",$K476))</f>
        <v/>
      </c>
      <c r="K476" s="0" t="str">
        <f aca="false">IF($A476="","",IF(NOT(ISNUMBER('SC Change Orders'!$B458)),"PO not numeric — row is invisible to the tracker; ","")&amp;IF(NOT(ISNUMBER('SC Change Orders'!$C458)),"Date missing or text — row excluded; ",  IF(OR('SC Change Orders'!$C458&lt;Controls!$C$5,'SC Change Orders'!$C458&gt;Controls!$C$6),"Dated outside the FY window — excluded; ",""))&amp;IF(AND('SC Change Orders'!$E458&lt;&gt;"",NOT(ISNUMBER('SC Change Orders'!$E458))),"Original Amount held as text — ignored by MINIFS; ","")&amp;IF(AND('SC Change Orders'!$F458&lt;&gt;"",NOT(ISNUMBER('SC Change Orders'!$F458))),"Amount Added held as text — ignored by SUMIFS; ","")&amp;IF(ISNUMBER('SC Change Orders'!$E458),IF(ISNUMBER('SC Change Orders'!$F458),IF(ISNUMBER('SC Change Orders'!$G458),  IF('SC Change Orders'!$G458&gt;0,IF(ROUND('SC Change Orders'!$E458+'SC Change Orders'!$F458,2)&lt;&gt;ROUND('SC Change Orders'!$G458,2),  "Original + Added &lt;&gt; Total Line Cost Allotted; ",""),""),""),""),"")&amp;IF(AND(ISNUMBER('SC Change Orders'!$B458),COUNTIFS('SC Change Orders'!$B$2:$B$501,'SC Change Orders'!$B458,'SC Change Orders'!$C$2:$C$501,'SC Change Orders'!$C458,'SC Change Orders'!$D$2:$D$501,'SC Change Orders'!$D458,'SC Change Orders'!$F$2:$F$501,'SC Change Orders'!$F458,'SC Change Orders'!$E$2:$E$501,'SC Change Orders'!$E458)&gt;1),"Duplicate of another row — funds counted twice; ","")&amp;IF(ISNUMBER('SC Change Orders'!$F458),IF('SC Change Orders'!$F458&lt;&gt;0,IF(AND(ISNUMBER('SC Change Orders'!$B458),NOT(COUNTIFS('SC Change Orders'!$B$2:$B$501,'SC Change Orders'!$B458,'SC Change Orders'!$C$2:$C$501,'SC Change Orders'!$C458,'SC Change Orders'!$D$2:$D$501,'SC Change Orders'!$D458,'SC Change Orders'!$F$2:$F$501,'SC Change Orders'!$F458,'SC Change Orders'!$E$2:$E$501,'SC Change Orders'!$E458)&gt;1),COUNTIFS('SC Change Orders'!$B$2:$B$501,'SC Change Orders'!$B458,'SC Change Orders'!$F$2:$F$501,'SC Change Orders'!$F458)&gt;1),  "Same PO and Amount Added as another row — check for a restatement counted twice; ",""),""),""))</f>
        <v/>
      </c>
    </row>
    <row r="477" customFormat="false" ht="15" hidden="false" customHeight="false" outlineLevel="0" collapsed="false">
      <c r="A477" s="18" t="str">
        <f aca="false">IF(AND('SC Change Orders'!$A459="",'SC Change Orders'!$B459="",'SC Change Orders'!$C459=""),"",459)</f>
        <v/>
      </c>
      <c r="B477" s="31" t="str">
        <f aca="false">IF($A477="","",'SC Change Orders'!$A459)</f>
        <v/>
      </c>
      <c r="C477" s="18" t="str">
        <f aca="false">IF($A477="","",'SC Change Orders'!$B459)</f>
        <v/>
      </c>
      <c r="D477" s="32" t="str">
        <f aca="false">IF($A477="","",'SC Change Orders'!$C459)</f>
        <v/>
      </c>
      <c r="E477" s="31" t="str">
        <f aca="false">IF($A477="","",'SC Change Orders'!$D459)</f>
        <v/>
      </c>
      <c r="F477" s="33" t="str">
        <f aca="false">IF($A477="","",'SC Change Orders'!$E459)</f>
        <v/>
      </c>
      <c r="G477" s="33" t="str">
        <f aca="false">IF($A477="","",'SC Change Orders'!$F459)</f>
        <v/>
      </c>
      <c r="H477" s="33" t="str">
        <f aca="false">IF($A477="","",'SC Change Orders'!$G459)</f>
        <v/>
      </c>
      <c r="I477" s="34" t="str">
        <f aca="false">IF($A477="","",IF(AND(ISNUMBER('SC Change Orders'!$C459),'SC Change Orders'!$C459&gt;=Controls!$C$5,'SC Change Orders'!$C459&lt;=Controls!$C$6),"Yes","No"))</f>
        <v/>
      </c>
      <c r="J477" s="31" t="str">
        <f aca="false">IF($A477="","",IF($K477="","OK",$K477))</f>
        <v/>
      </c>
      <c r="K477" s="0" t="str">
        <f aca="false">IF($A477="","",IF(NOT(ISNUMBER('SC Change Orders'!$B459)),"PO not numeric — row is invisible to the tracker; ","")&amp;IF(NOT(ISNUMBER('SC Change Orders'!$C459)),"Date missing or text — row excluded; ",  IF(OR('SC Change Orders'!$C459&lt;Controls!$C$5,'SC Change Orders'!$C459&gt;Controls!$C$6),"Dated outside the FY window — excluded; ",""))&amp;IF(AND('SC Change Orders'!$E459&lt;&gt;"",NOT(ISNUMBER('SC Change Orders'!$E459))),"Original Amount held as text — ignored by MINIFS; ","")&amp;IF(AND('SC Change Orders'!$F459&lt;&gt;"",NOT(ISNUMBER('SC Change Orders'!$F459))),"Amount Added held as text — ignored by SUMIFS; ","")&amp;IF(ISNUMBER('SC Change Orders'!$E459),IF(ISNUMBER('SC Change Orders'!$F459),IF(ISNUMBER('SC Change Orders'!$G459),  IF('SC Change Orders'!$G459&gt;0,IF(ROUND('SC Change Orders'!$E459+'SC Change Orders'!$F459,2)&lt;&gt;ROUND('SC Change Orders'!$G459,2),  "Original + Added &lt;&gt; Total Line Cost Allotted; ",""),""),""),""),"")&amp;IF(AND(ISNUMBER('SC Change Orders'!$B459),COUNTIFS('SC Change Orders'!$B$2:$B$501,'SC Change Orders'!$B459,'SC Change Orders'!$C$2:$C$501,'SC Change Orders'!$C459,'SC Change Orders'!$D$2:$D$501,'SC Change Orders'!$D459,'SC Change Orders'!$F$2:$F$501,'SC Change Orders'!$F459,'SC Change Orders'!$E$2:$E$501,'SC Change Orders'!$E459)&gt;1),"Duplicate of another row — funds counted twice; ","")&amp;IF(ISNUMBER('SC Change Orders'!$F459),IF('SC Change Orders'!$F459&lt;&gt;0,IF(AND(ISNUMBER('SC Change Orders'!$B459),NOT(COUNTIFS('SC Change Orders'!$B$2:$B$501,'SC Change Orders'!$B459,'SC Change Orders'!$C$2:$C$501,'SC Change Orders'!$C459,'SC Change Orders'!$D$2:$D$501,'SC Change Orders'!$D459,'SC Change Orders'!$F$2:$F$501,'SC Change Orders'!$F459,'SC Change Orders'!$E$2:$E$501,'SC Change Orders'!$E459)&gt;1),COUNTIFS('SC Change Orders'!$B$2:$B$501,'SC Change Orders'!$B459,'SC Change Orders'!$F$2:$F$501,'SC Change Orders'!$F459)&gt;1),  "Same PO and Amount Added as another row — check for a restatement counted twice; ",""),""),""))</f>
        <v/>
      </c>
    </row>
    <row r="478" customFormat="false" ht="15" hidden="false" customHeight="false" outlineLevel="0" collapsed="false">
      <c r="A478" s="18" t="str">
        <f aca="false">IF(AND('SC Change Orders'!$A460="",'SC Change Orders'!$B460="",'SC Change Orders'!$C460=""),"",460)</f>
        <v/>
      </c>
      <c r="B478" s="31" t="str">
        <f aca="false">IF($A478="","",'SC Change Orders'!$A460)</f>
        <v/>
      </c>
      <c r="C478" s="18" t="str">
        <f aca="false">IF($A478="","",'SC Change Orders'!$B460)</f>
        <v/>
      </c>
      <c r="D478" s="32" t="str">
        <f aca="false">IF($A478="","",'SC Change Orders'!$C460)</f>
        <v/>
      </c>
      <c r="E478" s="31" t="str">
        <f aca="false">IF($A478="","",'SC Change Orders'!$D460)</f>
        <v/>
      </c>
      <c r="F478" s="33" t="str">
        <f aca="false">IF($A478="","",'SC Change Orders'!$E460)</f>
        <v/>
      </c>
      <c r="G478" s="33" t="str">
        <f aca="false">IF($A478="","",'SC Change Orders'!$F460)</f>
        <v/>
      </c>
      <c r="H478" s="33" t="str">
        <f aca="false">IF($A478="","",'SC Change Orders'!$G460)</f>
        <v/>
      </c>
      <c r="I478" s="34" t="str">
        <f aca="false">IF($A478="","",IF(AND(ISNUMBER('SC Change Orders'!$C460),'SC Change Orders'!$C460&gt;=Controls!$C$5,'SC Change Orders'!$C460&lt;=Controls!$C$6),"Yes","No"))</f>
        <v/>
      </c>
      <c r="J478" s="31" t="str">
        <f aca="false">IF($A478="","",IF($K478="","OK",$K478))</f>
        <v/>
      </c>
      <c r="K478" s="0" t="str">
        <f aca="false">IF($A478="","",IF(NOT(ISNUMBER('SC Change Orders'!$B460)),"PO not numeric — row is invisible to the tracker; ","")&amp;IF(NOT(ISNUMBER('SC Change Orders'!$C460)),"Date missing or text — row excluded; ",  IF(OR('SC Change Orders'!$C460&lt;Controls!$C$5,'SC Change Orders'!$C460&gt;Controls!$C$6),"Dated outside the FY window — excluded; ",""))&amp;IF(AND('SC Change Orders'!$E460&lt;&gt;"",NOT(ISNUMBER('SC Change Orders'!$E460))),"Original Amount held as text — ignored by MINIFS; ","")&amp;IF(AND('SC Change Orders'!$F460&lt;&gt;"",NOT(ISNUMBER('SC Change Orders'!$F460))),"Amount Added held as text — ignored by SUMIFS; ","")&amp;IF(ISNUMBER('SC Change Orders'!$E460),IF(ISNUMBER('SC Change Orders'!$F460),IF(ISNUMBER('SC Change Orders'!$G460),  IF('SC Change Orders'!$G460&gt;0,IF(ROUND('SC Change Orders'!$E460+'SC Change Orders'!$F460,2)&lt;&gt;ROUND('SC Change Orders'!$G460,2),  "Original + Added &lt;&gt; Total Line Cost Allotted; ",""),""),""),""),"")&amp;IF(AND(ISNUMBER('SC Change Orders'!$B460),COUNTIFS('SC Change Orders'!$B$2:$B$501,'SC Change Orders'!$B460,'SC Change Orders'!$C$2:$C$501,'SC Change Orders'!$C460,'SC Change Orders'!$D$2:$D$501,'SC Change Orders'!$D460,'SC Change Orders'!$F$2:$F$501,'SC Change Orders'!$F460,'SC Change Orders'!$E$2:$E$501,'SC Change Orders'!$E460)&gt;1),"Duplicate of another row — funds counted twice; ","")&amp;IF(ISNUMBER('SC Change Orders'!$F460),IF('SC Change Orders'!$F460&lt;&gt;0,IF(AND(ISNUMBER('SC Change Orders'!$B460),NOT(COUNTIFS('SC Change Orders'!$B$2:$B$501,'SC Change Orders'!$B460,'SC Change Orders'!$C$2:$C$501,'SC Change Orders'!$C460,'SC Change Orders'!$D$2:$D$501,'SC Change Orders'!$D460,'SC Change Orders'!$F$2:$F$501,'SC Change Orders'!$F460,'SC Change Orders'!$E$2:$E$501,'SC Change Orders'!$E460)&gt;1),COUNTIFS('SC Change Orders'!$B$2:$B$501,'SC Change Orders'!$B460,'SC Change Orders'!$F$2:$F$501,'SC Change Orders'!$F460)&gt;1),  "Same PO and Amount Added as another row — check for a restatement counted twice; ",""),""),""))</f>
        <v/>
      </c>
    </row>
    <row r="479" customFormat="false" ht="15" hidden="false" customHeight="false" outlineLevel="0" collapsed="false">
      <c r="A479" s="18" t="str">
        <f aca="false">IF(AND('SC Change Orders'!$A461="",'SC Change Orders'!$B461="",'SC Change Orders'!$C461=""),"",461)</f>
        <v/>
      </c>
      <c r="B479" s="31" t="str">
        <f aca="false">IF($A479="","",'SC Change Orders'!$A461)</f>
        <v/>
      </c>
      <c r="C479" s="18" t="str">
        <f aca="false">IF($A479="","",'SC Change Orders'!$B461)</f>
        <v/>
      </c>
      <c r="D479" s="32" t="str">
        <f aca="false">IF($A479="","",'SC Change Orders'!$C461)</f>
        <v/>
      </c>
      <c r="E479" s="31" t="str">
        <f aca="false">IF($A479="","",'SC Change Orders'!$D461)</f>
        <v/>
      </c>
      <c r="F479" s="33" t="str">
        <f aca="false">IF($A479="","",'SC Change Orders'!$E461)</f>
        <v/>
      </c>
      <c r="G479" s="33" t="str">
        <f aca="false">IF($A479="","",'SC Change Orders'!$F461)</f>
        <v/>
      </c>
      <c r="H479" s="33" t="str">
        <f aca="false">IF($A479="","",'SC Change Orders'!$G461)</f>
        <v/>
      </c>
      <c r="I479" s="34" t="str">
        <f aca="false">IF($A479="","",IF(AND(ISNUMBER('SC Change Orders'!$C461),'SC Change Orders'!$C461&gt;=Controls!$C$5,'SC Change Orders'!$C461&lt;=Controls!$C$6),"Yes","No"))</f>
        <v/>
      </c>
      <c r="J479" s="31" t="str">
        <f aca="false">IF($A479="","",IF($K479="","OK",$K479))</f>
        <v/>
      </c>
      <c r="K479" s="0" t="str">
        <f aca="false">IF($A479="","",IF(NOT(ISNUMBER('SC Change Orders'!$B461)),"PO not numeric — row is invisible to the tracker; ","")&amp;IF(NOT(ISNUMBER('SC Change Orders'!$C461)),"Date missing or text — row excluded; ",  IF(OR('SC Change Orders'!$C461&lt;Controls!$C$5,'SC Change Orders'!$C461&gt;Controls!$C$6),"Dated outside the FY window — excluded; ",""))&amp;IF(AND('SC Change Orders'!$E461&lt;&gt;"",NOT(ISNUMBER('SC Change Orders'!$E461))),"Original Amount held as text — ignored by MINIFS; ","")&amp;IF(AND('SC Change Orders'!$F461&lt;&gt;"",NOT(ISNUMBER('SC Change Orders'!$F461))),"Amount Added held as text — ignored by SUMIFS; ","")&amp;IF(ISNUMBER('SC Change Orders'!$E461),IF(ISNUMBER('SC Change Orders'!$F461),IF(ISNUMBER('SC Change Orders'!$G461),  IF('SC Change Orders'!$G461&gt;0,IF(ROUND('SC Change Orders'!$E461+'SC Change Orders'!$F461,2)&lt;&gt;ROUND('SC Change Orders'!$G461,2),  "Original + Added &lt;&gt; Total Line Cost Allotted; ",""),""),""),""),"")&amp;IF(AND(ISNUMBER('SC Change Orders'!$B461),COUNTIFS('SC Change Orders'!$B$2:$B$501,'SC Change Orders'!$B461,'SC Change Orders'!$C$2:$C$501,'SC Change Orders'!$C461,'SC Change Orders'!$D$2:$D$501,'SC Change Orders'!$D461,'SC Change Orders'!$F$2:$F$501,'SC Change Orders'!$F461,'SC Change Orders'!$E$2:$E$501,'SC Change Orders'!$E461)&gt;1),"Duplicate of another row — funds counted twice; ","")&amp;IF(ISNUMBER('SC Change Orders'!$F461),IF('SC Change Orders'!$F461&lt;&gt;0,IF(AND(ISNUMBER('SC Change Orders'!$B461),NOT(COUNTIFS('SC Change Orders'!$B$2:$B$501,'SC Change Orders'!$B461,'SC Change Orders'!$C$2:$C$501,'SC Change Orders'!$C461,'SC Change Orders'!$D$2:$D$501,'SC Change Orders'!$D461,'SC Change Orders'!$F$2:$F$501,'SC Change Orders'!$F461,'SC Change Orders'!$E$2:$E$501,'SC Change Orders'!$E461)&gt;1),COUNTIFS('SC Change Orders'!$B$2:$B$501,'SC Change Orders'!$B461,'SC Change Orders'!$F$2:$F$501,'SC Change Orders'!$F461)&gt;1),  "Same PO and Amount Added as another row — check for a restatement counted twice; ",""),""),""))</f>
        <v/>
      </c>
    </row>
    <row r="480" customFormat="false" ht="15" hidden="false" customHeight="false" outlineLevel="0" collapsed="false">
      <c r="A480" s="18" t="str">
        <f aca="false">IF(AND('SC Change Orders'!$A462="",'SC Change Orders'!$B462="",'SC Change Orders'!$C462=""),"",462)</f>
        <v/>
      </c>
      <c r="B480" s="31" t="str">
        <f aca="false">IF($A480="","",'SC Change Orders'!$A462)</f>
        <v/>
      </c>
      <c r="C480" s="18" t="str">
        <f aca="false">IF($A480="","",'SC Change Orders'!$B462)</f>
        <v/>
      </c>
      <c r="D480" s="32" t="str">
        <f aca="false">IF($A480="","",'SC Change Orders'!$C462)</f>
        <v/>
      </c>
      <c r="E480" s="31" t="str">
        <f aca="false">IF($A480="","",'SC Change Orders'!$D462)</f>
        <v/>
      </c>
      <c r="F480" s="33" t="str">
        <f aca="false">IF($A480="","",'SC Change Orders'!$E462)</f>
        <v/>
      </c>
      <c r="G480" s="33" t="str">
        <f aca="false">IF($A480="","",'SC Change Orders'!$F462)</f>
        <v/>
      </c>
      <c r="H480" s="33" t="str">
        <f aca="false">IF($A480="","",'SC Change Orders'!$G462)</f>
        <v/>
      </c>
      <c r="I480" s="34" t="str">
        <f aca="false">IF($A480="","",IF(AND(ISNUMBER('SC Change Orders'!$C462),'SC Change Orders'!$C462&gt;=Controls!$C$5,'SC Change Orders'!$C462&lt;=Controls!$C$6),"Yes","No"))</f>
        <v/>
      </c>
      <c r="J480" s="31" t="str">
        <f aca="false">IF($A480="","",IF($K480="","OK",$K480))</f>
        <v/>
      </c>
      <c r="K480" s="0" t="str">
        <f aca="false">IF($A480="","",IF(NOT(ISNUMBER('SC Change Orders'!$B462)),"PO not numeric — row is invisible to the tracker; ","")&amp;IF(NOT(ISNUMBER('SC Change Orders'!$C462)),"Date missing or text — row excluded; ",  IF(OR('SC Change Orders'!$C462&lt;Controls!$C$5,'SC Change Orders'!$C462&gt;Controls!$C$6),"Dated outside the FY window — excluded; ",""))&amp;IF(AND('SC Change Orders'!$E462&lt;&gt;"",NOT(ISNUMBER('SC Change Orders'!$E462))),"Original Amount held as text — ignored by MINIFS; ","")&amp;IF(AND('SC Change Orders'!$F462&lt;&gt;"",NOT(ISNUMBER('SC Change Orders'!$F462))),"Amount Added held as text — ignored by SUMIFS; ","")&amp;IF(ISNUMBER('SC Change Orders'!$E462),IF(ISNUMBER('SC Change Orders'!$F462),IF(ISNUMBER('SC Change Orders'!$G462),  IF('SC Change Orders'!$G462&gt;0,IF(ROUND('SC Change Orders'!$E462+'SC Change Orders'!$F462,2)&lt;&gt;ROUND('SC Change Orders'!$G462,2),  "Original + Added &lt;&gt; Total Line Cost Allotted; ",""),""),""),""),"")&amp;IF(AND(ISNUMBER('SC Change Orders'!$B462),COUNTIFS('SC Change Orders'!$B$2:$B$501,'SC Change Orders'!$B462,'SC Change Orders'!$C$2:$C$501,'SC Change Orders'!$C462,'SC Change Orders'!$D$2:$D$501,'SC Change Orders'!$D462,'SC Change Orders'!$F$2:$F$501,'SC Change Orders'!$F462,'SC Change Orders'!$E$2:$E$501,'SC Change Orders'!$E462)&gt;1),"Duplicate of another row — funds counted twice; ","")&amp;IF(ISNUMBER('SC Change Orders'!$F462),IF('SC Change Orders'!$F462&lt;&gt;0,IF(AND(ISNUMBER('SC Change Orders'!$B462),NOT(COUNTIFS('SC Change Orders'!$B$2:$B$501,'SC Change Orders'!$B462,'SC Change Orders'!$C$2:$C$501,'SC Change Orders'!$C462,'SC Change Orders'!$D$2:$D$501,'SC Change Orders'!$D462,'SC Change Orders'!$F$2:$F$501,'SC Change Orders'!$F462,'SC Change Orders'!$E$2:$E$501,'SC Change Orders'!$E462)&gt;1),COUNTIFS('SC Change Orders'!$B$2:$B$501,'SC Change Orders'!$B462,'SC Change Orders'!$F$2:$F$501,'SC Change Orders'!$F462)&gt;1),  "Same PO and Amount Added as another row — check for a restatement counted twice; ",""),""),""))</f>
        <v/>
      </c>
    </row>
    <row r="481" customFormat="false" ht="15" hidden="false" customHeight="false" outlineLevel="0" collapsed="false">
      <c r="A481" s="18" t="str">
        <f aca="false">IF(AND('SC Change Orders'!$A463="",'SC Change Orders'!$B463="",'SC Change Orders'!$C463=""),"",463)</f>
        <v/>
      </c>
      <c r="B481" s="31" t="str">
        <f aca="false">IF($A481="","",'SC Change Orders'!$A463)</f>
        <v/>
      </c>
      <c r="C481" s="18" t="str">
        <f aca="false">IF($A481="","",'SC Change Orders'!$B463)</f>
        <v/>
      </c>
      <c r="D481" s="32" t="str">
        <f aca="false">IF($A481="","",'SC Change Orders'!$C463)</f>
        <v/>
      </c>
      <c r="E481" s="31" t="str">
        <f aca="false">IF($A481="","",'SC Change Orders'!$D463)</f>
        <v/>
      </c>
      <c r="F481" s="33" t="str">
        <f aca="false">IF($A481="","",'SC Change Orders'!$E463)</f>
        <v/>
      </c>
      <c r="G481" s="33" t="str">
        <f aca="false">IF($A481="","",'SC Change Orders'!$F463)</f>
        <v/>
      </c>
      <c r="H481" s="33" t="str">
        <f aca="false">IF($A481="","",'SC Change Orders'!$G463)</f>
        <v/>
      </c>
      <c r="I481" s="34" t="str">
        <f aca="false">IF($A481="","",IF(AND(ISNUMBER('SC Change Orders'!$C463),'SC Change Orders'!$C463&gt;=Controls!$C$5,'SC Change Orders'!$C463&lt;=Controls!$C$6),"Yes","No"))</f>
        <v/>
      </c>
      <c r="J481" s="31" t="str">
        <f aca="false">IF($A481="","",IF($K481="","OK",$K481))</f>
        <v/>
      </c>
      <c r="K481" s="0" t="str">
        <f aca="false">IF($A481="","",IF(NOT(ISNUMBER('SC Change Orders'!$B463)),"PO not numeric — row is invisible to the tracker; ","")&amp;IF(NOT(ISNUMBER('SC Change Orders'!$C463)),"Date missing or text — row excluded; ",  IF(OR('SC Change Orders'!$C463&lt;Controls!$C$5,'SC Change Orders'!$C463&gt;Controls!$C$6),"Dated outside the FY window — excluded; ",""))&amp;IF(AND('SC Change Orders'!$E463&lt;&gt;"",NOT(ISNUMBER('SC Change Orders'!$E463))),"Original Amount held as text — ignored by MINIFS; ","")&amp;IF(AND('SC Change Orders'!$F463&lt;&gt;"",NOT(ISNUMBER('SC Change Orders'!$F463))),"Amount Added held as text — ignored by SUMIFS; ","")&amp;IF(ISNUMBER('SC Change Orders'!$E463),IF(ISNUMBER('SC Change Orders'!$F463),IF(ISNUMBER('SC Change Orders'!$G463),  IF('SC Change Orders'!$G463&gt;0,IF(ROUND('SC Change Orders'!$E463+'SC Change Orders'!$F463,2)&lt;&gt;ROUND('SC Change Orders'!$G463,2),  "Original + Added &lt;&gt; Total Line Cost Allotted; ",""),""),""),""),"")&amp;IF(AND(ISNUMBER('SC Change Orders'!$B463),COUNTIFS('SC Change Orders'!$B$2:$B$501,'SC Change Orders'!$B463,'SC Change Orders'!$C$2:$C$501,'SC Change Orders'!$C463,'SC Change Orders'!$D$2:$D$501,'SC Change Orders'!$D463,'SC Change Orders'!$F$2:$F$501,'SC Change Orders'!$F463,'SC Change Orders'!$E$2:$E$501,'SC Change Orders'!$E463)&gt;1),"Duplicate of another row — funds counted twice; ","")&amp;IF(ISNUMBER('SC Change Orders'!$F463),IF('SC Change Orders'!$F463&lt;&gt;0,IF(AND(ISNUMBER('SC Change Orders'!$B463),NOT(COUNTIFS('SC Change Orders'!$B$2:$B$501,'SC Change Orders'!$B463,'SC Change Orders'!$C$2:$C$501,'SC Change Orders'!$C463,'SC Change Orders'!$D$2:$D$501,'SC Change Orders'!$D463,'SC Change Orders'!$F$2:$F$501,'SC Change Orders'!$F463,'SC Change Orders'!$E$2:$E$501,'SC Change Orders'!$E463)&gt;1),COUNTIFS('SC Change Orders'!$B$2:$B$501,'SC Change Orders'!$B463,'SC Change Orders'!$F$2:$F$501,'SC Change Orders'!$F463)&gt;1),  "Same PO and Amount Added as another row — check for a restatement counted twice; ",""),""),""))</f>
        <v/>
      </c>
    </row>
    <row r="482" customFormat="false" ht="15" hidden="false" customHeight="false" outlineLevel="0" collapsed="false">
      <c r="A482" s="18" t="str">
        <f aca="false">IF(AND('SC Change Orders'!$A464="",'SC Change Orders'!$B464="",'SC Change Orders'!$C464=""),"",464)</f>
        <v/>
      </c>
      <c r="B482" s="31" t="str">
        <f aca="false">IF($A482="","",'SC Change Orders'!$A464)</f>
        <v/>
      </c>
      <c r="C482" s="18" t="str">
        <f aca="false">IF($A482="","",'SC Change Orders'!$B464)</f>
        <v/>
      </c>
      <c r="D482" s="32" t="str">
        <f aca="false">IF($A482="","",'SC Change Orders'!$C464)</f>
        <v/>
      </c>
      <c r="E482" s="31" t="str">
        <f aca="false">IF($A482="","",'SC Change Orders'!$D464)</f>
        <v/>
      </c>
      <c r="F482" s="33" t="str">
        <f aca="false">IF($A482="","",'SC Change Orders'!$E464)</f>
        <v/>
      </c>
      <c r="G482" s="33" t="str">
        <f aca="false">IF($A482="","",'SC Change Orders'!$F464)</f>
        <v/>
      </c>
      <c r="H482" s="33" t="str">
        <f aca="false">IF($A482="","",'SC Change Orders'!$G464)</f>
        <v/>
      </c>
      <c r="I482" s="34" t="str">
        <f aca="false">IF($A482="","",IF(AND(ISNUMBER('SC Change Orders'!$C464),'SC Change Orders'!$C464&gt;=Controls!$C$5,'SC Change Orders'!$C464&lt;=Controls!$C$6),"Yes","No"))</f>
        <v/>
      </c>
      <c r="J482" s="31" t="str">
        <f aca="false">IF($A482="","",IF($K482="","OK",$K482))</f>
        <v/>
      </c>
      <c r="K482" s="0" t="str">
        <f aca="false">IF($A482="","",IF(NOT(ISNUMBER('SC Change Orders'!$B464)),"PO not numeric — row is invisible to the tracker; ","")&amp;IF(NOT(ISNUMBER('SC Change Orders'!$C464)),"Date missing or text — row excluded; ",  IF(OR('SC Change Orders'!$C464&lt;Controls!$C$5,'SC Change Orders'!$C464&gt;Controls!$C$6),"Dated outside the FY window — excluded; ",""))&amp;IF(AND('SC Change Orders'!$E464&lt;&gt;"",NOT(ISNUMBER('SC Change Orders'!$E464))),"Original Amount held as text — ignored by MINIFS; ","")&amp;IF(AND('SC Change Orders'!$F464&lt;&gt;"",NOT(ISNUMBER('SC Change Orders'!$F464))),"Amount Added held as text — ignored by SUMIFS; ","")&amp;IF(ISNUMBER('SC Change Orders'!$E464),IF(ISNUMBER('SC Change Orders'!$F464),IF(ISNUMBER('SC Change Orders'!$G464),  IF('SC Change Orders'!$G464&gt;0,IF(ROUND('SC Change Orders'!$E464+'SC Change Orders'!$F464,2)&lt;&gt;ROUND('SC Change Orders'!$G464,2),  "Original + Added &lt;&gt; Total Line Cost Allotted; ",""),""),""),""),"")&amp;IF(AND(ISNUMBER('SC Change Orders'!$B464),COUNTIFS('SC Change Orders'!$B$2:$B$501,'SC Change Orders'!$B464,'SC Change Orders'!$C$2:$C$501,'SC Change Orders'!$C464,'SC Change Orders'!$D$2:$D$501,'SC Change Orders'!$D464,'SC Change Orders'!$F$2:$F$501,'SC Change Orders'!$F464,'SC Change Orders'!$E$2:$E$501,'SC Change Orders'!$E464)&gt;1),"Duplicate of another row — funds counted twice; ","")&amp;IF(ISNUMBER('SC Change Orders'!$F464),IF('SC Change Orders'!$F464&lt;&gt;0,IF(AND(ISNUMBER('SC Change Orders'!$B464),NOT(COUNTIFS('SC Change Orders'!$B$2:$B$501,'SC Change Orders'!$B464,'SC Change Orders'!$C$2:$C$501,'SC Change Orders'!$C464,'SC Change Orders'!$D$2:$D$501,'SC Change Orders'!$D464,'SC Change Orders'!$F$2:$F$501,'SC Change Orders'!$F464,'SC Change Orders'!$E$2:$E$501,'SC Change Orders'!$E464)&gt;1),COUNTIFS('SC Change Orders'!$B$2:$B$501,'SC Change Orders'!$B464,'SC Change Orders'!$F$2:$F$501,'SC Change Orders'!$F464)&gt;1),  "Same PO and Amount Added as another row — check for a restatement counted twice; ",""),""),""))</f>
        <v/>
      </c>
    </row>
    <row r="483" customFormat="false" ht="15" hidden="false" customHeight="false" outlineLevel="0" collapsed="false">
      <c r="A483" s="18" t="str">
        <f aca="false">IF(AND('SC Change Orders'!$A465="",'SC Change Orders'!$B465="",'SC Change Orders'!$C465=""),"",465)</f>
        <v/>
      </c>
      <c r="B483" s="31" t="str">
        <f aca="false">IF($A483="","",'SC Change Orders'!$A465)</f>
        <v/>
      </c>
      <c r="C483" s="18" t="str">
        <f aca="false">IF($A483="","",'SC Change Orders'!$B465)</f>
        <v/>
      </c>
      <c r="D483" s="32" t="str">
        <f aca="false">IF($A483="","",'SC Change Orders'!$C465)</f>
        <v/>
      </c>
      <c r="E483" s="31" t="str">
        <f aca="false">IF($A483="","",'SC Change Orders'!$D465)</f>
        <v/>
      </c>
      <c r="F483" s="33" t="str">
        <f aca="false">IF($A483="","",'SC Change Orders'!$E465)</f>
        <v/>
      </c>
      <c r="G483" s="33" t="str">
        <f aca="false">IF($A483="","",'SC Change Orders'!$F465)</f>
        <v/>
      </c>
      <c r="H483" s="33" t="str">
        <f aca="false">IF($A483="","",'SC Change Orders'!$G465)</f>
        <v/>
      </c>
      <c r="I483" s="34" t="str">
        <f aca="false">IF($A483="","",IF(AND(ISNUMBER('SC Change Orders'!$C465),'SC Change Orders'!$C465&gt;=Controls!$C$5,'SC Change Orders'!$C465&lt;=Controls!$C$6),"Yes","No"))</f>
        <v/>
      </c>
      <c r="J483" s="31" t="str">
        <f aca="false">IF($A483="","",IF($K483="","OK",$K483))</f>
        <v/>
      </c>
      <c r="K483" s="0" t="str">
        <f aca="false">IF($A483="","",IF(NOT(ISNUMBER('SC Change Orders'!$B465)),"PO not numeric — row is invisible to the tracker; ","")&amp;IF(NOT(ISNUMBER('SC Change Orders'!$C465)),"Date missing or text — row excluded; ",  IF(OR('SC Change Orders'!$C465&lt;Controls!$C$5,'SC Change Orders'!$C465&gt;Controls!$C$6),"Dated outside the FY window — excluded; ",""))&amp;IF(AND('SC Change Orders'!$E465&lt;&gt;"",NOT(ISNUMBER('SC Change Orders'!$E465))),"Original Amount held as text — ignored by MINIFS; ","")&amp;IF(AND('SC Change Orders'!$F465&lt;&gt;"",NOT(ISNUMBER('SC Change Orders'!$F465))),"Amount Added held as text — ignored by SUMIFS; ","")&amp;IF(ISNUMBER('SC Change Orders'!$E465),IF(ISNUMBER('SC Change Orders'!$F465),IF(ISNUMBER('SC Change Orders'!$G465),  IF('SC Change Orders'!$G465&gt;0,IF(ROUND('SC Change Orders'!$E465+'SC Change Orders'!$F465,2)&lt;&gt;ROUND('SC Change Orders'!$G465,2),  "Original + Added &lt;&gt; Total Line Cost Allotted; ",""),""),""),""),"")&amp;IF(AND(ISNUMBER('SC Change Orders'!$B465),COUNTIFS('SC Change Orders'!$B$2:$B$501,'SC Change Orders'!$B465,'SC Change Orders'!$C$2:$C$501,'SC Change Orders'!$C465,'SC Change Orders'!$D$2:$D$501,'SC Change Orders'!$D465,'SC Change Orders'!$F$2:$F$501,'SC Change Orders'!$F465,'SC Change Orders'!$E$2:$E$501,'SC Change Orders'!$E465)&gt;1),"Duplicate of another row — funds counted twice; ","")&amp;IF(ISNUMBER('SC Change Orders'!$F465),IF('SC Change Orders'!$F465&lt;&gt;0,IF(AND(ISNUMBER('SC Change Orders'!$B465),NOT(COUNTIFS('SC Change Orders'!$B$2:$B$501,'SC Change Orders'!$B465,'SC Change Orders'!$C$2:$C$501,'SC Change Orders'!$C465,'SC Change Orders'!$D$2:$D$501,'SC Change Orders'!$D465,'SC Change Orders'!$F$2:$F$501,'SC Change Orders'!$F465,'SC Change Orders'!$E$2:$E$501,'SC Change Orders'!$E465)&gt;1),COUNTIFS('SC Change Orders'!$B$2:$B$501,'SC Change Orders'!$B465,'SC Change Orders'!$F$2:$F$501,'SC Change Orders'!$F465)&gt;1),  "Same PO and Amount Added as another row — check for a restatement counted twice; ",""),""),""))</f>
        <v/>
      </c>
    </row>
    <row r="484" customFormat="false" ht="15" hidden="false" customHeight="false" outlineLevel="0" collapsed="false">
      <c r="A484" s="18" t="str">
        <f aca="false">IF(AND('SC Change Orders'!$A466="",'SC Change Orders'!$B466="",'SC Change Orders'!$C466=""),"",466)</f>
        <v/>
      </c>
      <c r="B484" s="31" t="str">
        <f aca="false">IF($A484="","",'SC Change Orders'!$A466)</f>
        <v/>
      </c>
      <c r="C484" s="18" t="str">
        <f aca="false">IF($A484="","",'SC Change Orders'!$B466)</f>
        <v/>
      </c>
      <c r="D484" s="32" t="str">
        <f aca="false">IF($A484="","",'SC Change Orders'!$C466)</f>
        <v/>
      </c>
      <c r="E484" s="31" t="str">
        <f aca="false">IF($A484="","",'SC Change Orders'!$D466)</f>
        <v/>
      </c>
      <c r="F484" s="33" t="str">
        <f aca="false">IF($A484="","",'SC Change Orders'!$E466)</f>
        <v/>
      </c>
      <c r="G484" s="33" t="str">
        <f aca="false">IF($A484="","",'SC Change Orders'!$F466)</f>
        <v/>
      </c>
      <c r="H484" s="33" t="str">
        <f aca="false">IF($A484="","",'SC Change Orders'!$G466)</f>
        <v/>
      </c>
      <c r="I484" s="34" t="str">
        <f aca="false">IF($A484="","",IF(AND(ISNUMBER('SC Change Orders'!$C466),'SC Change Orders'!$C466&gt;=Controls!$C$5,'SC Change Orders'!$C466&lt;=Controls!$C$6),"Yes","No"))</f>
        <v/>
      </c>
      <c r="J484" s="31" t="str">
        <f aca="false">IF($A484="","",IF($K484="","OK",$K484))</f>
        <v/>
      </c>
      <c r="K484" s="0" t="str">
        <f aca="false">IF($A484="","",IF(NOT(ISNUMBER('SC Change Orders'!$B466)),"PO not numeric — row is invisible to the tracker; ","")&amp;IF(NOT(ISNUMBER('SC Change Orders'!$C466)),"Date missing or text — row excluded; ",  IF(OR('SC Change Orders'!$C466&lt;Controls!$C$5,'SC Change Orders'!$C466&gt;Controls!$C$6),"Dated outside the FY window — excluded; ",""))&amp;IF(AND('SC Change Orders'!$E466&lt;&gt;"",NOT(ISNUMBER('SC Change Orders'!$E466))),"Original Amount held as text — ignored by MINIFS; ","")&amp;IF(AND('SC Change Orders'!$F466&lt;&gt;"",NOT(ISNUMBER('SC Change Orders'!$F466))),"Amount Added held as text — ignored by SUMIFS; ","")&amp;IF(ISNUMBER('SC Change Orders'!$E466),IF(ISNUMBER('SC Change Orders'!$F466),IF(ISNUMBER('SC Change Orders'!$G466),  IF('SC Change Orders'!$G466&gt;0,IF(ROUND('SC Change Orders'!$E466+'SC Change Orders'!$F466,2)&lt;&gt;ROUND('SC Change Orders'!$G466,2),  "Original + Added &lt;&gt; Total Line Cost Allotted; ",""),""),""),""),"")&amp;IF(AND(ISNUMBER('SC Change Orders'!$B466),COUNTIFS('SC Change Orders'!$B$2:$B$501,'SC Change Orders'!$B466,'SC Change Orders'!$C$2:$C$501,'SC Change Orders'!$C466,'SC Change Orders'!$D$2:$D$501,'SC Change Orders'!$D466,'SC Change Orders'!$F$2:$F$501,'SC Change Orders'!$F466,'SC Change Orders'!$E$2:$E$501,'SC Change Orders'!$E466)&gt;1),"Duplicate of another row — funds counted twice; ","")&amp;IF(ISNUMBER('SC Change Orders'!$F466),IF('SC Change Orders'!$F466&lt;&gt;0,IF(AND(ISNUMBER('SC Change Orders'!$B466),NOT(COUNTIFS('SC Change Orders'!$B$2:$B$501,'SC Change Orders'!$B466,'SC Change Orders'!$C$2:$C$501,'SC Change Orders'!$C466,'SC Change Orders'!$D$2:$D$501,'SC Change Orders'!$D466,'SC Change Orders'!$F$2:$F$501,'SC Change Orders'!$F466,'SC Change Orders'!$E$2:$E$501,'SC Change Orders'!$E466)&gt;1),COUNTIFS('SC Change Orders'!$B$2:$B$501,'SC Change Orders'!$B466,'SC Change Orders'!$F$2:$F$501,'SC Change Orders'!$F466)&gt;1),  "Same PO and Amount Added as another row — check for a restatement counted twice; ",""),""),""))</f>
        <v/>
      </c>
    </row>
    <row r="485" customFormat="false" ht="15" hidden="false" customHeight="false" outlineLevel="0" collapsed="false">
      <c r="A485" s="18" t="str">
        <f aca="false">IF(AND('SC Change Orders'!$A467="",'SC Change Orders'!$B467="",'SC Change Orders'!$C467=""),"",467)</f>
        <v/>
      </c>
      <c r="B485" s="31" t="str">
        <f aca="false">IF($A485="","",'SC Change Orders'!$A467)</f>
        <v/>
      </c>
      <c r="C485" s="18" t="str">
        <f aca="false">IF($A485="","",'SC Change Orders'!$B467)</f>
        <v/>
      </c>
      <c r="D485" s="32" t="str">
        <f aca="false">IF($A485="","",'SC Change Orders'!$C467)</f>
        <v/>
      </c>
      <c r="E485" s="31" t="str">
        <f aca="false">IF($A485="","",'SC Change Orders'!$D467)</f>
        <v/>
      </c>
      <c r="F485" s="33" t="str">
        <f aca="false">IF($A485="","",'SC Change Orders'!$E467)</f>
        <v/>
      </c>
      <c r="G485" s="33" t="str">
        <f aca="false">IF($A485="","",'SC Change Orders'!$F467)</f>
        <v/>
      </c>
      <c r="H485" s="33" t="str">
        <f aca="false">IF($A485="","",'SC Change Orders'!$G467)</f>
        <v/>
      </c>
      <c r="I485" s="34" t="str">
        <f aca="false">IF($A485="","",IF(AND(ISNUMBER('SC Change Orders'!$C467),'SC Change Orders'!$C467&gt;=Controls!$C$5,'SC Change Orders'!$C467&lt;=Controls!$C$6),"Yes","No"))</f>
        <v/>
      </c>
      <c r="J485" s="31" t="str">
        <f aca="false">IF($A485="","",IF($K485="","OK",$K485))</f>
        <v/>
      </c>
      <c r="K485" s="0" t="str">
        <f aca="false">IF($A485="","",IF(NOT(ISNUMBER('SC Change Orders'!$B467)),"PO not numeric — row is invisible to the tracker; ","")&amp;IF(NOT(ISNUMBER('SC Change Orders'!$C467)),"Date missing or text — row excluded; ",  IF(OR('SC Change Orders'!$C467&lt;Controls!$C$5,'SC Change Orders'!$C467&gt;Controls!$C$6),"Dated outside the FY window — excluded; ",""))&amp;IF(AND('SC Change Orders'!$E467&lt;&gt;"",NOT(ISNUMBER('SC Change Orders'!$E467))),"Original Amount held as text — ignored by MINIFS; ","")&amp;IF(AND('SC Change Orders'!$F467&lt;&gt;"",NOT(ISNUMBER('SC Change Orders'!$F467))),"Amount Added held as text — ignored by SUMIFS; ","")&amp;IF(ISNUMBER('SC Change Orders'!$E467),IF(ISNUMBER('SC Change Orders'!$F467),IF(ISNUMBER('SC Change Orders'!$G467),  IF('SC Change Orders'!$G467&gt;0,IF(ROUND('SC Change Orders'!$E467+'SC Change Orders'!$F467,2)&lt;&gt;ROUND('SC Change Orders'!$G467,2),  "Original + Added &lt;&gt; Total Line Cost Allotted; ",""),""),""),""),"")&amp;IF(AND(ISNUMBER('SC Change Orders'!$B467),COUNTIFS('SC Change Orders'!$B$2:$B$501,'SC Change Orders'!$B467,'SC Change Orders'!$C$2:$C$501,'SC Change Orders'!$C467,'SC Change Orders'!$D$2:$D$501,'SC Change Orders'!$D467,'SC Change Orders'!$F$2:$F$501,'SC Change Orders'!$F467,'SC Change Orders'!$E$2:$E$501,'SC Change Orders'!$E467)&gt;1),"Duplicate of another row — funds counted twice; ","")&amp;IF(ISNUMBER('SC Change Orders'!$F467),IF('SC Change Orders'!$F467&lt;&gt;0,IF(AND(ISNUMBER('SC Change Orders'!$B467),NOT(COUNTIFS('SC Change Orders'!$B$2:$B$501,'SC Change Orders'!$B467,'SC Change Orders'!$C$2:$C$501,'SC Change Orders'!$C467,'SC Change Orders'!$D$2:$D$501,'SC Change Orders'!$D467,'SC Change Orders'!$F$2:$F$501,'SC Change Orders'!$F467,'SC Change Orders'!$E$2:$E$501,'SC Change Orders'!$E467)&gt;1),COUNTIFS('SC Change Orders'!$B$2:$B$501,'SC Change Orders'!$B467,'SC Change Orders'!$F$2:$F$501,'SC Change Orders'!$F467)&gt;1),  "Same PO and Amount Added as another row — check for a restatement counted twice; ",""),""),""))</f>
        <v/>
      </c>
    </row>
    <row r="486" customFormat="false" ht="15" hidden="false" customHeight="false" outlineLevel="0" collapsed="false">
      <c r="A486" s="18" t="str">
        <f aca="false">IF(AND('SC Change Orders'!$A468="",'SC Change Orders'!$B468="",'SC Change Orders'!$C468=""),"",468)</f>
        <v/>
      </c>
      <c r="B486" s="31" t="str">
        <f aca="false">IF($A486="","",'SC Change Orders'!$A468)</f>
        <v/>
      </c>
      <c r="C486" s="18" t="str">
        <f aca="false">IF($A486="","",'SC Change Orders'!$B468)</f>
        <v/>
      </c>
      <c r="D486" s="32" t="str">
        <f aca="false">IF($A486="","",'SC Change Orders'!$C468)</f>
        <v/>
      </c>
      <c r="E486" s="31" t="str">
        <f aca="false">IF($A486="","",'SC Change Orders'!$D468)</f>
        <v/>
      </c>
      <c r="F486" s="33" t="str">
        <f aca="false">IF($A486="","",'SC Change Orders'!$E468)</f>
        <v/>
      </c>
      <c r="G486" s="33" t="str">
        <f aca="false">IF($A486="","",'SC Change Orders'!$F468)</f>
        <v/>
      </c>
      <c r="H486" s="33" t="str">
        <f aca="false">IF($A486="","",'SC Change Orders'!$G468)</f>
        <v/>
      </c>
      <c r="I486" s="34" t="str">
        <f aca="false">IF($A486="","",IF(AND(ISNUMBER('SC Change Orders'!$C468),'SC Change Orders'!$C468&gt;=Controls!$C$5,'SC Change Orders'!$C468&lt;=Controls!$C$6),"Yes","No"))</f>
        <v/>
      </c>
      <c r="J486" s="31" t="str">
        <f aca="false">IF($A486="","",IF($K486="","OK",$K486))</f>
        <v/>
      </c>
      <c r="K486" s="0" t="str">
        <f aca="false">IF($A486="","",IF(NOT(ISNUMBER('SC Change Orders'!$B468)),"PO not numeric — row is invisible to the tracker; ","")&amp;IF(NOT(ISNUMBER('SC Change Orders'!$C468)),"Date missing or text — row excluded; ",  IF(OR('SC Change Orders'!$C468&lt;Controls!$C$5,'SC Change Orders'!$C468&gt;Controls!$C$6),"Dated outside the FY window — excluded; ",""))&amp;IF(AND('SC Change Orders'!$E468&lt;&gt;"",NOT(ISNUMBER('SC Change Orders'!$E468))),"Original Amount held as text — ignored by MINIFS; ","")&amp;IF(AND('SC Change Orders'!$F468&lt;&gt;"",NOT(ISNUMBER('SC Change Orders'!$F468))),"Amount Added held as text — ignored by SUMIFS; ","")&amp;IF(ISNUMBER('SC Change Orders'!$E468),IF(ISNUMBER('SC Change Orders'!$F468),IF(ISNUMBER('SC Change Orders'!$G468),  IF('SC Change Orders'!$G468&gt;0,IF(ROUND('SC Change Orders'!$E468+'SC Change Orders'!$F468,2)&lt;&gt;ROUND('SC Change Orders'!$G468,2),  "Original + Added &lt;&gt; Total Line Cost Allotted; ",""),""),""),""),"")&amp;IF(AND(ISNUMBER('SC Change Orders'!$B468),COUNTIFS('SC Change Orders'!$B$2:$B$501,'SC Change Orders'!$B468,'SC Change Orders'!$C$2:$C$501,'SC Change Orders'!$C468,'SC Change Orders'!$D$2:$D$501,'SC Change Orders'!$D468,'SC Change Orders'!$F$2:$F$501,'SC Change Orders'!$F468,'SC Change Orders'!$E$2:$E$501,'SC Change Orders'!$E468)&gt;1),"Duplicate of another row — funds counted twice; ","")&amp;IF(ISNUMBER('SC Change Orders'!$F468),IF('SC Change Orders'!$F468&lt;&gt;0,IF(AND(ISNUMBER('SC Change Orders'!$B468),NOT(COUNTIFS('SC Change Orders'!$B$2:$B$501,'SC Change Orders'!$B468,'SC Change Orders'!$C$2:$C$501,'SC Change Orders'!$C468,'SC Change Orders'!$D$2:$D$501,'SC Change Orders'!$D468,'SC Change Orders'!$F$2:$F$501,'SC Change Orders'!$F468,'SC Change Orders'!$E$2:$E$501,'SC Change Orders'!$E468)&gt;1),COUNTIFS('SC Change Orders'!$B$2:$B$501,'SC Change Orders'!$B468,'SC Change Orders'!$F$2:$F$501,'SC Change Orders'!$F468)&gt;1),  "Same PO and Amount Added as another row — check for a restatement counted twice; ",""),""),""))</f>
        <v/>
      </c>
    </row>
    <row r="487" customFormat="false" ht="15" hidden="false" customHeight="false" outlineLevel="0" collapsed="false">
      <c r="A487" s="18" t="str">
        <f aca="false">IF(AND('SC Change Orders'!$A469="",'SC Change Orders'!$B469="",'SC Change Orders'!$C469=""),"",469)</f>
        <v/>
      </c>
      <c r="B487" s="31" t="str">
        <f aca="false">IF($A487="","",'SC Change Orders'!$A469)</f>
        <v/>
      </c>
      <c r="C487" s="18" t="str">
        <f aca="false">IF($A487="","",'SC Change Orders'!$B469)</f>
        <v/>
      </c>
      <c r="D487" s="32" t="str">
        <f aca="false">IF($A487="","",'SC Change Orders'!$C469)</f>
        <v/>
      </c>
      <c r="E487" s="31" t="str">
        <f aca="false">IF($A487="","",'SC Change Orders'!$D469)</f>
        <v/>
      </c>
      <c r="F487" s="33" t="str">
        <f aca="false">IF($A487="","",'SC Change Orders'!$E469)</f>
        <v/>
      </c>
      <c r="G487" s="33" t="str">
        <f aca="false">IF($A487="","",'SC Change Orders'!$F469)</f>
        <v/>
      </c>
      <c r="H487" s="33" t="str">
        <f aca="false">IF($A487="","",'SC Change Orders'!$G469)</f>
        <v/>
      </c>
      <c r="I487" s="34" t="str">
        <f aca="false">IF($A487="","",IF(AND(ISNUMBER('SC Change Orders'!$C469),'SC Change Orders'!$C469&gt;=Controls!$C$5,'SC Change Orders'!$C469&lt;=Controls!$C$6),"Yes","No"))</f>
        <v/>
      </c>
      <c r="J487" s="31" t="str">
        <f aca="false">IF($A487="","",IF($K487="","OK",$K487))</f>
        <v/>
      </c>
      <c r="K487" s="0" t="str">
        <f aca="false">IF($A487="","",IF(NOT(ISNUMBER('SC Change Orders'!$B469)),"PO not numeric — row is invisible to the tracker; ","")&amp;IF(NOT(ISNUMBER('SC Change Orders'!$C469)),"Date missing or text — row excluded; ",  IF(OR('SC Change Orders'!$C469&lt;Controls!$C$5,'SC Change Orders'!$C469&gt;Controls!$C$6),"Dated outside the FY window — excluded; ",""))&amp;IF(AND('SC Change Orders'!$E469&lt;&gt;"",NOT(ISNUMBER('SC Change Orders'!$E469))),"Original Amount held as text — ignored by MINIFS; ","")&amp;IF(AND('SC Change Orders'!$F469&lt;&gt;"",NOT(ISNUMBER('SC Change Orders'!$F469))),"Amount Added held as text — ignored by SUMIFS; ","")&amp;IF(ISNUMBER('SC Change Orders'!$E469),IF(ISNUMBER('SC Change Orders'!$F469),IF(ISNUMBER('SC Change Orders'!$G469),  IF('SC Change Orders'!$G469&gt;0,IF(ROUND('SC Change Orders'!$E469+'SC Change Orders'!$F469,2)&lt;&gt;ROUND('SC Change Orders'!$G469,2),  "Original + Added &lt;&gt; Total Line Cost Allotted; ",""),""),""),""),"")&amp;IF(AND(ISNUMBER('SC Change Orders'!$B469),COUNTIFS('SC Change Orders'!$B$2:$B$501,'SC Change Orders'!$B469,'SC Change Orders'!$C$2:$C$501,'SC Change Orders'!$C469,'SC Change Orders'!$D$2:$D$501,'SC Change Orders'!$D469,'SC Change Orders'!$F$2:$F$501,'SC Change Orders'!$F469,'SC Change Orders'!$E$2:$E$501,'SC Change Orders'!$E469)&gt;1),"Duplicate of another row — funds counted twice; ","")&amp;IF(ISNUMBER('SC Change Orders'!$F469),IF('SC Change Orders'!$F469&lt;&gt;0,IF(AND(ISNUMBER('SC Change Orders'!$B469),NOT(COUNTIFS('SC Change Orders'!$B$2:$B$501,'SC Change Orders'!$B469,'SC Change Orders'!$C$2:$C$501,'SC Change Orders'!$C469,'SC Change Orders'!$D$2:$D$501,'SC Change Orders'!$D469,'SC Change Orders'!$F$2:$F$501,'SC Change Orders'!$F469,'SC Change Orders'!$E$2:$E$501,'SC Change Orders'!$E469)&gt;1),COUNTIFS('SC Change Orders'!$B$2:$B$501,'SC Change Orders'!$B469,'SC Change Orders'!$F$2:$F$501,'SC Change Orders'!$F469)&gt;1),  "Same PO and Amount Added as another row — check for a restatement counted twice; ",""),""),""))</f>
        <v/>
      </c>
    </row>
    <row r="488" customFormat="false" ht="15" hidden="false" customHeight="false" outlineLevel="0" collapsed="false">
      <c r="A488" s="18" t="str">
        <f aca="false">IF(AND('SC Change Orders'!$A470="",'SC Change Orders'!$B470="",'SC Change Orders'!$C470=""),"",470)</f>
        <v/>
      </c>
      <c r="B488" s="31" t="str">
        <f aca="false">IF($A488="","",'SC Change Orders'!$A470)</f>
        <v/>
      </c>
      <c r="C488" s="18" t="str">
        <f aca="false">IF($A488="","",'SC Change Orders'!$B470)</f>
        <v/>
      </c>
      <c r="D488" s="32" t="str">
        <f aca="false">IF($A488="","",'SC Change Orders'!$C470)</f>
        <v/>
      </c>
      <c r="E488" s="31" t="str">
        <f aca="false">IF($A488="","",'SC Change Orders'!$D470)</f>
        <v/>
      </c>
      <c r="F488" s="33" t="str">
        <f aca="false">IF($A488="","",'SC Change Orders'!$E470)</f>
        <v/>
      </c>
      <c r="G488" s="33" t="str">
        <f aca="false">IF($A488="","",'SC Change Orders'!$F470)</f>
        <v/>
      </c>
      <c r="H488" s="33" t="str">
        <f aca="false">IF($A488="","",'SC Change Orders'!$G470)</f>
        <v/>
      </c>
      <c r="I488" s="34" t="str">
        <f aca="false">IF($A488="","",IF(AND(ISNUMBER('SC Change Orders'!$C470),'SC Change Orders'!$C470&gt;=Controls!$C$5,'SC Change Orders'!$C470&lt;=Controls!$C$6),"Yes","No"))</f>
        <v/>
      </c>
      <c r="J488" s="31" t="str">
        <f aca="false">IF($A488="","",IF($K488="","OK",$K488))</f>
        <v/>
      </c>
      <c r="K488" s="0" t="str">
        <f aca="false">IF($A488="","",IF(NOT(ISNUMBER('SC Change Orders'!$B470)),"PO not numeric — row is invisible to the tracker; ","")&amp;IF(NOT(ISNUMBER('SC Change Orders'!$C470)),"Date missing or text — row excluded; ",  IF(OR('SC Change Orders'!$C470&lt;Controls!$C$5,'SC Change Orders'!$C470&gt;Controls!$C$6),"Dated outside the FY window — excluded; ",""))&amp;IF(AND('SC Change Orders'!$E470&lt;&gt;"",NOT(ISNUMBER('SC Change Orders'!$E470))),"Original Amount held as text — ignored by MINIFS; ","")&amp;IF(AND('SC Change Orders'!$F470&lt;&gt;"",NOT(ISNUMBER('SC Change Orders'!$F470))),"Amount Added held as text — ignored by SUMIFS; ","")&amp;IF(ISNUMBER('SC Change Orders'!$E470),IF(ISNUMBER('SC Change Orders'!$F470),IF(ISNUMBER('SC Change Orders'!$G470),  IF('SC Change Orders'!$G470&gt;0,IF(ROUND('SC Change Orders'!$E470+'SC Change Orders'!$F470,2)&lt;&gt;ROUND('SC Change Orders'!$G470,2),  "Original + Added &lt;&gt; Total Line Cost Allotted; ",""),""),""),""),"")&amp;IF(AND(ISNUMBER('SC Change Orders'!$B470),COUNTIFS('SC Change Orders'!$B$2:$B$501,'SC Change Orders'!$B470,'SC Change Orders'!$C$2:$C$501,'SC Change Orders'!$C470,'SC Change Orders'!$D$2:$D$501,'SC Change Orders'!$D470,'SC Change Orders'!$F$2:$F$501,'SC Change Orders'!$F470,'SC Change Orders'!$E$2:$E$501,'SC Change Orders'!$E470)&gt;1),"Duplicate of another row — funds counted twice; ","")&amp;IF(ISNUMBER('SC Change Orders'!$F470),IF('SC Change Orders'!$F470&lt;&gt;0,IF(AND(ISNUMBER('SC Change Orders'!$B470),NOT(COUNTIFS('SC Change Orders'!$B$2:$B$501,'SC Change Orders'!$B470,'SC Change Orders'!$C$2:$C$501,'SC Change Orders'!$C470,'SC Change Orders'!$D$2:$D$501,'SC Change Orders'!$D470,'SC Change Orders'!$F$2:$F$501,'SC Change Orders'!$F470,'SC Change Orders'!$E$2:$E$501,'SC Change Orders'!$E470)&gt;1),COUNTIFS('SC Change Orders'!$B$2:$B$501,'SC Change Orders'!$B470,'SC Change Orders'!$F$2:$F$501,'SC Change Orders'!$F470)&gt;1),  "Same PO and Amount Added as another row — check for a restatement counted twice; ",""),""),""))</f>
        <v/>
      </c>
    </row>
    <row r="489" customFormat="false" ht="15" hidden="false" customHeight="false" outlineLevel="0" collapsed="false">
      <c r="A489" s="18" t="str">
        <f aca="false">IF(AND('SC Change Orders'!$A471="",'SC Change Orders'!$B471="",'SC Change Orders'!$C471=""),"",471)</f>
        <v/>
      </c>
      <c r="B489" s="31" t="str">
        <f aca="false">IF($A489="","",'SC Change Orders'!$A471)</f>
        <v/>
      </c>
      <c r="C489" s="18" t="str">
        <f aca="false">IF($A489="","",'SC Change Orders'!$B471)</f>
        <v/>
      </c>
      <c r="D489" s="32" t="str">
        <f aca="false">IF($A489="","",'SC Change Orders'!$C471)</f>
        <v/>
      </c>
      <c r="E489" s="31" t="str">
        <f aca="false">IF($A489="","",'SC Change Orders'!$D471)</f>
        <v/>
      </c>
      <c r="F489" s="33" t="str">
        <f aca="false">IF($A489="","",'SC Change Orders'!$E471)</f>
        <v/>
      </c>
      <c r="G489" s="33" t="str">
        <f aca="false">IF($A489="","",'SC Change Orders'!$F471)</f>
        <v/>
      </c>
      <c r="H489" s="33" t="str">
        <f aca="false">IF($A489="","",'SC Change Orders'!$G471)</f>
        <v/>
      </c>
      <c r="I489" s="34" t="str">
        <f aca="false">IF($A489="","",IF(AND(ISNUMBER('SC Change Orders'!$C471),'SC Change Orders'!$C471&gt;=Controls!$C$5,'SC Change Orders'!$C471&lt;=Controls!$C$6),"Yes","No"))</f>
        <v/>
      </c>
      <c r="J489" s="31" t="str">
        <f aca="false">IF($A489="","",IF($K489="","OK",$K489))</f>
        <v/>
      </c>
      <c r="K489" s="0" t="str">
        <f aca="false">IF($A489="","",IF(NOT(ISNUMBER('SC Change Orders'!$B471)),"PO not numeric — row is invisible to the tracker; ","")&amp;IF(NOT(ISNUMBER('SC Change Orders'!$C471)),"Date missing or text — row excluded; ",  IF(OR('SC Change Orders'!$C471&lt;Controls!$C$5,'SC Change Orders'!$C471&gt;Controls!$C$6),"Dated outside the FY window — excluded; ",""))&amp;IF(AND('SC Change Orders'!$E471&lt;&gt;"",NOT(ISNUMBER('SC Change Orders'!$E471))),"Original Amount held as text — ignored by MINIFS; ","")&amp;IF(AND('SC Change Orders'!$F471&lt;&gt;"",NOT(ISNUMBER('SC Change Orders'!$F471))),"Amount Added held as text — ignored by SUMIFS; ","")&amp;IF(ISNUMBER('SC Change Orders'!$E471),IF(ISNUMBER('SC Change Orders'!$F471),IF(ISNUMBER('SC Change Orders'!$G471),  IF('SC Change Orders'!$G471&gt;0,IF(ROUND('SC Change Orders'!$E471+'SC Change Orders'!$F471,2)&lt;&gt;ROUND('SC Change Orders'!$G471,2),  "Original + Added &lt;&gt; Total Line Cost Allotted; ",""),""),""),""),"")&amp;IF(AND(ISNUMBER('SC Change Orders'!$B471),COUNTIFS('SC Change Orders'!$B$2:$B$501,'SC Change Orders'!$B471,'SC Change Orders'!$C$2:$C$501,'SC Change Orders'!$C471,'SC Change Orders'!$D$2:$D$501,'SC Change Orders'!$D471,'SC Change Orders'!$F$2:$F$501,'SC Change Orders'!$F471,'SC Change Orders'!$E$2:$E$501,'SC Change Orders'!$E471)&gt;1),"Duplicate of another row — funds counted twice; ","")&amp;IF(ISNUMBER('SC Change Orders'!$F471),IF('SC Change Orders'!$F471&lt;&gt;0,IF(AND(ISNUMBER('SC Change Orders'!$B471),NOT(COUNTIFS('SC Change Orders'!$B$2:$B$501,'SC Change Orders'!$B471,'SC Change Orders'!$C$2:$C$501,'SC Change Orders'!$C471,'SC Change Orders'!$D$2:$D$501,'SC Change Orders'!$D471,'SC Change Orders'!$F$2:$F$501,'SC Change Orders'!$F471,'SC Change Orders'!$E$2:$E$501,'SC Change Orders'!$E471)&gt;1),COUNTIFS('SC Change Orders'!$B$2:$B$501,'SC Change Orders'!$B471,'SC Change Orders'!$F$2:$F$501,'SC Change Orders'!$F471)&gt;1),  "Same PO and Amount Added as another row — check for a restatement counted twice; ",""),""),""))</f>
        <v/>
      </c>
    </row>
    <row r="490" customFormat="false" ht="15" hidden="false" customHeight="false" outlineLevel="0" collapsed="false">
      <c r="A490" s="18" t="str">
        <f aca="false">IF(AND('SC Change Orders'!$A472="",'SC Change Orders'!$B472="",'SC Change Orders'!$C472=""),"",472)</f>
        <v/>
      </c>
      <c r="B490" s="31" t="str">
        <f aca="false">IF($A490="","",'SC Change Orders'!$A472)</f>
        <v/>
      </c>
      <c r="C490" s="18" t="str">
        <f aca="false">IF($A490="","",'SC Change Orders'!$B472)</f>
        <v/>
      </c>
      <c r="D490" s="32" t="str">
        <f aca="false">IF($A490="","",'SC Change Orders'!$C472)</f>
        <v/>
      </c>
      <c r="E490" s="31" t="str">
        <f aca="false">IF($A490="","",'SC Change Orders'!$D472)</f>
        <v/>
      </c>
      <c r="F490" s="33" t="str">
        <f aca="false">IF($A490="","",'SC Change Orders'!$E472)</f>
        <v/>
      </c>
      <c r="G490" s="33" t="str">
        <f aca="false">IF($A490="","",'SC Change Orders'!$F472)</f>
        <v/>
      </c>
      <c r="H490" s="33" t="str">
        <f aca="false">IF($A490="","",'SC Change Orders'!$G472)</f>
        <v/>
      </c>
      <c r="I490" s="34" t="str">
        <f aca="false">IF($A490="","",IF(AND(ISNUMBER('SC Change Orders'!$C472),'SC Change Orders'!$C472&gt;=Controls!$C$5,'SC Change Orders'!$C472&lt;=Controls!$C$6),"Yes","No"))</f>
        <v/>
      </c>
      <c r="J490" s="31" t="str">
        <f aca="false">IF($A490="","",IF($K490="","OK",$K490))</f>
        <v/>
      </c>
      <c r="K490" s="0" t="str">
        <f aca="false">IF($A490="","",IF(NOT(ISNUMBER('SC Change Orders'!$B472)),"PO not numeric — row is invisible to the tracker; ","")&amp;IF(NOT(ISNUMBER('SC Change Orders'!$C472)),"Date missing or text — row excluded; ",  IF(OR('SC Change Orders'!$C472&lt;Controls!$C$5,'SC Change Orders'!$C472&gt;Controls!$C$6),"Dated outside the FY window — excluded; ",""))&amp;IF(AND('SC Change Orders'!$E472&lt;&gt;"",NOT(ISNUMBER('SC Change Orders'!$E472))),"Original Amount held as text — ignored by MINIFS; ","")&amp;IF(AND('SC Change Orders'!$F472&lt;&gt;"",NOT(ISNUMBER('SC Change Orders'!$F472))),"Amount Added held as text — ignored by SUMIFS; ","")&amp;IF(ISNUMBER('SC Change Orders'!$E472),IF(ISNUMBER('SC Change Orders'!$F472),IF(ISNUMBER('SC Change Orders'!$G472),  IF('SC Change Orders'!$G472&gt;0,IF(ROUND('SC Change Orders'!$E472+'SC Change Orders'!$F472,2)&lt;&gt;ROUND('SC Change Orders'!$G472,2),  "Original + Added &lt;&gt; Total Line Cost Allotted; ",""),""),""),""),"")&amp;IF(AND(ISNUMBER('SC Change Orders'!$B472),COUNTIFS('SC Change Orders'!$B$2:$B$501,'SC Change Orders'!$B472,'SC Change Orders'!$C$2:$C$501,'SC Change Orders'!$C472,'SC Change Orders'!$D$2:$D$501,'SC Change Orders'!$D472,'SC Change Orders'!$F$2:$F$501,'SC Change Orders'!$F472,'SC Change Orders'!$E$2:$E$501,'SC Change Orders'!$E472)&gt;1),"Duplicate of another row — funds counted twice; ","")&amp;IF(ISNUMBER('SC Change Orders'!$F472),IF('SC Change Orders'!$F472&lt;&gt;0,IF(AND(ISNUMBER('SC Change Orders'!$B472),NOT(COUNTIFS('SC Change Orders'!$B$2:$B$501,'SC Change Orders'!$B472,'SC Change Orders'!$C$2:$C$501,'SC Change Orders'!$C472,'SC Change Orders'!$D$2:$D$501,'SC Change Orders'!$D472,'SC Change Orders'!$F$2:$F$501,'SC Change Orders'!$F472,'SC Change Orders'!$E$2:$E$501,'SC Change Orders'!$E472)&gt;1),COUNTIFS('SC Change Orders'!$B$2:$B$501,'SC Change Orders'!$B472,'SC Change Orders'!$F$2:$F$501,'SC Change Orders'!$F472)&gt;1),  "Same PO and Amount Added as another row — check for a restatement counted twice; ",""),""),""))</f>
        <v/>
      </c>
    </row>
    <row r="491" customFormat="false" ht="15" hidden="false" customHeight="false" outlineLevel="0" collapsed="false">
      <c r="A491" s="18" t="str">
        <f aca="false">IF(AND('SC Change Orders'!$A473="",'SC Change Orders'!$B473="",'SC Change Orders'!$C473=""),"",473)</f>
        <v/>
      </c>
      <c r="B491" s="31" t="str">
        <f aca="false">IF($A491="","",'SC Change Orders'!$A473)</f>
        <v/>
      </c>
      <c r="C491" s="18" t="str">
        <f aca="false">IF($A491="","",'SC Change Orders'!$B473)</f>
        <v/>
      </c>
      <c r="D491" s="32" t="str">
        <f aca="false">IF($A491="","",'SC Change Orders'!$C473)</f>
        <v/>
      </c>
      <c r="E491" s="31" t="str">
        <f aca="false">IF($A491="","",'SC Change Orders'!$D473)</f>
        <v/>
      </c>
      <c r="F491" s="33" t="str">
        <f aca="false">IF($A491="","",'SC Change Orders'!$E473)</f>
        <v/>
      </c>
      <c r="G491" s="33" t="str">
        <f aca="false">IF($A491="","",'SC Change Orders'!$F473)</f>
        <v/>
      </c>
      <c r="H491" s="33" t="str">
        <f aca="false">IF($A491="","",'SC Change Orders'!$G473)</f>
        <v/>
      </c>
      <c r="I491" s="34" t="str">
        <f aca="false">IF($A491="","",IF(AND(ISNUMBER('SC Change Orders'!$C473),'SC Change Orders'!$C473&gt;=Controls!$C$5,'SC Change Orders'!$C473&lt;=Controls!$C$6),"Yes","No"))</f>
        <v/>
      </c>
      <c r="J491" s="31" t="str">
        <f aca="false">IF($A491="","",IF($K491="","OK",$K491))</f>
        <v/>
      </c>
      <c r="K491" s="0" t="str">
        <f aca="false">IF($A491="","",IF(NOT(ISNUMBER('SC Change Orders'!$B473)),"PO not numeric — row is invisible to the tracker; ","")&amp;IF(NOT(ISNUMBER('SC Change Orders'!$C473)),"Date missing or text — row excluded; ",  IF(OR('SC Change Orders'!$C473&lt;Controls!$C$5,'SC Change Orders'!$C473&gt;Controls!$C$6),"Dated outside the FY window — excluded; ",""))&amp;IF(AND('SC Change Orders'!$E473&lt;&gt;"",NOT(ISNUMBER('SC Change Orders'!$E473))),"Original Amount held as text — ignored by MINIFS; ","")&amp;IF(AND('SC Change Orders'!$F473&lt;&gt;"",NOT(ISNUMBER('SC Change Orders'!$F473))),"Amount Added held as text — ignored by SUMIFS; ","")&amp;IF(ISNUMBER('SC Change Orders'!$E473),IF(ISNUMBER('SC Change Orders'!$F473),IF(ISNUMBER('SC Change Orders'!$G473),  IF('SC Change Orders'!$G473&gt;0,IF(ROUND('SC Change Orders'!$E473+'SC Change Orders'!$F473,2)&lt;&gt;ROUND('SC Change Orders'!$G473,2),  "Original + Added &lt;&gt; Total Line Cost Allotted; ",""),""),""),""),"")&amp;IF(AND(ISNUMBER('SC Change Orders'!$B473),COUNTIFS('SC Change Orders'!$B$2:$B$501,'SC Change Orders'!$B473,'SC Change Orders'!$C$2:$C$501,'SC Change Orders'!$C473,'SC Change Orders'!$D$2:$D$501,'SC Change Orders'!$D473,'SC Change Orders'!$F$2:$F$501,'SC Change Orders'!$F473,'SC Change Orders'!$E$2:$E$501,'SC Change Orders'!$E473)&gt;1),"Duplicate of another row — funds counted twice; ","")&amp;IF(ISNUMBER('SC Change Orders'!$F473),IF('SC Change Orders'!$F473&lt;&gt;0,IF(AND(ISNUMBER('SC Change Orders'!$B473),NOT(COUNTIFS('SC Change Orders'!$B$2:$B$501,'SC Change Orders'!$B473,'SC Change Orders'!$C$2:$C$501,'SC Change Orders'!$C473,'SC Change Orders'!$D$2:$D$501,'SC Change Orders'!$D473,'SC Change Orders'!$F$2:$F$501,'SC Change Orders'!$F473,'SC Change Orders'!$E$2:$E$501,'SC Change Orders'!$E473)&gt;1),COUNTIFS('SC Change Orders'!$B$2:$B$501,'SC Change Orders'!$B473,'SC Change Orders'!$F$2:$F$501,'SC Change Orders'!$F473)&gt;1),  "Same PO and Amount Added as another row — check for a restatement counted twice; ",""),""),""))</f>
        <v/>
      </c>
    </row>
    <row r="492" customFormat="false" ht="15" hidden="false" customHeight="false" outlineLevel="0" collapsed="false">
      <c r="A492" s="18" t="str">
        <f aca="false">IF(AND('SC Change Orders'!$A474="",'SC Change Orders'!$B474="",'SC Change Orders'!$C474=""),"",474)</f>
        <v/>
      </c>
      <c r="B492" s="31" t="str">
        <f aca="false">IF($A492="","",'SC Change Orders'!$A474)</f>
        <v/>
      </c>
      <c r="C492" s="18" t="str">
        <f aca="false">IF($A492="","",'SC Change Orders'!$B474)</f>
        <v/>
      </c>
      <c r="D492" s="32" t="str">
        <f aca="false">IF($A492="","",'SC Change Orders'!$C474)</f>
        <v/>
      </c>
      <c r="E492" s="31" t="str">
        <f aca="false">IF($A492="","",'SC Change Orders'!$D474)</f>
        <v/>
      </c>
      <c r="F492" s="33" t="str">
        <f aca="false">IF($A492="","",'SC Change Orders'!$E474)</f>
        <v/>
      </c>
      <c r="G492" s="33" t="str">
        <f aca="false">IF($A492="","",'SC Change Orders'!$F474)</f>
        <v/>
      </c>
      <c r="H492" s="33" t="str">
        <f aca="false">IF($A492="","",'SC Change Orders'!$G474)</f>
        <v/>
      </c>
      <c r="I492" s="34" t="str">
        <f aca="false">IF($A492="","",IF(AND(ISNUMBER('SC Change Orders'!$C474),'SC Change Orders'!$C474&gt;=Controls!$C$5,'SC Change Orders'!$C474&lt;=Controls!$C$6),"Yes","No"))</f>
        <v/>
      </c>
      <c r="J492" s="31" t="str">
        <f aca="false">IF($A492="","",IF($K492="","OK",$K492))</f>
        <v/>
      </c>
      <c r="K492" s="0" t="str">
        <f aca="false">IF($A492="","",IF(NOT(ISNUMBER('SC Change Orders'!$B474)),"PO not numeric — row is invisible to the tracker; ","")&amp;IF(NOT(ISNUMBER('SC Change Orders'!$C474)),"Date missing or text — row excluded; ",  IF(OR('SC Change Orders'!$C474&lt;Controls!$C$5,'SC Change Orders'!$C474&gt;Controls!$C$6),"Dated outside the FY window — excluded; ",""))&amp;IF(AND('SC Change Orders'!$E474&lt;&gt;"",NOT(ISNUMBER('SC Change Orders'!$E474))),"Original Amount held as text — ignored by MINIFS; ","")&amp;IF(AND('SC Change Orders'!$F474&lt;&gt;"",NOT(ISNUMBER('SC Change Orders'!$F474))),"Amount Added held as text — ignored by SUMIFS; ","")&amp;IF(ISNUMBER('SC Change Orders'!$E474),IF(ISNUMBER('SC Change Orders'!$F474),IF(ISNUMBER('SC Change Orders'!$G474),  IF('SC Change Orders'!$G474&gt;0,IF(ROUND('SC Change Orders'!$E474+'SC Change Orders'!$F474,2)&lt;&gt;ROUND('SC Change Orders'!$G474,2),  "Original + Added &lt;&gt; Total Line Cost Allotted; ",""),""),""),""),"")&amp;IF(AND(ISNUMBER('SC Change Orders'!$B474),COUNTIFS('SC Change Orders'!$B$2:$B$501,'SC Change Orders'!$B474,'SC Change Orders'!$C$2:$C$501,'SC Change Orders'!$C474,'SC Change Orders'!$D$2:$D$501,'SC Change Orders'!$D474,'SC Change Orders'!$F$2:$F$501,'SC Change Orders'!$F474,'SC Change Orders'!$E$2:$E$501,'SC Change Orders'!$E474)&gt;1),"Duplicate of another row — funds counted twice; ","")&amp;IF(ISNUMBER('SC Change Orders'!$F474),IF('SC Change Orders'!$F474&lt;&gt;0,IF(AND(ISNUMBER('SC Change Orders'!$B474),NOT(COUNTIFS('SC Change Orders'!$B$2:$B$501,'SC Change Orders'!$B474,'SC Change Orders'!$C$2:$C$501,'SC Change Orders'!$C474,'SC Change Orders'!$D$2:$D$501,'SC Change Orders'!$D474,'SC Change Orders'!$F$2:$F$501,'SC Change Orders'!$F474,'SC Change Orders'!$E$2:$E$501,'SC Change Orders'!$E474)&gt;1),COUNTIFS('SC Change Orders'!$B$2:$B$501,'SC Change Orders'!$B474,'SC Change Orders'!$F$2:$F$501,'SC Change Orders'!$F474)&gt;1),  "Same PO and Amount Added as another row — check for a restatement counted twice; ",""),""),""))</f>
        <v/>
      </c>
    </row>
    <row r="493" customFormat="false" ht="15" hidden="false" customHeight="false" outlineLevel="0" collapsed="false">
      <c r="A493" s="18" t="str">
        <f aca="false">IF(AND('SC Change Orders'!$A475="",'SC Change Orders'!$B475="",'SC Change Orders'!$C475=""),"",475)</f>
        <v/>
      </c>
      <c r="B493" s="31" t="str">
        <f aca="false">IF($A493="","",'SC Change Orders'!$A475)</f>
        <v/>
      </c>
      <c r="C493" s="18" t="str">
        <f aca="false">IF($A493="","",'SC Change Orders'!$B475)</f>
        <v/>
      </c>
      <c r="D493" s="32" t="str">
        <f aca="false">IF($A493="","",'SC Change Orders'!$C475)</f>
        <v/>
      </c>
      <c r="E493" s="31" t="str">
        <f aca="false">IF($A493="","",'SC Change Orders'!$D475)</f>
        <v/>
      </c>
      <c r="F493" s="33" t="str">
        <f aca="false">IF($A493="","",'SC Change Orders'!$E475)</f>
        <v/>
      </c>
      <c r="G493" s="33" t="str">
        <f aca="false">IF($A493="","",'SC Change Orders'!$F475)</f>
        <v/>
      </c>
      <c r="H493" s="33" t="str">
        <f aca="false">IF($A493="","",'SC Change Orders'!$G475)</f>
        <v/>
      </c>
      <c r="I493" s="34" t="str">
        <f aca="false">IF($A493="","",IF(AND(ISNUMBER('SC Change Orders'!$C475),'SC Change Orders'!$C475&gt;=Controls!$C$5,'SC Change Orders'!$C475&lt;=Controls!$C$6),"Yes","No"))</f>
        <v/>
      </c>
      <c r="J493" s="31" t="str">
        <f aca="false">IF($A493="","",IF($K493="","OK",$K493))</f>
        <v/>
      </c>
      <c r="K493" s="0" t="str">
        <f aca="false">IF($A493="","",IF(NOT(ISNUMBER('SC Change Orders'!$B475)),"PO not numeric — row is invisible to the tracker; ","")&amp;IF(NOT(ISNUMBER('SC Change Orders'!$C475)),"Date missing or text — row excluded; ",  IF(OR('SC Change Orders'!$C475&lt;Controls!$C$5,'SC Change Orders'!$C475&gt;Controls!$C$6),"Dated outside the FY window — excluded; ",""))&amp;IF(AND('SC Change Orders'!$E475&lt;&gt;"",NOT(ISNUMBER('SC Change Orders'!$E475))),"Original Amount held as text — ignored by MINIFS; ","")&amp;IF(AND('SC Change Orders'!$F475&lt;&gt;"",NOT(ISNUMBER('SC Change Orders'!$F475))),"Amount Added held as text — ignored by SUMIFS; ","")&amp;IF(ISNUMBER('SC Change Orders'!$E475),IF(ISNUMBER('SC Change Orders'!$F475),IF(ISNUMBER('SC Change Orders'!$G475),  IF('SC Change Orders'!$G475&gt;0,IF(ROUND('SC Change Orders'!$E475+'SC Change Orders'!$F475,2)&lt;&gt;ROUND('SC Change Orders'!$G475,2),  "Original + Added &lt;&gt; Total Line Cost Allotted; ",""),""),""),""),"")&amp;IF(AND(ISNUMBER('SC Change Orders'!$B475),COUNTIFS('SC Change Orders'!$B$2:$B$501,'SC Change Orders'!$B475,'SC Change Orders'!$C$2:$C$501,'SC Change Orders'!$C475,'SC Change Orders'!$D$2:$D$501,'SC Change Orders'!$D475,'SC Change Orders'!$F$2:$F$501,'SC Change Orders'!$F475,'SC Change Orders'!$E$2:$E$501,'SC Change Orders'!$E475)&gt;1),"Duplicate of another row — funds counted twice; ","")&amp;IF(ISNUMBER('SC Change Orders'!$F475),IF('SC Change Orders'!$F475&lt;&gt;0,IF(AND(ISNUMBER('SC Change Orders'!$B475),NOT(COUNTIFS('SC Change Orders'!$B$2:$B$501,'SC Change Orders'!$B475,'SC Change Orders'!$C$2:$C$501,'SC Change Orders'!$C475,'SC Change Orders'!$D$2:$D$501,'SC Change Orders'!$D475,'SC Change Orders'!$F$2:$F$501,'SC Change Orders'!$F475,'SC Change Orders'!$E$2:$E$501,'SC Change Orders'!$E475)&gt;1),COUNTIFS('SC Change Orders'!$B$2:$B$501,'SC Change Orders'!$B475,'SC Change Orders'!$F$2:$F$501,'SC Change Orders'!$F475)&gt;1),  "Same PO and Amount Added as another row — check for a restatement counted twice; ",""),""),""))</f>
        <v/>
      </c>
    </row>
    <row r="494" customFormat="false" ht="15" hidden="false" customHeight="false" outlineLevel="0" collapsed="false">
      <c r="A494" s="18" t="str">
        <f aca="false">IF(AND('SC Change Orders'!$A476="",'SC Change Orders'!$B476="",'SC Change Orders'!$C476=""),"",476)</f>
        <v/>
      </c>
      <c r="B494" s="31" t="str">
        <f aca="false">IF($A494="","",'SC Change Orders'!$A476)</f>
        <v/>
      </c>
      <c r="C494" s="18" t="str">
        <f aca="false">IF($A494="","",'SC Change Orders'!$B476)</f>
        <v/>
      </c>
      <c r="D494" s="32" t="str">
        <f aca="false">IF($A494="","",'SC Change Orders'!$C476)</f>
        <v/>
      </c>
      <c r="E494" s="31" t="str">
        <f aca="false">IF($A494="","",'SC Change Orders'!$D476)</f>
        <v/>
      </c>
      <c r="F494" s="33" t="str">
        <f aca="false">IF($A494="","",'SC Change Orders'!$E476)</f>
        <v/>
      </c>
      <c r="G494" s="33" t="str">
        <f aca="false">IF($A494="","",'SC Change Orders'!$F476)</f>
        <v/>
      </c>
      <c r="H494" s="33" t="str">
        <f aca="false">IF($A494="","",'SC Change Orders'!$G476)</f>
        <v/>
      </c>
      <c r="I494" s="34" t="str">
        <f aca="false">IF($A494="","",IF(AND(ISNUMBER('SC Change Orders'!$C476),'SC Change Orders'!$C476&gt;=Controls!$C$5,'SC Change Orders'!$C476&lt;=Controls!$C$6),"Yes","No"))</f>
        <v/>
      </c>
      <c r="J494" s="31" t="str">
        <f aca="false">IF($A494="","",IF($K494="","OK",$K494))</f>
        <v/>
      </c>
      <c r="K494" s="0" t="str">
        <f aca="false">IF($A494="","",IF(NOT(ISNUMBER('SC Change Orders'!$B476)),"PO not numeric — row is invisible to the tracker; ","")&amp;IF(NOT(ISNUMBER('SC Change Orders'!$C476)),"Date missing or text — row excluded; ",  IF(OR('SC Change Orders'!$C476&lt;Controls!$C$5,'SC Change Orders'!$C476&gt;Controls!$C$6),"Dated outside the FY window — excluded; ",""))&amp;IF(AND('SC Change Orders'!$E476&lt;&gt;"",NOT(ISNUMBER('SC Change Orders'!$E476))),"Original Amount held as text — ignored by MINIFS; ","")&amp;IF(AND('SC Change Orders'!$F476&lt;&gt;"",NOT(ISNUMBER('SC Change Orders'!$F476))),"Amount Added held as text — ignored by SUMIFS; ","")&amp;IF(ISNUMBER('SC Change Orders'!$E476),IF(ISNUMBER('SC Change Orders'!$F476),IF(ISNUMBER('SC Change Orders'!$G476),  IF('SC Change Orders'!$G476&gt;0,IF(ROUND('SC Change Orders'!$E476+'SC Change Orders'!$F476,2)&lt;&gt;ROUND('SC Change Orders'!$G476,2),  "Original + Added &lt;&gt; Total Line Cost Allotted; ",""),""),""),""),"")&amp;IF(AND(ISNUMBER('SC Change Orders'!$B476),COUNTIFS('SC Change Orders'!$B$2:$B$501,'SC Change Orders'!$B476,'SC Change Orders'!$C$2:$C$501,'SC Change Orders'!$C476,'SC Change Orders'!$D$2:$D$501,'SC Change Orders'!$D476,'SC Change Orders'!$F$2:$F$501,'SC Change Orders'!$F476,'SC Change Orders'!$E$2:$E$501,'SC Change Orders'!$E476)&gt;1),"Duplicate of another row — funds counted twice; ","")&amp;IF(ISNUMBER('SC Change Orders'!$F476),IF('SC Change Orders'!$F476&lt;&gt;0,IF(AND(ISNUMBER('SC Change Orders'!$B476),NOT(COUNTIFS('SC Change Orders'!$B$2:$B$501,'SC Change Orders'!$B476,'SC Change Orders'!$C$2:$C$501,'SC Change Orders'!$C476,'SC Change Orders'!$D$2:$D$501,'SC Change Orders'!$D476,'SC Change Orders'!$F$2:$F$501,'SC Change Orders'!$F476,'SC Change Orders'!$E$2:$E$501,'SC Change Orders'!$E476)&gt;1),COUNTIFS('SC Change Orders'!$B$2:$B$501,'SC Change Orders'!$B476,'SC Change Orders'!$F$2:$F$501,'SC Change Orders'!$F476)&gt;1),  "Same PO and Amount Added as another row — check for a restatement counted twice; ",""),""),""))</f>
        <v/>
      </c>
    </row>
    <row r="495" customFormat="false" ht="15" hidden="false" customHeight="false" outlineLevel="0" collapsed="false">
      <c r="A495" s="18" t="str">
        <f aca="false">IF(AND('SC Change Orders'!$A477="",'SC Change Orders'!$B477="",'SC Change Orders'!$C477=""),"",477)</f>
        <v/>
      </c>
      <c r="B495" s="31" t="str">
        <f aca="false">IF($A495="","",'SC Change Orders'!$A477)</f>
        <v/>
      </c>
      <c r="C495" s="18" t="str">
        <f aca="false">IF($A495="","",'SC Change Orders'!$B477)</f>
        <v/>
      </c>
      <c r="D495" s="32" t="str">
        <f aca="false">IF($A495="","",'SC Change Orders'!$C477)</f>
        <v/>
      </c>
      <c r="E495" s="31" t="str">
        <f aca="false">IF($A495="","",'SC Change Orders'!$D477)</f>
        <v/>
      </c>
      <c r="F495" s="33" t="str">
        <f aca="false">IF($A495="","",'SC Change Orders'!$E477)</f>
        <v/>
      </c>
      <c r="G495" s="33" t="str">
        <f aca="false">IF($A495="","",'SC Change Orders'!$F477)</f>
        <v/>
      </c>
      <c r="H495" s="33" t="str">
        <f aca="false">IF($A495="","",'SC Change Orders'!$G477)</f>
        <v/>
      </c>
      <c r="I495" s="34" t="str">
        <f aca="false">IF($A495="","",IF(AND(ISNUMBER('SC Change Orders'!$C477),'SC Change Orders'!$C477&gt;=Controls!$C$5,'SC Change Orders'!$C477&lt;=Controls!$C$6),"Yes","No"))</f>
        <v/>
      </c>
      <c r="J495" s="31" t="str">
        <f aca="false">IF($A495="","",IF($K495="","OK",$K495))</f>
        <v/>
      </c>
      <c r="K495" s="0" t="str">
        <f aca="false">IF($A495="","",IF(NOT(ISNUMBER('SC Change Orders'!$B477)),"PO not numeric — row is invisible to the tracker; ","")&amp;IF(NOT(ISNUMBER('SC Change Orders'!$C477)),"Date missing or text — row excluded; ",  IF(OR('SC Change Orders'!$C477&lt;Controls!$C$5,'SC Change Orders'!$C477&gt;Controls!$C$6),"Dated outside the FY window — excluded; ",""))&amp;IF(AND('SC Change Orders'!$E477&lt;&gt;"",NOT(ISNUMBER('SC Change Orders'!$E477))),"Original Amount held as text — ignored by MINIFS; ","")&amp;IF(AND('SC Change Orders'!$F477&lt;&gt;"",NOT(ISNUMBER('SC Change Orders'!$F477))),"Amount Added held as text — ignored by SUMIFS; ","")&amp;IF(ISNUMBER('SC Change Orders'!$E477),IF(ISNUMBER('SC Change Orders'!$F477),IF(ISNUMBER('SC Change Orders'!$G477),  IF('SC Change Orders'!$G477&gt;0,IF(ROUND('SC Change Orders'!$E477+'SC Change Orders'!$F477,2)&lt;&gt;ROUND('SC Change Orders'!$G477,2),  "Original + Added &lt;&gt; Total Line Cost Allotted; ",""),""),""),""),"")&amp;IF(AND(ISNUMBER('SC Change Orders'!$B477),COUNTIFS('SC Change Orders'!$B$2:$B$501,'SC Change Orders'!$B477,'SC Change Orders'!$C$2:$C$501,'SC Change Orders'!$C477,'SC Change Orders'!$D$2:$D$501,'SC Change Orders'!$D477,'SC Change Orders'!$F$2:$F$501,'SC Change Orders'!$F477,'SC Change Orders'!$E$2:$E$501,'SC Change Orders'!$E477)&gt;1),"Duplicate of another row — funds counted twice; ","")&amp;IF(ISNUMBER('SC Change Orders'!$F477),IF('SC Change Orders'!$F477&lt;&gt;0,IF(AND(ISNUMBER('SC Change Orders'!$B477),NOT(COUNTIFS('SC Change Orders'!$B$2:$B$501,'SC Change Orders'!$B477,'SC Change Orders'!$C$2:$C$501,'SC Change Orders'!$C477,'SC Change Orders'!$D$2:$D$501,'SC Change Orders'!$D477,'SC Change Orders'!$F$2:$F$501,'SC Change Orders'!$F477,'SC Change Orders'!$E$2:$E$501,'SC Change Orders'!$E477)&gt;1),COUNTIFS('SC Change Orders'!$B$2:$B$501,'SC Change Orders'!$B477,'SC Change Orders'!$F$2:$F$501,'SC Change Orders'!$F477)&gt;1),  "Same PO and Amount Added as another row — check for a restatement counted twice; ",""),""),""))</f>
        <v/>
      </c>
    </row>
    <row r="496" customFormat="false" ht="15" hidden="false" customHeight="false" outlineLevel="0" collapsed="false">
      <c r="A496" s="18" t="str">
        <f aca="false">IF(AND('SC Change Orders'!$A478="",'SC Change Orders'!$B478="",'SC Change Orders'!$C478=""),"",478)</f>
        <v/>
      </c>
      <c r="B496" s="31" t="str">
        <f aca="false">IF($A496="","",'SC Change Orders'!$A478)</f>
        <v/>
      </c>
      <c r="C496" s="18" t="str">
        <f aca="false">IF($A496="","",'SC Change Orders'!$B478)</f>
        <v/>
      </c>
      <c r="D496" s="32" t="str">
        <f aca="false">IF($A496="","",'SC Change Orders'!$C478)</f>
        <v/>
      </c>
      <c r="E496" s="31" t="str">
        <f aca="false">IF($A496="","",'SC Change Orders'!$D478)</f>
        <v/>
      </c>
      <c r="F496" s="33" t="str">
        <f aca="false">IF($A496="","",'SC Change Orders'!$E478)</f>
        <v/>
      </c>
      <c r="G496" s="33" t="str">
        <f aca="false">IF($A496="","",'SC Change Orders'!$F478)</f>
        <v/>
      </c>
      <c r="H496" s="33" t="str">
        <f aca="false">IF($A496="","",'SC Change Orders'!$G478)</f>
        <v/>
      </c>
      <c r="I496" s="34" t="str">
        <f aca="false">IF($A496="","",IF(AND(ISNUMBER('SC Change Orders'!$C478),'SC Change Orders'!$C478&gt;=Controls!$C$5,'SC Change Orders'!$C478&lt;=Controls!$C$6),"Yes","No"))</f>
        <v/>
      </c>
      <c r="J496" s="31" t="str">
        <f aca="false">IF($A496="","",IF($K496="","OK",$K496))</f>
        <v/>
      </c>
      <c r="K496" s="0" t="str">
        <f aca="false">IF($A496="","",IF(NOT(ISNUMBER('SC Change Orders'!$B478)),"PO not numeric — row is invisible to the tracker; ","")&amp;IF(NOT(ISNUMBER('SC Change Orders'!$C478)),"Date missing or text — row excluded; ",  IF(OR('SC Change Orders'!$C478&lt;Controls!$C$5,'SC Change Orders'!$C478&gt;Controls!$C$6),"Dated outside the FY window — excluded; ",""))&amp;IF(AND('SC Change Orders'!$E478&lt;&gt;"",NOT(ISNUMBER('SC Change Orders'!$E478))),"Original Amount held as text — ignored by MINIFS; ","")&amp;IF(AND('SC Change Orders'!$F478&lt;&gt;"",NOT(ISNUMBER('SC Change Orders'!$F478))),"Amount Added held as text — ignored by SUMIFS; ","")&amp;IF(ISNUMBER('SC Change Orders'!$E478),IF(ISNUMBER('SC Change Orders'!$F478),IF(ISNUMBER('SC Change Orders'!$G478),  IF('SC Change Orders'!$G478&gt;0,IF(ROUND('SC Change Orders'!$E478+'SC Change Orders'!$F478,2)&lt;&gt;ROUND('SC Change Orders'!$G478,2),  "Original + Added &lt;&gt; Total Line Cost Allotted; ",""),""),""),""),"")&amp;IF(AND(ISNUMBER('SC Change Orders'!$B478),COUNTIFS('SC Change Orders'!$B$2:$B$501,'SC Change Orders'!$B478,'SC Change Orders'!$C$2:$C$501,'SC Change Orders'!$C478,'SC Change Orders'!$D$2:$D$501,'SC Change Orders'!$D478,'SC Change Orders'!$F$2:$F$501,'SC Change Orders'!$F478,'SC Change Orders'!$E$2:$E$501,'SC Change Orders'!$E478)&gt;1),"Duplicate of another row — funds counted twice; ","")&amp;IF(ISNUMBER('SC Change Orders'!$F478),IF('SC Change Orders'!$F478&lt;&gt;0,IF(AND(ISNUMBER('SC Change Orders'!$B478),NOT(COUNTIFS('SC Change Orders'!$B$2:$B$501,'SC Change Orders'!$B478,'SC Change Orders'!$C$2:$C$501,'SC Change Orders'!$C478,'SC Change Orders'!$D$2:$D$501,'SC Change Orders'!$D478,'SC Change Orders'!$F$2:$F$501,'SC Change Orders'!$F478,'SC Change Orders'!$E$2:$E$501,'SC Change Orders'!$E478)&gt;1),COUNTIFS('SC Change Orders'!$B$2:$B$501,'SC Change Orders'!$B478,'SC Change Orders'!$F$2:$F$501,'SC Change Orders'!$F478)&gt;1),  "Same PO and Amount Added as another row — check for a restatement counted twice; ",""),""),""))</f>
        <v/>
      </c>
    </row>
    <row r="497" customFormat="false" ht="15" hidden="false" customHeight="false" outlineLevel="0" collapsed="false">
      <c r="A497" s="18" t="str">
        <f aca="false">IF(AND('SC Change Orders'!$A479="",'SC Change Orders'!$B479="",'SC Change Orders'!$C479=""),"",479)</f>
        <v/>
      </c>
      <c r="B497" s="31" t="str">
        <f aca="false">IF($A497="","",'SC Change Orders'!$A479)</f>
        <v/>
      </c>
      <c r="C497" s="18" t="str">
        <f aca="false">IF($A497="","",'SC Change Orders'!$B479)</f>
        <v/>
      </c>
      <c r="D497" s="32" t="str">
        <f aca="false">IF($A497="","",'SC Change Orders'!$C479)</f>
        <v/>
      </c>
      <c r="E497" s="31" t="str">
        <f aca="false">IF($A497="","",'SC Change Orders'!$D479)</f>
        <v/>
      </c>
      <c r="F497" s="33" t="str">
        <f aca="false">IF($A497="","",'SC Change Orders'!$E479)</f>
        <v/>
      </c>
      <c r="G497" s="33" t="str">
        <f aca="false">IF($A497="","",'SC Change Orders'!$F479)</f>
        <v/>
      </c>
      <c r="H497" s="33" t="str">
        <f aca="false">IF($A497="","",'SC Change Orders'!$G479)</f>
        <v/>
      </c>
      <c r="I497" s="34" t="str">
        <f aca="false">IF($A497="","",IF(AND(ISNUMBER('SC Change Orders'!$C479),'SC Change Orders'!$C479&gt;=Controls!$C$5,'SC Change Orders'!$C479&lt;=Controls!$C$6),"Yes","No"))</f>
        <v/>
      </c>
      <c r="J497" s="31" t="str">
        <f aca="false">IF($A497="","",IF($K497="","OK",$K497))</f>
        <v/>
      </c>
      <c r="K497" s="0" t="str">
        <f aca="false">IF($A497="","",IF(NOT(ISNUMBER('SC Change Orders'!$B479)),"PO not numeric — row is invisible to the tracker; ","")&amp;IF(NOT(ISNUMBER('SC Change Orders'!$C479)),"Date missing or text — row excluded; ",  IF(OR('SC Change Orders'!$C479&lt;Controls!$C$5,'SC Change Orders'!$C479&gt;Controls!$C$6),"Dated outside the FY window — excluded; ",""))&amp;IF(AND('SC Change Orders'!$E479&lt;&gt;"",NOT(ISNUMBER('SC Change Orders'!$E479))),"Original Amount held as text — ignored by MINIFS; ","")&amp;IF(AND('SC Change Orders'!$F479&lt;&gt;"",NOT(ISNUMBER('SC Change Orders'!$F479))),"Amount Added held as text — ignored by SUMIFS; ","")&amp;IF(ISNUMBER('SC Change Orders'!$E479),IF(ISNUMBER('SC Change Orders'!$F479),IF(ISNUMBER('SC Change Orders'!$G479),  IF('SC Change Orders'!$G479&gt;0,IF(ROUND('SC Change Orders'!$E479+'SC Change Orders'!$F479,2)&lt;&gt;ROUND('SC Change Orders'!$G479,2),  "Original + Added &lt;&gt; Total Line Cost Allotted; ",""),""),""),""),"")&amp;IF(AND(ISNUMBER('SC Change Orders'!$B479),COUNTIFS('SC Change Orders'!$B$2:$B$501,'SC Change Orders'!$B479,'SC Change Orders'!$C$2:$C$501,'SC Change Orders'!$C479,'SC Change Orders'!$D$2:$D$501,'SC Change Orders'!$D479,'SC Change Orders'!$F$2:$F$501,'SC Change Orders'!$F479,'SC Change Orders'!$E$2:$E$501,'SC Change Orders'!$E479)&gt;1),"Duplicate of another row — funds counted twice; ","")&amp;IF(ISNUMBER('SC Change Orders'!$F479),IF('SC Change Orders'!$F479&lt;&gt;0,IF(AND(ISNUMBER('SC Change Orders'!$B479),NOT(COUNTIFS('SC Change Orders'!$B$2:$B$501,'SC Change Orders'!$B479,'SC Change Orders'!$C$2:$C$501,'SC Change Orders'!$C479,'SC Change Orders'!$D$2:$D$501,'SC Change Orders'!$D479,'SC Change Orders'!$F$2:$F$501,'SC Change Orders'!$F479,'SC Change Orders'!$E$2:$E$501,'SC Change Orders'!$E479)&gt;1),COUNTIFS('SC Change Orders'!$B$2:$B$501,'SC Change Orders'!$B479,'SC Change Orders'!$F$2:$F$501,'SC Change Orders'!$F479)&gt;1),  "Same PO and Amount Added as another row — check for a restatement counted twice; ",""),""),""))</f>
        <v/>
      </c>
    </row>
    <row r="498" customFormat="false" ht="15" hidden="false" customHeight="false" outlineLevel="0" collapsed="false">
      <c r="A498" s="18" t="str">
        <f aca="false">IF(AND('SC Change Orders'!$A480="",'SC Change Orders'!$B480="",'SC Change Orders'!$C480=""),"",480)</f>
        <v/>
      </c>
      <c r="B498" s="31" t="str">
        <f aca="false">IF($A498="","",'SC Change Orders'!$A480)</f>
        <v/>
      </c>
      <c r="C498" s="18" t="str">
        <f aca="false">IF($A498="","",'SC Change Orders'!$B480)</f>
        <v/>
      </c>
      <c r="D498" s="32" t="str">
        <f aca="false">IF($A498="","",'SC Change Orders'!$C480)</f>
        <v/>
      </c>
      <c r="E498" s="31" t="str">
        <f aca="false">IF($A498="","",'SC Change Orders'!$D480)</f>
        <v/>
      </c>
      <c r="F498" s="33" t="str">
        <f aca="false">IF($A498="","",'SC Change Orders'!$E480)</f>
        <v/>
      </c>
      <c r="G498" s="33" t="str">
        <f aca="false">IF($A498="","",'SC Change Orders'!$F480)</f>
        <v/>
      </c>
      <c r="H498" s="33" t="str">
        <f aca="false">IF($A498="","",'SC Change Orders'!$G480)</f>
        <v/>
      </c>
      <c r="I498" s="34" t="str">
        <f aca="false">IF($A498="","",IF(AND(ISNUMBER('SC Change Orders'!$C480),'SC Change Orders'!$C480&gt;=Controls!$C$5,'SC Change Orders'!$C480&lt;=Controls!$C$6),"Yes","No"))</f>
        <v/>
      </c>
      <c r="J498" s="31" t="str">
        <f aca="false">IF($A498="","",IF($K498="","OK",$K498))</f>
        <v/>
      </c>
      <c r="K498" s="0" t="str">
        <f aca="false">IF($A498="","",IF(NOT(ISNUMBER('SC Change Orders'!$B480)),"PO not numeric — row is invisible to the tracker; ","")&amp;IF(NOT(ISNUMBER('SC Change Orders'!$C480)),"Date missing or text — row excluded; ",  IF(OR('SC Change Orders'!$C480&lt;Controls!$C$5,'SC Change Orders'!$C480&gt;Controls!$C$6),"Dated outside the FY window — excluded; ",""))&amp;IF(AND('SC Change Orders'!$E480&lt;&gt;"",NOT(ISNUMBER('SC Change Orders'!$E480))),"Original Amount held as text — ignored by MINIFS; ","")&amp;IF(AND('SC Change Orders'!$F480&lt;&gt;"",NOT(ISNUMBER('SC Change Orders'!$F480))),"Amount Added held as text — ignored by SUMIFS; ","")&amp;IF(ISNUMBER('SC Change Orders'!$E480),IF(ISNUMBER('SC Change Orders'!$F480),IF(ISNUMBER('SC Change Orders'!$G480),  IF('SC Change Orders'!$G480&gt;0,IF(ROUND('SC Change Orders'!$E480+'SC Change Orders'!$F480,2)&lt;&gt;ROUND('SC Change Orders'!$G480,2),  "Original + Added &lt;&gt; Total Line Cost Allotted; ",""),""),""),""),"")&amp;IF(AND(ISNUMBER('SC Change Orders'!$B480),COUNTIFS('SC Change Orders'!$B$2:$B$501,'SC Change Orders'!$B480,'SC Change Orders'!$C$2:$C$501,'SC Change Orders'!$C480,'SC Change Orders'!$D$2:$D$501,'SC Change Orders'!$D480,'SC Change Orders'!$F$2:$F$501,'SC Change Orders'!$F480,'SC Change Orders'!$E$2:$E$501,'SC Change Orders'!$E480)&gt;1),"Duplicate of another row — funds counted twice; ","")&amp;IF(ISNUMBER('SC Change Orders'!$F480),IF('SC Change Orders'!$F480&lt;&gt;0,IF(AND(ISNUMBER('SC Change Orders'!$B480),NOT(COUNTIFS('SC Change Orders'!$B$2:$B$501,'SC Change Orders'!$B480,'SC Change Orders'!$C$2:$C$501,'SC Change Orders'!$C480,'SC Change Orders'!$D$2:$D$501,'SC Change Orders'!$D480,'SC Change Orders'!$F$2:$F$501,'SC Change Orders'!$F480,'SC Change Orders'!$E$2:$E$501,'SC Change Orders'!$E480)&gt;1),COUNTIFS('SC Change Orders'!$B$2:$B$501,'SC Change Orders'!$B480,'SC Change Orders'!$F$2:$F$501,'SC Change Orders'!$F480)&gt;1),  "Same PO and Amount Added as another row — check for a restatement counted twice; ",""),""),""))</f>
        <v/>
      </c>
    </row>
    <row r="499" customFormat="false" ht="15" hidden="false" customHeight="false" outlineLevel="0" collapsed="false">
      <c r="A499" s="18" t="str">
        <f aca="false">IF(AND('SC Change Orders'!$A481="",'SC Change Orders'!$B481="",'SC Change Orders'!$C481=""),"",481)</f>
        <v/>
      </c>
      <c r="B499" s="31" t="str">
        <f aca="false">IF($A499="","",'SC Change Orders'!$A481)</f>
        <v/>
      </c>
      <c r="C499" s="18" t="str">
        <f aca="false">IF($A499="","",'SC Change Orders'!$B481)</f>
        <v/>
      </c>
      <c r="D499" s="32" t="str">
        <f aca="false">IF($A499="","",'SC Change Orders'!$C481)</f>
        <v/>
      </c>
      <c r="E499" s="31" t="str">
        <f aca="false">IF($A499="","",'SC Change Orders'!$D481)</f>
        <v/>
      </c>
      <c r="F499" s="33" t="str">
        <f aca="false">IF($A499="","",'SC Change Orders'!$E481)</f>
        <v/>
      </c>
      <c r="G499" s="33" t="str">
        <f aca="false">IF($A499="","",'SC Change Orders'!$F481)</f>
        <v/>
      </c>
      <c r="H499" s="33" t="str">
        <f aca="false">IF($A499="","",'SC Change Orders'!$G481)</f>
        <v/>
      </c>
      <c r="I499" s="34" t="str">
        <f aca="false">IF($A499="","",IF(AND(ISNUMBER('SC Change Orders'!$C481),'SC Change Orders'!$C481&gt;=Controls!$C$5,'SC Change Orders'!$C481&lt;=Controls!$C$6),"Yes","No"))</f>
        <v/>
      </c>
      <c r="J499" s="31" t="str">
        <f aca="false">IF($A499="","",IF($K499="","OK",$K499))</f>
        <v/>
      </c>
      <c r="K499" s="0" t="str">
        <f aca="false">IF($A499="","",IF(NOT(ISNUMBER('SC Change Orders'!$B481)),"PO not numeric — row is invisible to the tracker; ","")&amp;IF(NOT(ISNUMBER('SC Change Orders'!$C481)),"Date missing or text — row excluded; ",  IF(OR('SC Change Orders'!$C481&lt;Controls!$C$5,'SC Change Orders'!$C481&gt;Controls!$C$6),"Dated outside the FY window — excluded; ",""))&amp;IF(AND('SC Change Orders'!$E481&lt;&gt;"",NOT(ISNUMBER('SC Change Orders'!$E481))),"Original Amount held as text — ignored by MINIFS; ","")&amp;IF(AND('SC Change Orders'!$F481&lt;&gt;"",NOT(ISNUMBER('SC Change Orders'!$F481))),"Amount Added held as text — ignored by SUMIFS; ","")&amp;IF(ISNUMBER('SC Change Orders'!$E481),IF(ISNUMBER('SC Change Orders'!$F481),IF(ISNUMBER('SC Change Orders'!$G481),  IF('SC Change Orders'!$G481&gt;0,IF(ROUND('SC Change Orders'!$E481+'SC Change Orders'!$F481,2)&lt;&gt;ROUND('SC Change Orders'!$G481,2),  "Original + Added &lt;&gt; Total Line Cost Allotted; ",""),""),""),""),"")&amp;IF(AND(ISNUMBER('SC Change Orders'!$B481),COUNTIFS('SC Change Orders'!$B$2:$B$501,'SC Change Orders'!$B481,'SC Change Orders'!$C$2:$C$501,'SC Change Orders'!$C481,'SC Change Orders'!$D$2:$D$501,'SC Change Orders'!$D481,'SC Change Orders'!$F$2:$F$501,'SC Change Orders'!$F481,'SC Change Orders'!$E$2:$E$501,'SC Change Orders'!$E481)&gt;1),"Duplicate of another row — funds counted twice; ","")&amp;IF(ISNUMBER('SC Change Orders'!$F481),IF('SC Change Orders'!$F481&lt;&gt;0,IF(AND(ISNUMBER('SC Change Orders'!$B481),NOT(COUNTIFS('SC Change Orders'!$B$2:$B$501,'SC Change Orders'!$B481,'SC Change Orders'!$C$2:$C$501,'SC Change Orders'!$C481,'SC Change Orders'!$D$2:$D$501,'SC Change Orders'!$D481,'SC Change Orders'!$F$2:$F$501,'SC Change Orders'!$F481,'SC Change Orders'!$E$2:$E$501,'SC Change Orders'!$E481)&gt;1),COUNTIFS('SC Change Orders'!$B$2:$B$501,'SC Change Orders'!$B481,'SC Change Orders'!$F$2:$F$501,'SC Change Orders'!$F481)&gt;1),  "Same PO and Amount Added as another row — check for a restatement counted twice; ",""),""),""))</f>
        <v/>
      </c>
    </row>
    <row r="500" customFormat="false" ht="15" hidden="false" customHeight="false" outlineLevel="0" collapsed="false">
      <c r="A500" s="18" t="str">
        <f aca="false">IF(AND('SC Change Orders'!$A482="",'SC Change Orders'!$B482="",'SC Change Orders'!$C482=""),"",482)</f>
        <v/>
      </c>
      <c r="B500" s="31" t="str">
        <f aca="false">IF($A500="","",'SC Change Orders'!$A482)</f>
        <v/>
      </c>
      <c r="C500" s="18" t="str">
        <f aca="false">IF($A500="","",'SC Change Orders'!$B482)</f>
        <v/>
      </c>
      <c r="D500" s="32" t="str">
        <f aca="false">IF($A500="","",'SC Change Orders'!$C482)</f>
        <v/>
      </c>
      <c r="E500" s="31" t="str">
        <f aca="false">IF($A500="","",'SC Change Orders'!$D482)</f>
        <v/>
      </c>
      <c r="F500" s="33" t="str">
        <f aca="false">IF($A500="","",'SC Change Orders'!$E482)</f>
        <v/>
      </c>
      <c r="G500" s="33" t="str">
        <f aca="false">IF($A500="","",'SC Change Orders'!$F482)</f>
        <v/>
      </c>
      <c r="H500" s="33" t="str">
        <f aca="false">IF($A500="","",'SC Change Orders'!$G482)</f>
        <v/>
      </c>
      <c r="I500" s="34" t="str">
        <f aca="false">IF($A500="","",IF(AND(ISNUMBER('SC Change Orders'!$C482),'SC Change Orders'!$C482&gt;=Controls!$C$5,'SC Change Orders'!$C482&lt;=Controls!$C$6),"Yes","No"))</f>
        <v/>
      </c>
      <c r="J500" s="31" t="str">
        <f aca="false">IF($A500="","",IF($K500="","OK",$K500))</f>
        <v/>
      </c>
      <c r="K500" s="0" t="str">
        <f aca="false">IF($A500="","",IF(NOT(ISNUMBER('SC Change Orders'!$B482)),"PO not numeric — row is invisible to the tracker; ","")&amp;IF(NOT(ISNUMBER('SC Change Orders'!$C482)),"Date missing or text — row excluded; ",  IF(OR('SC Change Orders'!$C482&lt;Controls!$C$5,'SC Change Orders'!$C482&gt;Controls!$C$6),"Dated outside the FY window — excluded; ",""))&amp;IF(AND('SC Change Orders'!$E482&lt;&gt;"",NOT(ISNUMBER('SC Change Orders'!$E482))),"Original Amount held as text — ignored by MINIFS; ","")&amp;IF(AND('SC Change Orders'!$F482&lt;&gt;"",NOT(ISNUMBER('SC Change Orders'!$F482))),"Amount Added held as text — ignored by SUMIFS; ","")&amp;IF(ISNUMBER('SC Change Orders'!$E482),IF(ISNUMBER('SC Change Orders'!$F482),IF(ISNUMBER('SC Change Orders'!$G482),  IF('SC Change Orders'!$G482&gt;0,IF(ROUND('SC Change Orders'!$E482+'SC Change Orders'!$F482,2)&lt;&gt;ROUND('SC Change Orders'!$G482,2),  "Original + Added &lt;&gt; Total Line Cost Allotted; ",""),""),""),""),"")&amp;IF(AND(ISNUMBER('SC Change Orders'!$B482),COUNTIFS('SC Change Orders'!$B$2:$B$501,'SC Change Orders'!$B482,'SC Change Orders'!$C$2:$C$501,'SC Change Orders'!$C482,'SC Change Orders'!$D$2:$D$501,'SC Change Orders'!$D482,'SC Change Orders'!$F$2:$F$501,'SC Change Orders'!$F482,'SC Change Orders'!$E$2:$E$501,'SC Change Orders'!$E482)&gt;1),"Duplicate of another row — funds counted twice; ","")&amp;IF(ISNUMBER('SC Change Orders'!$F482),IF('SC Change Orders'!$F482&lt;&gt;0,IF(AND(ISNUMBER('SC Change Orders'!$B482),NOT(COUNTIFS('SC Change Orders'!$B$2:$B$501,'SC Change Orders'!$B482,'SC Change Orders'!$C$2:$C$501,'SC Change Orders'!$C482,'SC Change Orders'!$D$2:$D$501,'SC Change Orders'!$D482,'SC Change Orders'!$F$2:$F$501,'SC Change Orders'!$F482,'SC Change Orders'!$E$2:$E$501,'SC Change Orders'!$E482)&gt;1),COUNTIFS('SC Change Orders'!$B$2:$B$501,'SC Change Orders'!$B482,'SC Change Orders'!$F$2:$F$501,'SC Change Orders'!$F482)&gt;1),  "Same PO and Amount Added as another row — check for a restatement counted twice; ",""),""),""))</f>
        <v/>
      </c>
    </row>
    <row r="501" customFormat="false" ht="15" hidden="false" customHeight="false" outlineLevel="0" collapsed="false">
      <c r="A501" s="18" t="str">
        <f aca="false">IF(AND('SC Change Orders'!$A483="",'SC Change Orders'!$B483="",'SC Change Orders'!$C483=""),"",483)</f>
        <v/>
      </c>
      <c r="B501" s="31" t="str">
        <f aca="false">IF($A501="","",'SC Change Orders'!$A483)</f>
        <v/>
      </c>
      <c r="C501" s="18" t="str">
        <f aca="false">IF($A501="","",'SC Change Orders'!$B483)</f>
        <v/>
      </c>
      <c r="D501" s="32" t="str">
        <f aca="false">IF($A501="","",'SC Change Orders'!$C483)</f>
        <v/>
      </c>
      <c r="E501" s="31" t="str">
        <f aca="false">IF($A501="","",'SC Change Orders'!$D483)</f>
        <v/>
      </c>
      <c r="F501" s="33" t="str">
        <f aca="false">IF($A501="","",'SC Change Orders'!$E483)</f>
        <v/>
      </c>
      <c r="G501" s="33" t="str">
        <f aca="false">IF($A501="","",'SC Change Orders'!$F483)</f>
        <v/>
      </c>
      <c r="H501" s="33" t="str">
        <f aca="false">IF($A501="","",'SC Change Orders'!$G483)</f>
        <v/>
      </c>
      <c r="I501" s="34" t="str">
        <f aca="false">IF($A501="","",IF(AND(ISNUMBER('SC Change Orders'!$C483),'SC Change Orders'!$C483&gt;=Controls!$C$5,'SC Change Orders'!$C483&lt;=Controls!$C$6),"Yes","No"))</f>
        <v/>
      </c>
      <c r="J501" s="31" t="str">
        <f aca="false">IF($A501="","",IF($K501="","OK",$K501))</f>
        <v/>
      </c>
      <c r="K501" s="0" t="str">
        <f aca="false">IF($A501="","",IF(NOT(ISNUMBER('SC Change Orders'!$B483)),"PO not numeric — row is invisible to the tracker; ","")&amp;IF(NOT(ISNUMBER('SC Change Orders'!$C483)),"Date missing or text — row excluded; ",  IF(OR('SC Change Orders'!$C483&lt;Controls!$C$5,'SC Change Orders'!$C483&gt;Controls!$C$6),"Dated outside the FY window — excluded; ",""))&amp;IF(AND('SC Change Orders'!$E483&lt;&gt;"",NOT(ISNUMBER('SC Change Orders'!$E483))),"Original Amount held as text — ignored by MINIFS; ","")&amp;IF(AND('SC Change Orders'!$F483&lt;&gt;"",NOT(ISNUMBER('SC Change Orders'!$F483))),"Amount Added held as text — ignored by SUMIFS; ","")&amp;IF(ISNUMBER('SC Change Orders'!$E483),IF(ISNUMBER('SC Change Orders'!$F483),IF(ISNUMBER('SC Change Orders'!$G483),  IF('SC Change Orders'!$G483&gt;0,IF(ROUND('SC Change Orders'!$E483+'SC Change Orders'!$F483,2)&lt;&gt;ROUND('SC Change Orders'!$G483,2),  "Original + Added &lt;&gt; Total Line Cost Allotted; ",""),""),""),""),"")&amp;IF(AND(ISNUMBER('SC Change Orders'!$B483),COUNTIFS('SC Change Orders'!$B$2:$B$501,'SC Change Orders'!$B483,'SC Change Orders'!$C$2:$C$501,'SC Change Orders'!$C483,'SC Change Orders'!$D$2:$D$501,'SC Change Orders'!$D483,'SC Change Orders'!$F$2:$F$501,'SC Change Orders'!$F483,'SC Change Orders'!$E$2:$E$501,'SC Change Orders'!$E483)&gt;1),"Duplicate of another row — funds counted twice; ","")&amp;IF(ISNUMBER('SC Change Orders'!$F483),IF('SC Change Orders'!$F483&lt;&gt;0,IF(AND(ISNUMBER('SC Change Orders'!$B483),NOT(COUNTIFS('SC Change Orders'!$B$2:$B$501,'SC Change Orders'!$B483,'SC Change Orders'!$C$2:$C$501,'SC Change Orders'!$C483,'SC Change Orders'!$D$2:$D$501,'SC Change Orders'!$D483,'SC Change Orders'!$F$2:$F$501,'SC Change Orders'!$F483,'SC Change Orders'!$E$2:$E$501,'SC Change Orders'!$E483)&gt;1),COUNTIFS('SC Change Orders'!$B$2:$B$501,'SC Change Orders'!$B483,'SC Change Orders'!$F$2:$F$501,'SC Change Orders'!$F483)&gt;1),  "Same PO and Amount Added as another row — check for a restatement counted twice; ",""),""),""))</f>
        <v/>
      </c>
    </row>
    <row r="502" customFormat="false" ht="15" hidden="false" customHeight="false" outlineLevel="0" collapsed="false">
      <c r="A502" s="18" t="str">
        <f aca="false">IF(AND('SC Change Orders'!$A484="",'SC Change Orders'!$B484="",'SC Change Orders'!$C484=""),"",484)</f>
        <v/>
      </c>
      <c r="B502" s="31" t="str">
        <f aca="false">IF($A502="","",'SC Change Orders'!$A484)</f>
        <v/>
      </c>
      <c r="C502" s="18" t="str">
        <f aca="false">IF($A502="","",'SC Change Orders'!$B484)</f>
        <v/>
      </c>
      <c r="D502" s="32" t="str">
        <f aca="false">IF($A502="","",'SC Change Orders'!$C484)</f>
        <v/>
      </c>
      <c r="E502" s="31" t="str">
        <f aca="false">IF($A502="","",'SC Change Orders'!$D484)</f>
        <v/>
      </c>
      <c r="F502" s="33" t="str">
        <f aca="false">IF($A502="","",'SC Change Orders'!$E484)</f>
        <v/>
      </c>
      <c r="G502" s="33" t="str">
        <f aca="false">IF($A502="","",'SC Change Orders'!$F484)</f>
        <v/>
      </c>
      <c r="H502" s="33" t="str">
        <f aca="false">IF($A502="","",'SC Change Orders'!$G484)</f>
        <v/>
      </c>
      <c r="I502" s="34" t="str">
        <f aca="false">IF($A502="","",IF(AND(ISNUMBER('SC Change Orders'!$C484),'SC Change Orders'!$C484&gt;=Controls!$C$5,'SC Change Orders'!$C484&lt;=Controls!$C$6),"Yes","No"))</f>
        <v/>
      </c>
      <c r="J502" s="31" t="str">
        <f aca="false">IF($A502="","",IF($K502="","OK",$K502))</f>
        <v/>
      </c>
      <c r="K502" s="0" t="str">
        <f aca="false">IF($A502="","",IF(NOT(ISNUMBER('SC Change Orders'!$B484)),"PO not numeric — row is invisible to the tracker; ","")&amp;IF(NOT(ISNUMBER('SC Change Orders'!$C484)),"Date missing or text — row excluded; ",  IF(OR('SC Change Orders'!$C484&lt;Controls!$C$5,'SC Change Orders'!$C484&gt;Controls!$C$6),"Dated outside the FY window — excluded; ",""))&amp;IF(AND('SC Change Orders'!$E484&lt;&gt;"",NOT(ISNUMBER('SC Change Orders'!$E484))),"Original Amount held as text — ignored by MINIFS; ","")&amp;IF(AND('SC Change Orders'!$F484&lt;&gt;"",NOT(ISNUMBER('SC Change Orders'!$F484))),"Amount Added held as text — ignored by SUMIFS; ","")&amp;IF(ISNUMBER('SC Change Orders'!$E484),IF(ISNUMBER('SC Change Orders'!$F484),IF(ISNUMBER('SC Change Orders'!$G484),  IF('SC Change Orders'!$G484&gt;0,IF(ROUND('SC Change Orders'!$E484+'SC Change Orders'!$F484,2)&lt;&gt;ROUND('SC Change Orders'!$G484,2),  "Original + Added &lt;&gt; Total Line Cost Allotted; ",""),""),""),""),"")&amp;IF(AND(ISNUMBER('SC Change Orders'!$B484),COUNTIFS('SC Change Orders'!$B$2:$B$501,'SC Change Orders'!$B484,'SC Change Orders'!$C$2:$C$501,'SC Change Orders'!$C484,'SC Change Orders'!$D$2:$D$501,'SC Change Orders'!$D484,'SC Change Orders'!$F$2:$F$501,'SC Change Orders'!$F484,'SC Change Orders'!$E$2:$E$501,'SC Change Orders'!$E484)&gt;1),"Duplicate of another row — funds counted twice; ","")&amp;IF(ISNUMBER('SC Change Orders'!$F484),IF('SC Change Orders'!$F484&lt;&gt;0,IF(AND(ISNUMBER('SC Change Orders'!$B484),NOT(COUNTIFS('SC Change Orders'!$B$2:$B$501,'SC Change Orders'!$B484,'SC Change Orders'!$C$2:$C$501,'SC Change Orders'!$C484,'SC Change Orders'!$D$2:$D$501,'SC Change Orders'!$D484,'SC Change Orders'!$F$2:$F$501,'SC Change Orders'!$F484,'SC Change Orders'!$E$2:$E$501,'SC Change Orders'!$E484)&gt;1),COUNTIFS('SC Change Orders'!$B$2:$B$501,'SC Change Orders'!$B484,'SC Change Orders'!$F$2:$F$501,'SC Change Orders'!$F484)&gt;1),  "Same PO and Amount Added as another row — check for a restatement counted twice; ",""),""),""))</f>
        <v/>
      </c>
    </row>
    <row r="503" customFormat="false" ht="15" hidden="false" customHeight="false" outlineLevel="0" collapsed="false">
      <c r="A503" s="18" t="str">
        <f aca="false">IF(AND('SC Change Orders'!$A485="",'SC Change Orders'!$B485="",'SC Change Orders'!$C485=""),"",485)</f>
        <v/>
      </c>
      <c r="B503" s="31" t="str">
        <f aca="false">IF($A503="","",'SC Change Orders'!$A485)</f>
        <v/>
      </c>
      <c r="C503" s="18" t="str">
        <f aca="false">IF($A503="","",'SC Change Orders'!$B485)</f>
        <v/>
      </c>
      <c r="D503" s="32" t="str">
        <f aca="false">IF($A503="","",'SC Change Orders'!$C485)</f>
        <v/>
      </c>
      <c r="E503" s="31" t="str">
        <f aca="false">IF($A503="","",'SC Change Orders'!$D485)</f>
        <v/>
      </c>
      <c r="F503" s="33" t="str">
        <f aca="false">IF($A503="","",'SC Change Orders'!$E485)</f>
        <v/>
      </c>
      <c r="G503" s="33" t="str">
        <f aca="false">IF($A503="","",'SC Change Orders'!$F485)</f>
        <v/>
      </c>
      <c r="H503" s="33" t="str">
        <f aca="false">IF($A503="","",'SC Change Orders'!$G485)</f>
        <v/>
      </c>
      <c r="I503" s="34" t="str">
        <f aca="false">IF($A503="","",IF(AND(ISNUMBER('SC Change Orders'!$C485),'SC Change Orders'!$C485&gt;=Controls!$C$5,'SC Change Orders'!$C485&lt;=Controls!$C$6),"Yes","No"))</f>
        <v/>
      </c>
      <c r="J503" s="31" t="str">
        <f aca="false">IF($A503="","",IF($K503="","OK",$K503))</f>
        <v/>
      </c>
      <c r="K503" s="0" t="str">
        <f aca="false">IF($A503="","",IF(NOT(ISNUMBER('SC Change Orders'!$B485)),"PO not numeric — row is invisible to the tracker; ","")&amp;IF(NOT(ISNUMBER('SC Change Orders'!$C485)),"Date missing or text — row excluded; ",  IF(OR('SC Change Orders'!$C485&lt;Controls!$C$5,'SC Change Orders'!$C485&gt;Controls!$C$6),"Dated outside the FY window — excluded; ",""))&amp;IF(AND('SC Change Orders'!$E485&lt;&gt;"",NOT(ISNUMBER('SC Change Orders'!$E485))),"Original Amount held as text — ignored by MINIFS; ","")&amp;IF(AND('SC Change Orders'!$F485&lt;&gt;"",NOT(ISNUMBER('SC Change Orders'!$F485))),"Amount Added held as text — ignored by SUMIFS; ","")&amp;IF(ISNUMBER('SC Change Orders'!$E485),IF(ISNUMBER('SC Change Orders'!$F485),IF(ISNUMBER('SC Change Orders'!$G485),  IF('SC Change Orders'!$G485&gt;0,IF(ROUND('SC Change Orders'!$E485+'SC Change Orders'!$F485,2)&lt;&gt;ROUND('SC Change Orders'!$G485,2),  "Original + Added &lt;&gt; Total Line Cost Allotted; ",""),""),""),""),"")&amp;IF(AND(ISNUMBER('SC Change Orders'!$B485),COUNTIFS('SC Change Orders'!$B$2:$B$501,'SC Change Orders'!$B485,'SC Change Orders'!$C$2:$C$501,'SC Change Orders'!$C485,'SC Change Orders'!$D$2:$D$501,'SC Change Orders'!$D485,'SC Change Orders'!$F$2:$F$501,'SC Change Orders'!$F485,'SC Change Orders'!$E$2:$E$501,'SC Change Orders'!$E485)&gt;1),"Duplicate of another row — funds counted twice; ","")&amp;IF(ISNUMBER('SC Change Orders'!$F485),IF('SC Change Orders'!$F485&lt;&gt;0,IF(AND(ISNUMBER('SC Change Orders'!$B485),NOT(COUNTIFS('SC Change Orders'!$B$2:$B$501,'SC Change Orders'!$B485,'SC Change Orders'!$C$2:$C$501,'SC Change Orders'!$C485,'SC Change Orders'!$D$2:$D$501,'SC Change Orders'!$D485,'SC Change Orders'!$F$2:$F$501,'SC Change Orders'!$F485,'SC Change Orders'!$E$2:$E$501,'SC Change Orders'!$E485)&gt;1),COUNTIFS('SC Change Orders'!$B$2:$B$501,'SC Change Orders'!$B485,'SC Change Orders'!$F$2:$F$501,'SC Change Orders'!$F485)&gt;1),  "Same PO and Amount Added as another row — check for a restatement counted twice; ",""),""),""))</f>
        <v/>
      </c>
    </row>
    <row r="504" customFormat="false" ht="15" hidden="false" customHeight="false" outlineLevel="0" collapsed="false">
      <c r="A504" s="18" t="str">
        <f aca="false">IF(AND('SC Change Orders'!$A486="",'SC Change Orders'!$B486="",'SC Change Orders'!$C486=""),"",486)</f>
        <v/>
      </c>
      <c r="B504" s="31" t="str">
        <f aca="false">IF($A504="","",'SC Change Orders'!$A486)</f>
        <v/>
      </c>
      <c r="C504" s="18" t="str">
        <f aca="false">IF($A504="","",'SC Change Orders'!$B486)</f>
        <v/>
      </c>
      <c r="D504" s="32" t="str">
        <f aca="false">IF($A504="","",'SC Change Orders'!$C486)</f>
        <v/>
      </c>
      <c r="E504" s="31" t="str">
        <f aca="false">IF($A504="","",'SC Change Orders'!$D486)</f>
        <v/>
      </c>
      <c r="F504" s="33" t="str">
        <f aca="false">IF($A504="","",'SC Change Orders'!$E486)</f>
        <v/>
      </c>
      <c r="G504" s="33" t="str">
        <f aca="false">IF($A504="","",'SC Change Orders'!$F486)</f>
        <v/>
      </c>
      <c r="H504" s="33" t="str">
        <f aca="false">IF($A504="","",'SC Change Orders'!$G486)</f>
        <v/>
      </c>
      <c r="I504" s="34" t="str">
        <f aca="false">IF($A504="","",IF(AND(ISNUMBER('SC Change Orders'!$C486),'SC Change Orders'!$C486&gt;=Controls!$C$5,'SC Change Orders'!$C486&lt;=Controls!$C$6),"Yes","No"))</f>
        <v/>
      </c>
      <c r="J504" s="31" t="str">
        <f aca="false">IF($A504="","",IF($K504="","OK",$K504))</f>
        <v/>
      </c>
      <c r="K504" s="0" t="str">
        <f aca="false">IF($A504="","",IF(NOT(ISNUMBER('SC Change Orders'!$B486)),"PO not numeric — row is invisible to the tracker; ","")&amp;IF(NOT(ISNUMBER('SC Change Orders'!$C486)),"Date missing or text — row excluded; ",  IF(OR('SC Change Orders'!$C486&lt;Controls!$C$5,'SC Change Orders'!$C486&gt;Controls!$C$6),"Dated outside the FY window — excluded; ",""))&amp;IF(AND('SC Change Orders'!$E486&lt;&gt;"",NOT(ISNUMBER('SC Change Orders'!$E486))),"Original Amount held as text — ignored by MINIFS; ","")&amp;IF(AND('SC Change Orders'!$F486&lt;&gt;"",NOT(ISNUMBER('SC Change Orders'!$F486))),"Amount Added held as text — ignored by SUMIFS; ","")&amp;IF(ISNUMBER('SC Change Orders'!$E486),IF(ISNUMBER('SC Change Orders'!$F486),IF(ISNUMBER('SC Change Orders'!$G486),  IF('SC Change Orders'!$G486&gt;0,IF(ROUND('SC Change Orders'!$E486+'SC Change Orders'!$F486,2)&lt;&gt;ROUND('SC Change Orders'!$G486,2),  "Original + Added &lt;&gt; Total Line Cost Allotted; ",""),""),""),""),"")&amp;IF(AND(ISNUMBER('SC Change Orders'!$B486),COUNTIFS('SC Change Orders'!$B$2:$B$501,'SC Change Orders'!$B486,'SC Change Orders'!$C$2:$C$501,'SC Change Orders'!$C486,'SC Change Orders'!$D$2:$D$501,'SC Change Orders'!$D486,'SC Change Orders'!$F$2:$F$501,'SC Change Orders'!$F486,'SC Change Orders'!$E$2:$E$501,'SC Change Orders'!$E486)&gt;1),"Duplicate of another row — funds counted twice; ","")&amp;IF(ISNUMBER('SC Change Orders'!$F486),IF('SC Change Orders'!$F486&lt;&gt;0,IF(AND(ISNUMBER('SC Change Orders'!$B486),NOT(COUNTIFS('SC Change Orders'!$B$2:$B$501,'SC Change Orders'!$B486,'SC Change Orders'!$C$2:$C$501,'SC Change Orders'!$C486,'SC Change Orders'!$D$2:$D$501,'SC Change Orders'!$D486,'SC Change Orders'!$F$2:$F$501,'SC Change Orders'!$F486,'SC Change Orders'!$E$2:$E$501,'SC Change Orders'!$E486)&gt;1),COUNTIFS('SC Change Orders'!$B$2:$B$501,'SC Change Orders'!$B486,'SC Change Orders'!$F$2:$F$501,'SC Change Orders'!$F486)&gt;1),  "Same PO and Amount Added as another row — check for a restatement counted twice; ",""),""),""))</f>
        <v/>
      </c>
    </row>
    <row r="505" customFormat="false" ht="15" hidden="false" customHeight="false" outlineLevel="0" collapsed="false">
      <c r="A505" s="18" t="str">
        <f aca="false">IF(AND('SC Change Orders'!$A487="",'SC Change Orders'!$B487="",'SC Change Orders'!$C487=""),"",487)</f>
        <v/>
      </c>
      <c r="B505" s="31" t="str">
        <f aca="false">IF($A505="","",'SC Change Orders'!$A487)</f>
        <v/>
      </c>
      <c r="C505" s="18" t="str">
        <f aca="false">IF($A505="","",'SC Change Orders'!$B487)</f>
        <v/>
      </c>
      <c r="D505" s="32" t="str">
        <f aca="false">IF($A505="","",'SC Change Orders'!$C487)</f>
        <v/>
      </c>
      <c r="E505" s="31" t="str">
        <f aca="false">IF($A505="","",'SC Change Orders'!$D487)</f>
        <v/>
      </c>
      <c r="F505" s="33" t="str">
        <f aca="false">IF($A505="","",'SC Change Orders'!$E487)</f>
        <v/>
      </c>
      <c r="G505" s="33" t="str">
        <f aca="false">IF($A505="","",'SC Change Orders'!$F487)</f>
        <v/>
      </c>
      <c r="H505" s="33" t="str">
        <f aca="false">IF($A505="","",'SC Change Orders'!$G487)</f>
        <v/>
      </c>
      <c r="I505" s="34" t="str">
        <f aca="false">IF($A505="","",IF(AND(ISNUMBER('SC Change Orders'!$C487),'SC Change Orders'!$C487&gt;=Controls!$C$5,'SC Change Orders'!$C487&lt;=Controls!$C$6),"Yes","No"))</f>
        <v/>
      </c>
      <c r="J505" s="31" t="str">
        <f aca="false">IF($A505="","",IF($K505="","OK",$K505))</f>
        <v/>
      </c>
      <c r="K505" s="0" t="str">
        <f aca="false">IF($A505="","",IF(NOT(ISNUMBER('SC Change Orders'!$B487)),"PO not numeric — row is invisible to the tracker; ","")&amp;IF(NOT(ISNUMBER('SC Change Orders'!$C487)),"Date missing or text — row excluded; ",  IF(OR('SC Change Orders'!$C487&lt;Controls!$C$5,'SC Change Orders'!$C487&gt;Controls!$C$6),"Dated outside the FY window — excluded; ",""))&amp;IF(AND('SC Change Orders'!$E487&lt;&gt;"",NOT(ISNUMBER('SC Change Orders'!$E487))),"Original Amount held as text — ignored by MINIFS; ","")&amp;IF(AND('SC Change Orders'!$F487&lt;&gt;"",NOT(ISNUMBER('SC Change Orders'!$F487))),"Amount Added held as text — ignored by SUMIFS; ","")&amp;IF(ISNUMBER('SC Change Orders'!$E487),IF(ISNUMBER('SC Change Orders'!$F487),IF(ISNUMBER('SC Change Orders'!$G487),  IF('SC Change Orders'!$G487&gt;0,IF(ROUND('SC Change Orders'!$E487+'SC Change Orders'!$F487,2)&lt;&gt;ROUND('SC Change Orders'!$G487,2),  "Original + Added &lt;&gt; Total Line Cost Allotted; ",""),""),""),""),"")&amp;IF(AND(ISNUMBER('SC Change Orders'!$B487),COUNTIFS('SC Change Orders'!$B$2:$B$501,'SC Change Orders'!$B487,'SC Change Orders'!$C$2:$C$501,'SC Change Orders'!$C487,'SC Change Orders'!$D$2:$D$501,'SC Change Orders'!$D487,'SC Change Orders'!$F$2:$F$501,'SC Change Orders'!$F487,'SC Change Orders'!$E$2:$E$501,'SC Change Orders'!$E487)&gt;1),"Duplicate of another row — funds counted twice; ","")&amp;IF(ISNUMBER('SC Change Orders'!$F487),IF('SC Change Orders'!$F487&lt;&gt;0,IF(AND(ISNUMBER('SC Change Orders'!$B487),NOT(COUNTIFS('SC Change Orders'!$B$2:$B$501,'SC Change Orders'!$B487,'SC Change Orders'!$C$2:$C$501,'SC Change Orders'!$C487,'SC Change Orders'!$D$2:$D$501,'SC Change Orders'!$D487,'SC Change Orders'!$F$2:$F$501,'SC Change Orders'!$F487,'SC Change Orders'!$E$2:$E$501,'SC Change Orders'!$E487)&gt;1),COUNTIFS('SC Change Orders'!$B$2:$B$501,'SC Change Orders'!$B487,'SC Change Orders'!$F$2:$F$501,'SC Change Orders'!$F487)&gt;1),  "Same PO and Amount Added as another row — check for a restatement counted twice; ",""),""),""))</f>
        <v/>
      </c>
    </row>
    <row r="506" customFormat="false" ht="15" hidden="false" customHeight="false" outlineLevel="0" collapsed="false">
      <c r="A506" s="18" t="str">
        <f aca="false">IF(AND('SC Change Orders'!$A488="",'SC Change Orders'!$B488="",'SC Change Orders'!$C488=""),"",488)</f>
        <v/>
      </c>
      <c r="B506" s="31" t="str">
        <f aca="false">IF($A506="","",'SC Change Orders'!$A488)</f>
        <v/>
      </c>
      <c r="C506" s="18" t="str">
        <f aca="false">IF($A506="","",'SC Change Orders'!$B488)</f>
        <v/>
      </c>
      <c r="D506" s="32" t="str">
        <f aca="false">IF($A506="","",'SC Change Orders'!$C488)</f>
        <v/>
      </c>
      <c r="E506" s="31" t="str">
        <f aca="false">IF($A506="","",'SC Change Orders'!$D488)</f>
        <v/>
      </c>
      <c r="F506" s="33" t="str">
        <f aca="false">IF($A506="","",'SC Change Orders'!$E488)</f>
        <v/>
      </c>
      <c r="G506" s="33" t="str">
        <f aca="false">IF($A506="","",'SC Change Orders'!$F488)</f>
        <v/>
      </c>
      <c r="H506" s="33" t="str">
        <f aca="false">IF($A506="","",'SC Change Orders'!$G488)</f>
        <v/>
      </c>
      <c r="I506" s="34" t="str">
        <f aca="false">IF($A506="","",IF(AND(ISNUMBER('SC Change Orders'!$C488),'SC Change Orders'!$C488&gt;=Controls!$C$5,'SC Change Orders'!$C488&lt;=Controls!$C$6),"Yes","No"))</f>
        <v/>
      </c>
      <c r="J506" s="31" t="str">
        <f aca="false">IF($A506="","",IF($K506="","OK",$K506))</f>
        <v/>
      </c>
      <c r="K506" s="0" t="str">
        <f aca="false">IF($A506="","",IF(NOT(ISNUMBER('SC Change Orders'!$B488)),"PO not numeric — row is invisible to the tracker; ","")&amp;IF(NOT(ISNUMBER('SC Change Orders'!$C488)),"Date missing or text — row excluded; ",  IF(OR('SC Change Orders'!$C488&lt;Controls!$C$5,'SC Change Orders'!$C488&gt;Controls!$C$6),"Dated outside the FY window — excluded; ",""))&amp;IF(AND('SC Change Orders'!$E488&lt;&gt;"",NOT(ISNUMBER('SC Change Orders'!$E488))),"Original Amount held as text — ignored by MINIFS; ","")&amp;IF(AND('SC Change Orders'!$F488&lt;&gt;"",NOT(ISNUMBER('SC Change Orders'!$F488))),"Amount Added held as text — ignored by SUMIFS; ","")&amp;IF(ISNUMBER('SC Change Orders'!$E488),IF(ISNUMBER('SC Change Orders'!$F488),IF(ISNUMBER('SC Change Orders'!$G488),  IF('SC Change Orders'!$G488&gt;0,IF(ROUND('SC Change Orders'!$E488+'SC Change Orders'!$F488,2)&lt;&gt;ROUND('SC Change Orders'!$G488,2),  "Original + Added &lt;&gt; Total Line Cost Allotted; ",""),""),""),""),"")&amp;IF(AND(ISNUMBER('SC Change Orders'!$B488),COUNTIFS('SC Change Orders'!$B$2:$B$501,'SC Change Orders'!$B488,'SC Change Orders'!$C$2:$C$501,'SC Change Orders'!$C488,'SC Change Orders'!$D$2:$D$501,'SC Change Orders'!$D488,'SC Change Orders'!$F$2:$F$501,'SC Change Orders'!$F488,'SC Change Orders'!$E$2:$E$501,'SC Change Orders'!$E488)&gt;1),"Duplicate of another row — funds counted twice; ","")&amp;IF(ISNUMBER('SC Change Orders'!$F488),IF('SC Change Orders'!$F488&lt;&gt;0,IF(AND(ISNUMBER('SC Change Orders'!$B488),NOT(COUNTIFS('SC Change Orders'!$B$2:$B$501,'SC Change Orders'!$B488,'SC Change Orders'!$C$2:$C$501,'SC Change Orders'!$C488,'SC Change Orders'!$D$2:$D$501,'SC Change Orders'!$D488,'SC Change Orders'!$F$2:$F$501,'SC Change Orders'!$F488,'SC Change Orders'!$E$2:$E$501,'SC Change Orders'!$E488)&gt;1),COUNTIFS('SC Change Orders'!$B$2:$B$501,'SC Change Orders'!$B488,'SC Change Orders'!$F$2:$F$501,'SC Change Orders'!$F488)&gt;1),  "Same PO and Amount Added as another row — check for a restatement counted twice; ",""),""),""))</f>
        <v/>
      </c>
    </row>
    <row r="507" customFormat="false" ht="15" hidden="false" customHeight="false" outlineLevel="0" collapsed="false">
      <c r="A507" s="18" t="str">
        <f aca="false">IF(AND('SC Change Orders'!$A489="",'SC Change Orders'!$B489="",'SC Change Orders'!$C489=""),"",489)</f>
        <v/>
      </c>
      <c r="B507" s="31" t="str">
        <f aca="false">IF($A507="","",'SC Change Orders'!$A489)</f>
        <v/>
      </c>
      <c r="C507" s="18" t="str">
        <f aca="false">IF($A507="","",'SC Change Orders'!$B489)</f>
        <v/>
      </c>
      <c r="D507" s="32" t="str">
        <f aca="false">IF($A507="","",'SC Change Orders'!$C489)</f>
        <v/>
      </c>
      <c r="E507" s="31" t="str">
        <f aca="false">IF($A507="","",'SC Change Orders'!$D489)</f>
        <v/>
      </c>
      <c r="F507" s="33" t="str">
        <f aca="false">IF($A507="","",'SC Change Orders'!$E489)</f>
        <v/>
      </c>
      <c r="G507" s="33" t="str">
        <f aca="false">IF($A507="","",'SC Change Orders'!$F489)</f>
        <v/>
      </c>
      <c r="H507" s="33" t="str">
        <f aca="false">IF($A507="","",'SC Change Orders'!$G489)</f>
        <v/>
      </c>
      <c r="I507" s="34" t="str">
        <f aca="false">IF($A507="","",IF(AND(ISNUMBER('SC Change Orders'!$C489),'SC Change Orders'!$C489&gt;=Controls!$C$5,'SC Change Orders'!$C489&lt;=Controls!$C$6),"Yes","No"))</f>
        <v/>
      </c>
      <c r="J507" s="31" t="str">
        <f aca="false">IF($A507="","",IF($K507="","OK",$K507))</f>
        <v/>
      </c>
      <c r="K507" s="0" t="str">
        <f aca="false">IF($A507="","",IF(NOT(ISNUMBER('SC Change Orders'!$B489)),"PO not numeric — row is invisible to the tracker; ","")&amp;IF(NOT(ISNUMBER('SC Change Orders'!$C489)),"Date missing or text — row excluded; ",  IF(OR('SC Change Orders'!$C489&lt;Controls!$C$5,'SC Change Orders'!$C489&gt;Controls!$C$6),"Dated outside the FY window — excluded; ",""))&amp;IF(AND('SC Change Orders'!$E489&lt;&gt;"",NOT(ISNUMBER('SC Change Orders'!$E489))),"Original Amount held as text — ignored by MINIFS; ","")&amp;IF(AND('SC Change Orders'!$F489&lt;&gt;"",NOT(ISNUMBER('SC Change Orders'!$F489))),"Amount Added held as text — ignored by SUMIFS; ","")&amp;IF(ISNUMBER('SC Change Orders'!$E489),IF(ISNUMBER('SC Change Orders'!$F489),IF(ISNUMBER('SC Change Orders'!$G489),  IF('SC Change Orders'!$G489&gt;0,IF(ROUND('SC Change Orders'!$E489+'SC Change Orders'!$F489,2)&lt;&gt;ROUND('SC Change Orders'!$G489,2),  "Original + Added &lt;&gt; Total Line Cost Allotted; ",""),""),""),""),"")&amp;IF(AND(ISNUMBER('SC Change Orders'!$B489),COUNTIFS('SC Change Orders'!$B$2:$B$501,'SC Change Orders'!$B489,'SC Change Orders'!$C$2:$C$501,'SC Change Orders'!$C489,'SC Change Orders'!$D$2:$D$501,'SC Change Orders'!$D489,'SC Change Orders'!$F$2:$F$501,'SC Change Orders'!$F489,'SC Change Orders'!$E$2:$E$501,'SC Change Orders'!$E489)&gt;1),"Duplicate of another row — funds counted twice; ","")&amp;IF(ISNUMBER('SC Change Orders'!$F489),IF('SC Change Orders'!$F489&lt;&gt;0,IF(AND(ISNUMBER('SC Change Orders'!$B489),NOT(COUNTIFS('SC Change Orders'!$B$2:$B$501,'SC Change Orders'!$B489,'SC Change Orders'!$C$2:$C$501,'SC Change Orders'!$C489,'SC Change Orders'!$D$2:$D$501,'SC Change Orders'!$D489,'SC Change Orders'!$F$2:$F$501,'SC Change Orders'!$F489,'SC Change Orders'!$E$2:$E$501,'SC Change Orders'!$E489)&gt;1),COUNTIFS('SC Change Orders'!$B$2:$B$501,'SC Change Orders'!$B489,'SC Change Orders'!$F$2:$F$501,'SC Change Orders'!$F489)&gt;1),  "Same PO and Amount Added as another row — check for a restatement counted twice; ",""),""),""))</f>
        <v/>
      </c>
    </row>
    <row r="508" customFormat="false" ht="15" hidden="false" customHeight="false" outlineLevel="0" collapsed="false">
      <c r="A508" s="18" t="str">
        <f aca="false">IF(AND('SC Change Orders'!$A490="",'SC Change Orders'!$B490="",'SC Change Orders'!$C490=""),"",490)</f>
        <v/>
      </c>
      <c r="B508" s="31" t="str">
        <f aca="false">IF($A508="","",'SC Change Orders'!$A490)</f>
        <v/>
      </c>
      <c r="C508" s="18" t="str">
        <f aca="false">IF($A508="","",'SC Change Orders'!$B490)</f>
        <v/>
      </c>
      <c r="D508" s="32" t="str">
        <f aca="false">IF($A508="","",'SC Change Orders'!$C490)</f>
        <v/>
      </c>
      <c r="E508" s="31" t="str">
        <f aca="false">IF($A508="","",'SC Change Orders'!$D490)</f>
        <v/>
      </c>
      <c r="F508" s="33" t="str">
        <f aca="false">IF($A508="","",'SC Change Orders'!$E490)</f>
        <v/>
      </c>
      <c r="G508" s="33" t="str">
        <f aca="false">IF($A508="","",'SC Change Orders'!$F490)</f>
        <v/>
      </c>
      <c r="H508" s="33" t="str">
        <f aca="false">IF($A508="","",'SC Change Orders'!$G490)</f>
        <v/>
      </c>
      <c r="I508" s="34" t="str">
        <f aca="false">IF($A508="","",IF(AND(ISNUMBER('SC Change Orders'!$C490),'SC Change Orders'!$C490&gt;=Controls!$C$5,'SC Change Orders'!$C490&lt;=Controls!$C$6),"Yes","No"))</f>
        <v/>
      </c>
      <c r="J508" s="31" t="str">
        <f aca="false">IF($A508="","",IF($K508="","OK",$K508))</f>
        <v/>
      </c>
      <c r="K508" s="0" t="str">
        <f aca="false">IF($A508="","",IF(NOT(ISNUMBER('SC Change Orders'!$B490)),"PO not numeric — row is invisible to the tracker; ","")&amp;IF(NOT(ISNUMBER('SC Change Orders'!$C490)),"Date missing or text — row excluded; ",  IF(OR('SC Change Orders'!$C490&lt;Controls!$C$5,'SC Change Orders'!$C490&gt;Controls!$C$6),"Dated outside the FY window — excluded; ",""))&amp;IF(AND('SC Change Orders'!$E490&lt;&gt;"",NOT(ISNUMBER('SC Change Orders'!$E490))),"Original Amount held as text — ignored by MINIFS; ","")&amp;IF(AND('SC Change Orders'!$F490&lt;&gt;"",NOT(ISNUMBER('SC Change Orders'!$F490))),"Amount Added held as text — ignored by SUMIFS; ","")&amp;IF(ISNUMBER('SC Change Orders'!$E490),IF(ISNUMBER('SC Change Orders'!$F490),IF(ISNUMBER('SC Change Orders'!$G490),  IF('SC Change Orders'!$G490&gt;0,IF(ROUND('SC Change Orders'!$E490+'SC Change Orders'!$F490,2)&lt;&gt;ROUND('SC Change Orders'!$G490,2),  "Original + Added &lt;&gt; Total Line Cost Allotted; ",""),""),""),""),"")&amp;IF(AND(ISNUMBER('SC Change Orders'!$B490),COUNTIFS('SC Change Orders'!$B$2:$B$501,'SC Change Orders'!$B490,'SC Change Orders'!$C$2:$C$501,'SC Change Orders'!$C490,'SC Change Orders'!$D$2:$D$501,'SC Change Orders'!$D490,'SC Change Orders'!$F$2:$F$501,'SC Change Orders'!$F490,'SC Change Orders'!$E$2:$E$501,'SC Change Orders'!$E490)&gt;1),"Duplicate of another row — funds counted twice; ","")&amp;IF(ISNUMBER('SC Change Orders'!$F490),IF('SC Change Orders'!$F490&lt;&gt;0,IF(AND(ISNUMBER('SC Change Orders'!$B490),NOT(COUNTIFS('SC Change Orders'!$B$2:$B$501,'SC Change Orders'!$B490,'SC Change Orders'!$C$2:$C$501,'SC Change Orders'!$C490,'SC Change Orders'!$D$2:$D$501,'SC Change Orders'!$D490,'SC Change Orders'!$F$2:$F$501,'SC Change Orders'!$F490,'SC Change Orders'!$E$2:$E$501,'SC Change Orders'!$E490)&gt;1),COUNTIFS('SC Change Orders'!$B$2:$B$501,'SC Change Orders'!$B490,'SC Change Orders'!$F$2:$F$501,'SC Change Orders'!$F490)&gt;1),  "Same PO and Amount Added as another row — check for a restatement counted twice; ",""),""),""))</f>
        <v/>
      </c>
    </row>
    <row r="509" customFormat="false" ht="15" hidden="false" customHeight="false" outlineLevel="0" collapsed="false">
      <c r="A509" s="18" t="str">
        <f aca="false">IF(AND('SC Change Orders'!$A491="",'SC Change Orders'!$B491="",'SC Change Orders'!$C491=""),"",491)</f>
        <v/>
      </c>
      <c r="B509" s="31" t="str">
        <f aca="false">IF($A509="","",'SC Change Orders'!$A491)</f>
        <v/>
      </c>
      <c r="C509" s="18" t="str">
        <f aca="false">IF($A509="","",'SC Change Orders'!$B491)</f>
        <v/>
      </c>
      <c r="D509" s="32" t="str">
        <f aca="false">IF($A509="","",'SC Change Orders'!$C491)</f>
        <v/>
      </c>
      <c r="E509" s="31" t="str">
        <f aca="false">IF($A509="","",'SC Change Orders'!$D491)</f>
        <v/>
      </c>
      <c r="F509" s="33" t="str">
        <f aca="false">IF($A509="","",'SC Change Orders'!$E491)</f>
        <v/>
      </c>
      <c r="G509" s="33" t="str">
        <f aca="false">IF($A509="","",'SC Change Orders'!$F491)</f>
        <v/>
      </c>
      <c r="H509" s="33" t="str">
        <f aca="false">IF($A509="","",'SC Change Orders'!$G491)</f>
        <v/>
      </c>
      <c r="I509" s="34" t="str">
        <f aca="false">IF($A509="","",IF(AND(ISNUMBER('SC Change Orders'!$C491),'SC Change Orders'!$C491&gt;=Controls!$C$5,'SC Change Orders'!$C491&lt;=Controls!$C$6),"Yes","No"))</f>
        <v/>
      </c>
      <c r="J509" s="31" t="str">
        <f aca="false">IF($A509="","",IF($K509="","OK",$K509))</f>
        <v/>
      </c>
      <c r="K509" s="0" t="str">
        <f aca="false">IF($A509="","",IF(NOT(ISNUMBER('SC Change Orders'!$B491)),"PO not numeric — row is invisible to the tracker; ","")&amp;IF(NOT(ISNUMBER('SC Change Orders'!$C491)),"Date missing or text — row excluded; ",  IF(OR('SC Change Orders'!$C491&lt;Controls!$C$5,'SC Change Orders'!$C491&gt;Controls!$C$6),"Dated outside the FY window — excluded; ",""))&amp;IF(AND('SC Change Orders'!$E491&lt;&gt;"",NOT(ISNUMBER('SC Change Orders'!$E491))),"Original Amount held as text — ignored by MINIFS; ","")&amp;IF(AND('SC Change Orders'!$F491&lt;&gt;"",NOT(ISNUMBER('SC Change Orders'!$F491))),"Amount Added held as text — ignored by SUMIFS; ","")&amp;IF(ISNUMBER('SC Change Orders'!$E491),IF(ISNUMBER('SC Change Orders'!$F491),IF(ISNUMBER('SC Change Orders'!$G491),  IF('SC Change Orders'!$G491&gt;0,IF(ROUND('SC Change Orders'!$E491+'SC Change Orders'!$F491,2)&lt;&gt;ROUND('SC Change Orders'!$G491,2),  "Original + Added &lt;&gt; Total Line Cost Allotted; ",""),""),""),""),"")&amp;IF(AND(ISNUMBER('SC Change Orders'!$B491),COUNTIFS('SC Change Orders'!$B$2:$B$501,'SC Change Orders'!$B491,'SC Change Orders'!$C$2:$C$501,'SC Change Orders'!$C491,'SC Change Orders'!$D$2:$D$501,'SC Change Orders'!$D491,'SC Change Orders'!$F$2:$F$501,'SC Change Orders'!$F491,'SC Change Orders'!$E$2:$E$501,'SC Change Orders'!$E491)&gt;1),"Duplicate of another row — funds counted twice; ","")&amp;IF(ISNUMBER('SC Change Orders'!$F491),IF('SC Change Orders'!$F491&lt;&gt;0,IF(AND(ISNUMBER('SC Change Orders'!$B491),NOT(COUNTIFS('SC Change Orders'!$B$2:$B$501,'SC Change Orders'!$B491,'SC Change Orders'!$C$2:$C$501,'SC Change Orders'!$C491,'SC Change Orders'!$D$2:$D$501,'SC Change Orders'!$D491,'SC Change Orders'!$F$2:$F$501,'SC Change Orders'!$F491,'SC Change Orders'!$E$2:$E$501,'SC Change Orders'!$E491)&gt;1),COUNTIFS('SC Change Orders'!$B$2:$B$501,'SC Change Orders'!$B491,'SC Change Orders'!$F$2:$F$501,'SC Change Orders'!$F491)&gt;1),  "Same PO and Amount Added as another row — check for a restatement counted twice; ",""),""),""))</f>
        <v/>
      </c>
    </row>
    <row r="510" customFormat="false" ht="15" hidden="false" customHeight="false" outlineLevel="0" collapsed="false">
      <c r="A510" s="18" t="str">
        <f aca="false">IF(AND('SC Change Orders'!$A492="",'SC Change Orders'!$B492="",'SC Change Orders'!$C492=""),"",492)</f>
        <v/>
      </c>
      <c r="B510" s="31" t="str">
        <f aca="false">IF($A510="","",'SC Change Orders'!$A492)</f>
        <v/>
      </c>
      <c r="C510" s="18" t="str">
        <f aca="false">IF($A510="","",'SC Change Orders'!$B492)</f>
        <v/>
      </c>
      <c r="D510" s="32" t="str">
        <f aca="false">IF($A510="","",'SC Change Orders'!$C492)</f>
        <v/>
      </c>
      <c r="E510" s="31" t="str">
        <f aca="false">IF($A510="","",'SC Change Orders'!$D492)</f>
        <v/>
      </c>
      <c r="F510" s="33" t="str">
        <f aca="false">IF($A510="","",'SC Change Orders'!$E492)</f>
        <v/>
      </c>
      <c r="G510" s="33" t="str">
        <f aca="false">IF($A510="","",'SC Change Orders'!$F492)</f>
        <v/>
      </c>
      <c r="H510" s="33" t="str">
        <f aca="false">IF($A510="","",'SC Change Orders'!$G492)</f>
        <v/>
      </c>
      <c r="I510" s="34" t="str">
        <f aca="false">IF($A510="","",IF(AND(ISNUMBER('SC Change Orders'!$C492),'SC Change Orders'!$C492&gt;=Controls!$C$5,'SC Change Orders'!$C492&lt;=Controls!$C$6),"Yes","No"))</f>
        <v/>
      </c>
      <c r="J510" s="31" t="str">
        <f aca="false">IF($A510="","",IF($K510="","OK",$K510))</f>
        <v/>
      </c>
      <c r="K510" s="0" t="str">
        <f aca="false">IF($A510="","",IF(NOT(ISNUMBER('SC Change Orders'!$B492)),"PO not numeric — row is invisible to the tracker; ","")&amp;IF(NOT(ISNUMBER('SC Change Orders'!$C492)),"Date missing or text — row excluded; ",  IF(OR('SC Change Orders'!$C492&lt;Controls!$C$5,'SC Change Orders'!$C492&gt;Controls!$C$6),"Dated outside the FY window — excluded; ",""))&amp;IF(AND('SC Change Orders'!$E492&lt;&gt;"",NOT(ISNUMBER('SC Change Orders'!$E492))),"Original Amount held as text — ignored by MINIFS; ","")&amp;IF(AND('SC Change Orders'!$F492&lt;&gt;"",NOT(ISNUMBER('SC Change Orders'!$F492))),"Amount Added held as text — ignored by SUMIFS; ","")&amp;IF(ISNUMBER('SC Change Orders'!$E492),IF(ISNUMBER('SC Change Orders'!$F492),IF(ISNUMBER('SC Change Orders'!$G492),  IF('SC Change Orders'!$G492&gt;0,IF(ROUND('SC Change Orders'!$E492+'SC Change Orders'!$F492,2)&lt;&gt;ROUND('SC Change Orders'!$G492,2),  "Original + Added &lt;&gt; Total Line Cost Allotted; ",""),""),""),""),"")&amp;IF(AND(ISNUMBER('SC Change Orders'!$B492),COUNTIFS('SC Change Orders'!$B$2:$B$501,'SC Change Orders'!$B492,'SC Change Orders'!$C$2:$C$501,'SC Change Orders'!$C492,'SC Change Orders'!$D$2:$D$501,'SC Change Orders'!$D492,'SC Change Orders'!$F$2:$F$501,'SC Change Orders'!$F492,'SC Change Orders'!$E$2:$E$501,'SC Change Orders'!$E492)&gt;1),"Duplicate of another row — funds counted twice; ","")&amp;IF(ISNUMBER('SC Change Orders'!$F492),IF('SC Change Orders'!$F492&lt;&gt;0,IF(AND(ISNUMBER('SC Change Orders'!$B492),NOT(COUNTIFS('SC Change Orders'!$B$2:$B$501,'SC Change Orders'!$B492,'SC Change Orders'!$C$2:$C$501,'SC Change Orders'!$C492,'SC Change Orders'!$D$2:$D$501,'SC Change Orders'!$D492,'SC Change Orders'!$F$2:$F$501,'SC Change Orders'!$F492,'SC Change Orders'!$E$2:$E$501,'SC Change Orders'!$E492)&gt;1),COUNTIFS('SC Change Orders'!$B$2:$B$501,'SC Change Orders'!$B492,'SC Change Orders'!$F$2:$F$501,'SC Change Orders'!$F492)&gt;1),  "Same PO and Amount Added as another row — check for a restatement counted twice; ",""),""),""))</f>
        <v/>
      </c>
    </row>
    <row r="511" customFormat="false" ht="15" hidden="false" customHeight="false" outlineLevel="0" collapsed="false">
      <c r="A511" s="18" t="str">
        <f aca="false">IF(AND('SC Change Orders'!$A493="",'SC Change Orders'!$B493="",'SC Change Orders'!$C493=""),"",493)</f>
        <v/>
      </c>
      <c r="B511" s="31" t="str">
        <f aca="false">IF($A511="","",'SC Change Orders'!$A493)</f>
        <v/>
      </c>
      <c r="C511" s="18" t="str">
        <f aca="false">IF($A511="","",'SC Change Orders'!$B493)</f>
        <v/>
      </c>
      <c r="D511" s="32" t="str">
        <f aca="false">IF($A511="","",'SC Change Orders'!$C493)</f>
        <v/>
      </c>
      <c r="E511" s="31" t="str">
        <f aca="false">IF($A511="","",'SC Change Orders'!$D493)</f>
        <v/>
      </c>
      <c r="F511" s="33" t="str">
        <f aca="false">IF($A511="","",'SC Change Orders'!$E493)</f>
        <v/>
      </c>
      <c r="G511" s="33" t="str">
        <f aca="false">IF($A511="","",'SC Change Orders'!$F493)</f>
        <v/>
      </c>
      <c r="H511" s="33" t="str">
        <f aca="false">IF($A511="","",'SC Change Orders'!$G493)</f>
        <v/>
      </c>
      <c r="I511" s="34" t="str">
        <f aca="false">IF($A511="","",IF(AND(ISNUMBER('SC Change Orders'!$C493),'SC Change Orders'!$C493&gt;=Controls!$C$5,'SC Change Orders'!$C493&lt;=Controls!$C$6),"Yes","No"))</f>
        <v/>
      </c>
      <c r="J511" s="31" t="str">
        <f aca="false">IF($A511="","",IF($K511="","OK",$K511))</f>
        <v/>
      </c>
      <c r="K511" s="0" t="str">
        <f aca="false">IF($A511="","",IF(NOT(ISNUMBER('SC Change Orders'!$B493)),"PO not numeric — row is invisible to the tracker; ","")&amp;IF(NOT(ISNUMBER('SC Change Orders'!$C493)),"Date missing or text — row excluded; ",  IF(OR('SC Change Orders'!$C493&lt;Controls!$C$5,'SC Change Orders'!$C493&gt;Controls!$C$6),"Dated outside the FY window — excluded; ",""))&amp;IF(AND('SC Change Orders'!$E493&lt;&gt;"",NOT(ISNUMBER('SC Change Orders'!$E493))),"Original Amount held as text — ignored by MINIFS; ","")&amp;IF(AND('SC Change Orders'!$F493&lt;&gt;"",NOT(ISNUMBER('SC Change Orders'!$F493))),"Amount Added held as text — ignored by SUMIFS; ","")&amp;IF(ISNUMBER('SC Change Orders'!$E493),IF(ISNUMBER('SC Change Orders'!$F493),IF(ISNUMBER('SC Change Orders'!$G493),  IF('SC Change Orders'!$G493&gt;0,IF(ROUND('SC Change Orders'!$E493+'SC Change Orders'!$F493,2)&lt;&gt;ROUND('SC Change Orders'!$G493,2),  "Original + Added &lt;&gt; Total Line Cost Allotted; ",""),""),""),""),"")&amp;IF(AND(ISNUMBER('SC Change Orders'!$B493),COUNTIFS('SC Change Orders'!$B$2:$B$501,'SC Change Orders'!$B493,'SC Change Orders'!$C$2:$C$501,'SC Change Orders'!$C493,'SC Change Orders'!$D$2:$D$501,'SC Change Orders'!$D493,'SC Change Orders'!$F$2:$F$501,'SC Change Orders'!$F493,'SC Change Orders'!$E$2:$E$501,'SC Change Orders'!$E493)&gt;1),"Duplicate of another row — funds counted twice; ","")&amp;IF(ISNUMBER('SC Change Orders'!$F493),IF('SC Change Orders'!$F493&lt;&gt;0,IF(AND(ISNUMBER('SC Change Orders'!$B493),NOT(COUNTIFS('SC Change Orders'!$B$2:$B$501,'SC Change Orders'!$B493,'SC Change Orders'!$C$2:$C$501,'SC Change Orders'!$C493,'SC Change Orders'!$D$2:$D$501,'SC Change Orders'!$D493,'SC Change Orders'!$F$2:$F$501,'SC Change Orders'!$F493,'SC Change Orders'!$E$2:$E$501,'SC Change Orders'!$E493)&gt;1),COUNTIFS('SC Change Orders'!$B$2:$B$501,'SC Change Orders'!$B493,'SC Change Orders'!$F$2:$F$501,'SC Change Orders'!$F493)&gt;1),  "Same PO and Amount Added as another row — check for a restatement counted twice; ",""),""),""))</f>
        <v/>
      </c>
    </row>
    <row r="512" customFormat="false" ht="15" hidden="false" customHeight="false" outlineLevel="0" collapsed="false">
      <c r="A512" s="18" t="str">
        <f aca="false">IF(AND('SC Change Orders'!$A494="",'SC Change Orders'!$B494="",'SC Change Orders'!$C494=""),"",494)</f>
        <v/>
      </c>
      <c r="B512" s="31" t="str">
        <f aca="false">IF($A512="","",'SC Change Orders'!$A494)</f>
        <v/>
      </c>
      <c r="C512" s="18" t="str">
        <f aca="false">IF($A512="","",'SC Change Orders'!$B494)</f>
        <v/>
      </c>
      <c r="D512" s="32" t="str">
        <f aca="false">IF($A512="","",'SC Change Orders'!$C494)</f>
        <v/>
      </c>
      <c r="E512" s="31" t="str">
        <f aca="false">IF($A512="","",'SC Change Orders'!$D494)</f>
        <v/>
      </c>
      <c r="F512" s="33" t="str">
        <f aca="false">IF($A512="","",'SC Change Orders'!$E494)</f>
        <v/>
      </c>
      <c r="G512" s="33" t="str">
        <f aca="false">IF($A512="","",'SC Change Orders'!$F494)</f>
        <v/>
      </c>
      <c r="H512" s="33" t="str">
        <f aca="false">IF($A512="","",'SC Change Orders'!$G494)</f>
        <v/>
      </c>
      <c r="I512" s="34" t="str">
        <f aca="false">IF($A512="","",IF(AND(ISNUMBER('SC Change Orders'!$C494),'SC Change Orders'!$C494&gt;=Controls!$C$5,'SC Change Orders'!$C494&lt;=Controls!$C$6),"Yes","No"))</f>
        <v/>
      </c>
      <c r="J512" s="31" t="str">
        <f aca="false">IF($A512="","",IF($K512="","OK",$K512))</f>
        <v/>
      </c>
      <c r="K512" s="0" t="str">
        <f aca="false">IF($A512="","",IF(NOT(ISNUMBER('SC Change Orders'!$B494)),"PO not numeric — row is invisible to the tracker; ","")&amp;IF(NOT(ISNUMBER('SC Change Orders'!$C494)),"Date missing or text — row excluded; ",  IF(OR('SC Change Orders'!$C494&lt;Controls!$C$5,'SC Change Orders'!$C494&gt;Controls!$C$6),"Dated outside the FY window — excluded; ",""))&amp;IF(AND('SC Change Orders'!$E494&lt;&gt;"",NOT(ISNUMBER('SC Change Orders'!$E494))),"Original Amount held as text — ignored by MINIFS; ","")&amp;IF(AND('SC Change Orders'!$F494&lt;&gt;"",NOT(ISNUMBER('SC Change Orders'!$F494))),"Amount Added held as text — ignored by SUMIFS; ","")&amp;IF(ISNUMBER('SC Change Orders'!$E494),IF(ISNUMBER('SC Change Orders'!$F494),IF(ISNUMBER('SC Change Orders'!$G494),  IF('SC Change Orders'!$G494&gt;0,IF(ROUND('SC Change Orders'!$E494+'SC Change Orders'!$F494,2)&lt;&gt;ROUND('SC Change Orders'!$G494,2),  "Original + Added &lt;&gt; Total Line Cost Allotted; ",""),""),""),""),"")&amp;IF(AND(ISNUMBER('SC Change Orders'!$B494),COUNTIFS('SC Change Orders'!$B$2:$B$501,'SC Change Orders'!$B494,'SC Change Orders'!$C$2:$C$501,'SC Change Orders'!$C494,'SC Change Orders'!$D$2:$D$501,'SC Change Orders'!$D494,'SC Change Orders'!$F$2:$F$501,'SC Change Orders'!$F494,'SC Change Orders'!$E$2:$E$501,'SC Change Orders'!$E494)&gt;1),"Duplicate of another row — funds counted twice; ","")&amp;IF(ISNUMBER('SC Change Orders'!$F494),IF('SC Change Orders'!$F494&lt;&gt;0,IF(AND(ISNUMBER('SC Change Orders'!$B494),NOT(COUNTIFS('SC Change Orders'!$B$2:$B$501,'SC Change Orders'!$B494,'SC Change Orders'!$C$2:$C$501,'SC Change Orders'!$C494,'SC Change Orders'!$D$2:$D$501,'SC Change Orders'!$D494,'SC Change Orders'!$F$2:$F$501,'SC Change Orders'!$F494,'SC Change Orders'!$E$2:$E$501,'SC Change Orders'!$E494)&gt;1),COUNTIFS('SC Change Orders'!$B$2:$B$501,'SC Change Orders'!$B494,'SC Change Orders'!$F$2:$F$501,'SC Change Orders'!$F494)&gt;1),  "Same PO and Amount Added as another row — check for a restatement counted twice; ",""),""),""))</f>
        <v/>
      </c>
    </row>
    <row r="513" customFormat="false" ht="15" hidden="false" customHeight="false" outlineLevel="0" collapsed="false">
      <c r="A513" s="18" t="str">
        <f aca="false">IF(AND('SC Change Orders'!$A495="",'SC Change Orders'!$B495="",'SC Change Orders'!$C495=""),"",495)</f>
        <v/>
      </c>
      <c r="B513" s="31" t="str">
        <f aca="false">IF($A513="","",'SC Change Orders'!$A495)</f>
        <v/>
      </c>
      <c r="C513" s="18" t="str">
        <f aca="false">IF($A513="","",'SC Change Orders'!$B495)</f>
        <v/>
      </c>
      <c r="D513" s="32" t="str">
        <f aca="false">IF($A513="","",'SC Change Orders'!$C495)</f>
        <v/>
      </c>
      <c r="E513" s="31" t="str">
        <f aca="false">IF($A513="","",'SC Change Orders'!$D495)</f>
        <v/>
      </c>
      <c r="F513" s="33" t="str">
        <f aca="false">IF($A513="","",'SC Change Orders'!$E495)</f>
        <v/>
      </c>
      <c r="G513" s="33" t="str">
        <f aca="false">IF($A513="","",'SC Change Orders'!$F495)</f>
        <v/>
      </c>
      <c r="H513" s="33" t="str">
        <f aca="false">IF($A513="","",'SC Change Orders'!$G495)</f>
        <v/>
      </c>
      <c r="I513" s="34" t="str">
        <f aca="false">IF($A513="","",IF(AND(ISNUMBER('SC Change Orders'!$C495),'SC Change Orders'!$C495&gt;=Controls!$C$5,'SC Change Orders'!$C495&lt;=Controls!$C$6),"Yes","No"))</f>
        <v/>
      </c>
      <c r="J513" s="31" t="str">
        <f aca="false">IF($A513="","",IF($K513="","OK",$K513))</f>
        <v/>
      </c>
      <c r="K513" s="0" t="str">
        <f aca="false">IF($A513="","",IF(NOT(ISNUMBER('SC Change Orders'!$B495)),"PO not numeric — row is invisible to the tracker; ","")&amp;IF(NOT(ISNUMBER('SC Change Orders'!$C495)),"Date missing or text — row excluded; ",  IF(OR('SC Change Orders'!$C495&lt;Controls!$C$5,'SC Change Orders'!$C495&gt;Controls!$C$6),"Dated outside the FY window — excluded; ",""))&amp;IF(AND('SC Change Orders'!$E495&lt;&gt;"",NOT(ISNUMBER('SC Change Orders'!$E495))),"Original Amount held as text — ignored by MINIFS; ","")&amp;IF(AND('SC Change Orders'!$F495&lt;&gt;"",NOT(ISNUMBER('SC Change Orders'!$F495))),"Amount Added held as text — ignored by SUMIFS; ","")&amp;IF(ISNUMBER('SC Change Orders'!$E495),IF(ISNUMBER('SC Change Orders'!$F495),IF(ISNUMBER('SC Change Orders'!$G495),  IF('SC Change Orders'!$G495&gt;0,IF(ROUND('SC Change Orders'!$E495+'SC Change Orders'!$F495,2)&lt;&gt;ROUND('SC Change Orders'!$G495,2),  "Original + Added &lt;&gt; Total Line Cost Allotted; ",""),""),""),""),"")&amp;IF(AND(ISNUMBER('SC Change Orders'!$B495),COUNTIFS('SC Change Orders'!$B$2:$B$501,'SC Change Orders'!$B495,'SC Change Orders'!$C$2:$C$501,'SC Change Orders'!$C495,'SC Change Orders'!$D$2:$D$501,'SC Change Orders'!$D495,'SC Change Orders'!$F$2:$F$501,'SC Change Orders'!$F495,'SC Change Orders'!$E$2:$E$501,'SC Change Orders'!$E495)&gt;1),"Duplicate of another row — funds counted twice; ","")&amp;IF(ISNUMBER('SC Change Orders'!$F495),IF('SC Change Orders'!$F495&lt;&gt;0,IF(AND(ISNUMBER('SC Change Orders'!$B495),NOT(COUNTIFS('SC Change Orders'!$B$2:$B$501,'SC Change Orders'!$B495,'SC Change Orders'!$C$2:$C$501,'SC Change Orders'!$C495,'SC Change Orders'!$D$2:$D$501,'SC Change Orders'!$D495,'SC Change Orders'!$F$2:$F$501,'SC Change Orders'!$F495,'SC Change Orders'!$E$2:$E$501,'SC Change Orders'!$E495)&gt;1),COUNTIFS('SC Change Orders'!$B$2:$B$501,'SC Change Orders'!$B495,'SC Change Orders'!$F$2:$F$501,'SC Change Orders'!$F495)&gt;1),  "Same PO and Amount Added as another row — check for a restatement counted twice; ",""),""),""))</f>
        <v/>
      </c>
    </row>
    <row r="514" customFormat="false" ht="15" hidden="false" customHeight="false" outlineLevel="0" collapsed="false">
      <c r="A514" s="18" t="str">
        <f aca="false">IF(AND('SC Change Orders'!$A496="",'SC Change Orders'!$B496="",'SC Change Orders'!$C496=""),"",496)</f>
        <v/>
      </c>
      <c r="B514" s="31" t="str">
        <f aca="false">IF($A514="","",'SC Change Orders'!$A496)</f>
        <v/>
      </c>
      <c r="C514" s="18" t="str">
        <f aca="false">IF($A514="","",'SC Change Orders'!$B496)</f>
        <v/>
      </c>
      <c r="D514" s="32" t="str">
        <f aca="false">IF($A514="","",'SC Change Orders'!$C496)</f>
        <v/>
      </c>
      <c r="E514" s="31" t="str">
        <f aca="false">IF($A514="","",'SC Change Orders'!$D496)</f>
        <v/>
      </c>
      <c r="F514" s="33" t="str">
        <f aca="false">IF($A514="","",'SC Change Orders'!$E496)</f>
        <v/>
      </c>
      <c r="G514" s="33" t="str">
        <f aca="false">IF($A514="","",'SC Change Orders'!$F496)</f>
        <v/>
      </c>
      <c r="H514" s="33" t="str">
        <f aca="false">IF($A514="","",'SC Change Orders'!$G496)</f>
        <v/>
      </c>
      <c r="I514" s="34" t="str">
        <f aca="false">IF($A514="","",IF(AND(ISNUMBER('SC Change Orders'!$C496),'SC Change Orders'!$C496&gt;=Controls!$C$5,'SC Change Orders'!$C496&lt;=Controls!$C$6),"Yes","No"))</f>
        <v/>
      </c>
      <c r="J514" s="31" t="str">
        <f aca="false">IF($A514="","",IF($K514="","OK",$K514))</f>
        <v/>
      </c>
      <c r="K514" s="0" t="str">
        <f aca="false">IF($A514="","",IF(NOT(ISNUMBER('SC Change Orders'!$B496)),"PO not numeric — row is invisible to the tracker; ","")&amp;IF(NOT(ISNUMBER('SC Change Orders'!$C496)),"Date missing or text — row excluded; ",  IF(OR('SC Change Orders'!$C496&lt;Controls!$C$5,'SC Change Orders'!$C496&gt;Controls!$C$6),"Dated outside the FY window — excluded; ",""))&amp;IF(AND('SC Change Orders'!$E496&lt;&gt;"",NOT(ISNUMBER('SC Change Orders'!$E496))),"Original Amount held as text — ignored by MINIFS; ","")&amp;IF(AND('SC Change Orders'!$F496&lt;&gt;"",NOT(ISNUMBER('SC Change Orders'!$F496))),"Amount Added held as text — ignored by SUMIFS; ","")&amp;IF(ISNUMBER('SC Change Orders'!$E496),IF(ISNUMBER('SC Change Orders'!$F496),IF(ISNUMBER('SC Change Orders'!$G496),  IF('SC Change Orders'!$G496&gt;0,IF(ROUND('SC Change Orders'!$E496+'SC Change Orders'!$F496,2)&lt;&gt;ROUND('SC Change Orders'!$G496,2),  "Original + Added &lt;&gt; Total Line Cost Allotted; ",""),""),""),""),"")&amp;IF(AND(ISNUMBER('SC Change Orders'!$B496),COUNTIFS('SC Change Orders'!$B$2:$B$501,'SC Change Orders'!$B496,'SC Change Orders'!$C$2:$C$501,'SC Change Orders'!$C496,'SC Change Orders'!$D$2:$D$501,'SC Change Orders'!$D496,'SC Change Orders'!$F$2:$F$501,'SC Change Orders'!$F496,'SC Change Orders'!$E$2:$E$501,'SC Change Orders'!$E496)&gt;1),"Duplicate of another row — funds counted twice; ","")&amp;IF(ISNUMBER('SC Change Orders'!$F496),IF('SC Change Orders'!$F496&lt;&gt;0,IF(AND(ISNUMBER('SC Change Orders'!$B496),NOT(COUNTIFS('SC Change Orders'!$B$2:$B$501,'SC Change Orders'!$B496,'SC Change Orders'!$C$2:$C$501,'SC Change Orders'!$C496,'SC Change Orders'!$D$2:$D$501,'SC Change Orders'!$D496,'SC Change Orders'!$F$2:$F$501,'SC Change Orders'!$F496,'SC Change Orders'!$E$2:$E$501,'SC Change Orders'!$E496)&gt;1),COUNTIFS('SC Change Orders'!$B$2:$B$501,'SC Change Orders'!$B496,'SC Change Orders'!$F$2:$F$501,'SC Change Orders'!$F496)&gt;1),  "Same PO and Amount Added as another row — check for a restatement counted twice; ",""),""),""))</f>
        <v/>
      </c>
    </row>
    <row r="515" customFormat="false" ht="15" hidden="false" customHeight="false" outlineLevel="0" collapsed="false">
      <c r="A515" s="18" t="str">
        <f aca="false">IF(AND('SC Change Orders'!$A497="",'SC Change Orders'!$B497="",'SC Change Orders'!$C497=""),"",497)</f>
        <v/>
      </c>
      <c r="B515" s="31" t="str">
        <f aca="false">IF($A515="","",'SC Change Orders'!$A497)</f>
        <v/>
      </c>
      <c r="C515" s="18" t="str">
        <f aca="false">IF($A515="","",'SC Change Orders'!$B497)</f>
        <v/>
      </c>
      <c r="D515" s="32" t="str">
        <f aca="false">IF($A515="","",'SC Change Orders'!$C497)</f>
        <v/>
      </c>
      <c r="E515" s="31" t="str">
        <f aca="false">IF($A515="","",'SC Change Orders'!$D497)</f>
        <v/>
      </c>
      <c r="F515" s="33" t="str">
        <f aca="false">IF($A515="","",'SC Change Orders'!$E497)</f>
        <v/>
      </c>
      <c r="G515" s="33" t="str">
        <f aca="false">IF($A515="","",'SC Change Orders'!$F497)</f>
        <v/>
      </c>
      <c r="H515" s="33" t="str">
        <f aca="false">IF($A515="","",'SC Change Orders'!$G497)</f>
        <v/>
      </c>
      <c r="I515" s="34" t="str">
        <f aca="false">IF($A515="","",IF(AND(ISNUMBER('SC Change Orders'!$C497),'SC Change Orders'!$C497&gt;=Controls!$C$5,'SC Change Orders'!$C497&lt;=Controls!$C$6),"Yes","No"))</f>
        <v/>
      </c>
      <c r="J515" s="31" t="str">
        <f aca="false">IF($A515="","",IF($K515="","OK",$K515))</f>
        <v/>
      </c>
      <c r="K515" s="0" t="str">
        <f aca="false">IF($A515="","",IF(NOT(ISNUMBER('SC Change Orders'!$B497)),"PO not numeric — row is invisible to the tracker; ","")&amp;IF(NOT(ISNUMBER('SC Change Orders'!$C497)),"Date missing or text — row excluded; ",  IF(OR('SC Change Orders'!$C497&lt;Controls!$C$5,'SC Change Orders'!$C497&gt;Controls!$C$6),"Dated outside the FY window — excluded; ",""))&amp;IF(AND('SC Change Orders'!$E497&lt;&gt;"",NOT(ISNUMBER('SC Change Orders'!$E497))),"Original Amount held as text — ignored by MINIFS; ","")&amp;IF(AND('SC Change Orders'!$F497&lt;&gt;"",NOT(ISNUMBER('SC Change Orders'!$F497))),"Amount Added held as text — ignored by SUMIFS; ","")&amp;IF(ISNUMBER('SC Change Orders'!$E497),IF(ISNUMBER('SC Change Orders'!$F497),IF(ISNUMBER('SC Change Orders'!$G497),  IF('SC Change Orders'!$G497&gt;0,IF(ROUND('SC Change Orders'!$E497+'SC Change Orders'!$F497,2)&lt;&gt;ROUND('SC Change Orders'!$G497,2),  "Original + Added &lt;&gt; Total Line Cost Allotted; ",""),""),""),""),"")&amp;IF(AND(ISNUMBER('SC Change Orders'!$B497),COUNTIFS('SC Change Orders'!$B$2:$B$501,'SC Change Orders'!$B497,'SC Change Orders'!$C$2:$C$501,'SC Change Orders'!$C497,'SC Change Orders'!$D$2:$D$501,'SC Change Orders'!$D497,'SC Change Orders'!$F$2:$F$501,'SC Change Orders'!$F497,'SC Change Orders'!$E$2:$E$501,'SC Change Orders'!$E497)&gt;1),"Duplicate of another row — funds counted twice; ","")&amp;IF(ISNUMBER('SC Change Orders'!$F497),IF('SC Change Orders'!$F497&lt;&gt;0,IF(AND(ISNUMBER('SC Change Orders'!$B497),NOT(COUNTIFS('SC Change Orders'!$B$2:$B$501,'SC Change Orders'!$B497,'SC Change Orders'!$C$2:$C$501,'SC Change Orders'!$C497,'SC Change Orders'!$D$2:$D$501,'SC Change Orders'!$D497,'SC Change Orders'!$F$2:$F$501,'SC Change Orders'!$F497,'SC Change Orders'!$E$2:$E$501,'SC Change Orders'!$E497)&gt;1),COUNTIFS('SC Change Orders'!$B$2:$B$501,'SC Change Orders'!$B497,'SC Change Orders'!$F$2:$F$501,'SC Change Orders'!$F497)&gt;1),  "Same PO and Amount Added as another row — check for a restatement counted twice; ",""),""),""))</f>
        <v/>
      </c>
    </row>
    <row r="516" customFormat="false" ht="15" hidden="false" customHeight="false" outlineLevel="0" collapsed="false">
      <c r="A516" s="18" t="str">
        <f aca="false">IF(AND('SC Change Orders'!$A498="",'SC Change Orders'!$B498="",'SC Change Orders'!$C498=""),"",498)</f>
        <v/>
      </c>
      <c r="B516" s="31" t="str">
        <f aca="false">IF($A516="","",'SC Change Orders'!$A498)</f>
        <v/>
      </c>
      <c r="C516" s="18" t="str">
        <f aca="false">IF($A516="","",'SC Change Orders'!$B498)</f>
        <v/>
      </c>
      <c r="D516" s="32" t="str">
        <f aca="false">IF($A516="","",'SC Change Orders'!$C498)</f>
        <v/>
      </c>
      <c r="E516" s="31" t="str">
        <f aca="false">IF($A516="","",'SC Change Orders'!$D498)</f>
        <v/>
      </c>
      <c r="F516" s="33" t="str">
        <f aca="false">IF($A516="","",'SC Change Orders'!$E498)</f>
        <v/>
      </c>
      <c r="G516" s="33" t="str">
        <f aca="false">IF($A516="","",'SC Change Orders'!$F498)</f>
        <v/>
      </c>
      <c r="H516" s="33" t="str">
        <f aca="false">IF($A516="","",'SC Change Orders'!$G498)</f>
        <v/>
      </c>
      <c r="I516" s="34" t="str">
        <f aca="false">IF($A516="","",IF(AND(ISNUMBER('SC Change Orders'!$C498),'SC Change Orders'!$C498&gt;=Controls!$C$5,'SC Change Orders'!$C498&lt;=Controls!$C$6),"Yes","No"))</f>
        <v/>
      </c>
      <c r="J516" s="31" t="str">
        <f aca="false">IF($A516="","",IF($K516="","OK",$K516))</f>
        <v/>
      </c>
      <c r="K516" s="0" t="str">
        <f aca="false">IF($A516="","",IF(NOT(ISNUMBER('SC Change Orders'!$B498)),"PO not numeric — row is invisible to the tracker; ","")&amp;IF(NOT(ISNUMBER('SC Change Orders'!$C498)),"Date missing or text — row excluded; ",  IF(OR('SC Change Orders'!$C498&lt;Controls!$C$5,'SC Change Orders'!$C498&gt;Controls!$C$6),"Dated outside the FY window — excluded; ",""))&amp;IF(AND('SC Change Orders'!$E498&lt;&gt;"",NOT(ISNUMBER('SC Change Orders'!$E498))),"Original Amount held as text — ignored by MINIFS; ","")&amp;IF(AND('SC Change Orders'!$F498&lt;&gt;"",NOT(ISNUMBER('SC Change Orders'!$F498))),"Amount Added held as text — ignored by SUMIFS; ","")&amp;IF(ISNUMBER('SC Change Orders'!$E498),IF(ISNUMBER('SC Change Orders'!$F498),IF(ISNUMBER('SC Change Orders'!$G498),  IF('SC Change Orders'!$G498&gt;0,IF(ROUND('SC Change Orders'!$E498+'SC Change Orders'!$F498,2)&lt;&gt;ROUND('SC Change Orders'!$G498,2),  "Original + Added &lt;&gt; Total Line Cost Allotted; ",""),""),""),""),"")&amp;IF(AND(ISNUMBER('SC Change Orders'!$B498),COUNTIFS('SC Change Orders'!$B$2:$B$501,'SC Change Orders'!$B498,'SC Change Orders'!$C$2:$C$501,'SC Change Orders'!$C498,'SC Change Orders'!$D$2:$D$501,'SC Change Orders'!$D498,'SC Change Orders'!$F$2:$F$501,'SC Change Orders'!$F498,'SC Change Orders'!$E$2:$E$501,'SC Change Orders'!$E498)&gt;1),"Duplicate of another row — funds counted twice; ","")&amp;IF(ISNUMBER('SC Change Orders'!$F498),IF('SC Change Orders'!$F498&lt;&gt;0,IF(AND(ISNUMBER('SC Change Orders'!$B498),NOT(COUNTIFS('SC Change Orders'!$B$2:$B$501,'SC Change Orders'!$B498,'SC Change Orders'!$C$2:$C$501,'SC Change Orders'!$C498,'SC Change Orders'!$D$2:$D$501,'SC Change Orders'!$D498,'SC Change Orders'!$F$2:$F$501,'SC Change Orders'!$F498,'SC Change Orders'!$E$2:$E$501,'SC Change Orders'!$E498)&gt;1),COUNTIFS('SC Change Orders'!$B$2:$B$501,'SC Change Orders'!$B498,'SC Change Orders'!$F$2:$F$501,'SC Change Orders'!$F498)&gt;1),  "Same PO and Amount Added as another row — check for a restatement counted twice; ",""),""),""))</f>
        <v/>
      </c>
    </row>
    <row r="517" customFormat="false" ht="15" hidden="false" customHeight="false" outlineLevel="0" collapsed="false">
      <c r="A517" s="18" t="str">
        <f aca="false">IF(AND('SC Change Orders'!$A499="",'SC Change Orders'!$B499="",'SC Change Orders'!$C499=""),"",499)</f>
        <v/>
      </c>
      <c r="B517" s="31" t="str">
        <f aca="false">IF($A517="","",'SC Change Orders'!$A499)</f>
        <v/>
      </c>
      <c r="C517" s="18" t="str">
        <f aca="false">IF($A517="","",'SC Change Orders'!$B499)</f>
        <v/>
      </c>
      <c r="D517" s="32" t="str">
        <f aca="false">IF($A517="","",'SC Change Orders'!$C499)</f>
        <v/>
      </c>
      <c r="E517" s="31" t="str">
        <f aca="false">IF($A517="","",'SC Change Orders'!$D499)</f>
        <v/>
      </c>
      <c r="F517" s="33" t="str">
        <f aca="false">IF($A517="","",'SC Change Orders'!$E499)</f>
        <v/>
      </c>
      <c r="G517" s="33" t="str">
        <f aca="false">IF($A517="","",'SC Change Orders'!$F499)</f>
        <v/>
      </c>
      <c r="H517" s="33" t="str">
        <f aca="false">IF($A517="","",'SC Change Orders'!$G499)</f>
        <v/>
      </c>
      <c r="I517" s="34" t="str">
        <f aca="false">IF($A517="","",IF(AND(ISNUMBER('SC Change Orders'!$C499),'SC Change Orders'!$C499&gt;=Controls!$C$5,'SC Change Orders'!$C499&lt;=Controls!$C$6),"Yes","No"))</f>
        <v/>
      </c>
      <c r="J517" s="31" t="str">
        <f aca="false">IF($A517="","",IF($K517="","OK",$K517))</f>
        <v/>
      </c>
      <c r="K517" s="0" t="str">
        <f aca="false">IF($A517="","",IF(NOT(ISNUMBER('SC Change Orders'!$B499)),"PO not numeric — row is invisible to the tracker; ","")&amp;IF(NOT(ISNUMBER('SC Change Orders'!$C499)),"Date missing or text — row excluded; ",  IF(OR('SC Change Orders'!$C499&lt;Controls!$C$5,'SC Change Orders'!$C499&gt;Controls!$C$6),"Dated outside the FY window — excluded; ",""))&amp;IF(AND('SC Change Orders'!$E499&lt;&gt;"",NOT(ISNUMBER('SC Change Orders'!$E499))),"Original Amount held as text — ignored by MINIFS; ","")&amp;IF(AND('SC Change Orders'!$F499&lt;&gt;"",NOT(ISNUMBER('SC Change Orders'!$F499))),"Amount Added held as text — ignored by SUMIFS; ","")&amp;IF(ISNUMBER('SC Change Orders'!$E499),IF(ISNUMBER('SC Change Orders'!$F499),IF(ISNUMBER('SC Change Orders'!$G499),  IF('SC Change Orders'!$G499&gt;0,IF(ROUND('SC Change Orders'!$E499+'SC Change Orders'!$F499,2)&lt;&gt;ROUND('SC Change Orders'!$G499,2),  "Original + Added &lt;&gt; Total Line Cost Allotted; ",""),""),""),""),"")&amp;IF(AND(ISNUMBER('SC Change Orders'!$B499),COUNTIFS('SC Change Orders'!$B$2:$B$501,'SC Change Orders'!$B499,'SC Change Orders'!$C$2:$C$501,'SC Change Orders'!$C499,'SC Change Orders'!$D$2:$D$501,'SC Change Orders'!$D499,'SC Change Orders'!$F$2:$F$501,'SC Change Orders'!$F499,'SC Change Orders'!$E$2:$E$501,'SC Change Orders'!$E499)&gt;1),"Duplicate of another row — funds counted twice; ","")&amp;IF(ISNUMBER('SC Change Orders'!$F499),IF('SC Change Orders'!$F499&lt;&gt;0,IF(AND(ISNUMBER('SC Change Orders'!$B499),NOT(COUNTIFS('SC Change Orders'!$B$2:$B$501,'SC Change Orders'!$B499,'SC Change Orders'!$C$2:$C$501,'SC Change Orders'!$C499,'SC Change Orders'!$D$2:$D$501,'SC Change Orders'!$D499,'SC Change Orders'!$F$2:$F$501,'SC Change Orders'!$F499,'SC Change Orders'!$E$2:$E$501,'SC Change Orders'!$E499)&gt;1),COUNTIFS('SC Change Orders'!$B$2:$B$501,'SC Change Orders'!$B499,'SC Change Orders'!$F$2:$F$501,'SC Change Orders'!$F499)&gt;1),  "Same PO and Amount Added as another row — check for a restatement counted twice; ",""),""),""))</f>
        <v/>
      </c>
    </row>
    <row r="518" customFormat="false" ht="15" hidden="false" customHeight="false" outlineLevel="0" collapsed="false">
      <c r="A518" s="18" t="str">
        <f aca="false">IF(AND('SC Change Orders'!$A500="",'SC Change Orders'!$B500="",'SC Change Orders'!$C500=""),"",500)</f>
        <v/>
      </c>
      <c r="B518" s="31" t="str">
        <f aca="false">IF($A518="","",'SC Change Orders'!$A500)</f>
        <v/>
      </c>
      <c r="C518" s="18" t="str">
        <f aca="false">IF($A518="","",'SC Change Orders'!$B500)</f>
        <v/>
      </c>
      <c r="D518" s="32" t="str">
        <f aca="false">IF($A518="","",'SC Change Orders'!$C500)</f>
        <v/>
      </c>
      <c r="E518" s="31" t="str">
        <f aca="false">IF($A518="","",'SC Change Orders'!$D500)</f>
        <v/>
      </c>
      <c r="F518" s="33" t="str">
        <f aca="false">IF($A518="","",'SC Change Orders'!$E500)</f>
        <v/>
      </c>
      <c r="G518" s="33" t="str">
        <f aca="false">IF($A518="","",'SC Change Orders'!$F500)</f>
        <v/>
      </c>
      <c r="H518" s="33" t="str">
        <f aca="false">IF($A518="","",'SC Change Orders'!$G500)</f>
        <v/>
      </c>
      <c r="I518" s="34" t="str">
        <f aca="false">IF($A518="","",IF(AND(ISNUMBER('SC Change Orders'!$C500),'SC Change Orders'!$C500&gt;=Controls!$C$5,'SC Change Orders'!$C500&lt;=Controls!$C$6),"Yes","No"))</f>
        <v/>
      </c>
      <c r="J518" s="31" t="str">
        <f aca="false">IF($A518="","",IF($K518="","OK",$K518))</f>
        <v/>
      </c>
      <c r="K518" s="0" t="str">
        <f aca="false">IF($A518="","",IF(NOT(ISNUMBER('SC Change Orders'!$B500)),"PO not numeric — row is invisible to the tracker; ","")&amp;IF(NOT(ISNUMBER('SC Change Orders'!$C500)),"Date missing or text — row excluded; ",  IF(OR('SC Change Orders'!$C500&lt;Controls!$C$5,'SC Change Orders'!$C500&gt;Controls!$C$6),"Dated outside the FY window — excluded; ",""))&amp;IF(AND('SC Change Orders'!$E500&lt;&gt;"",NOT(ISNUMBER('SC Change Orders'!$E500))),"Original Amount held as text — ignored by MINIFS; ","")&amp;IF(AND('SC Change Orders'!$F500&lt;&gt;"",NOT(ISNUMBER('SC Change Orders'!$F500))),"Amount Added held as text — ignored by SUMIFS; ","")&amp;IF(ISNUMBER('SC Change Orders'!$E500),IF(ISNUMBER('SC Change Orders'!$F500),IF(ISNUMBER('SC Change Orders'!$G500),  IF('SC Change Orders'!$G500&gt;0,IF(ROUND('SC Change Orders'!$E500+'SC Change Orders'!$F500,2)&lt;&gt;ROUND('SC Change Orders'!$G500,2),  "Original + Added &lt;&gt; Total Line Cost Allotted; ",""),""),""),""),"")&amp;IF(AND(ISNUMBER('SC Change Orders'!$B500),COUNTIFS('SC Change Orders'!$B$2:$B$501,'SC Change Orders'!$B500,'SC Change Orders'!$C$2:$C$501,'SC Change Orders'!$C500,'SC Change Orders'!$D$2:$D$501,'SC Change Orders'!$D500,'SC Change Orders'!$F$2:$F$501,'SC Change Orders'!$F500,'SC Change Orders'!$E$2:$E$501,'SC Change Orders'!$E500)&gt;1),"Duplicate of another row — funds counted twice; ","")&amp;IF(ISNUMBER('SC Change Orders'!$F500),IF('SC Change Orders'!$F500&lt;&gt;0,IF(AND(ISNUMBER('SC Change Orders'!$B500),NOT(COUNTIFS('SC Change Orders'!$B$2:$B$501,'SC Change Orders'!$B500,'SC Change Orders'!$C$2:$C$501,'SC Change Orders'!$C500,'SC Change Orders'!$D$2:$D$501,'SC Change Orders'!$D500,'SC Change Orders'!$F$2:$F$501,'SC Change Orders'!$F500,'SC Change Orders'!$E$2:$E$501,'SC Change Orders'!$E500)&gt;1),COUNTIFS('SC Change Orders'!$B$2:$B$501,'SC Change Orders'!$B500,'SC Change Orders'!$F$2:$F$501,'SC Change Orders'!$F500)&gt;1),  "Same PO and Amount Added as another row — check for a restatement counted twice; ",""),""),""))</f>
        <v/>
      </c>
    </row>
    <row r="519" customFormat="false" ht="15" hidden="false" customHeight="false" outlineLevel="0" collapsed="false">
      <c r="A519" s="18" t="str">
        <f aca="false">IF(AND('SC Change Orders'!$A501="",'SC Change Orders'!$B501="",'SC Change Orders'!$C501=""),"",501)</f>
        <v/>
      </c>
      <c r="B519" s="31" t="str">
        <f aca="false">IF($A519="","",'SC Change Orders'!$A501)</f>
        <v/>
      </c>
      <c r="C519" s="18" t="str">
        <f aca="false">IF($A519="","",'SC Change Orders'!$B501)</f>
        <v/>
      </c>
      <c r="D519" s="32" t="str">
        <f aca="false">IF($A519="","",'SC Change Orders'!$C501)</f>
        <v/>
      </c>
      <c r="E519" s="31" t="str">
        <f aca="false">IF($A519="","",'SC Change Orders'!$D501)</f>
        <v/>
      </c>
      <c r="F519" s="33" t="str">
        <f aca="false">IF($A519="","",'SC Change Orders'!$E501)</f>
        <v/>
      </c>
      <c r="G519" s="33" t="str">
        <f aca="false">IF($A519="","",'SC Change Orders'!$F501)</f>
        <v/>
      </c>
      <c r="H519" s="33" t="str">
        <f aca="false">IF($A519="","",'SC Change Orders'!$G501)</f>
        <v/>
      </c>
      <c r="I519" s="34" t="str">
        <f aca="false">IF($A519="","",IF(AND(ISNUMBER('SC Change Orders'!$C501),'SC Change Orders'!$C501&gt;=Controls!$C$5,'SC Change Orders'!$C501&lt;=Controls!$C$6),"Yes","No"))</f>
        <v/>
      </c>
      <c r="J519" s="31" t="str">
        <f aca="false">IF($A519="","",IF($K519="","OK",$K519))</f>
        <v/>
      </c>
      <c r="K519" s="0" t="str">
        <f aca="false">IF($A519="","",IF(NOT(ISNUMBER('SC Change Orders'!$B501)),"PO not numeric — row is invisible to the tracker; ","")&amp;IF(NOT(ISNUMBER('SC Change Orders'!$C501)),"Date missing or text — row excluded; ",  IF(OR('SC Change Orders'!$C501&lt;Controls!$C$5,'SC Change Orders'!$C501&gt;Controls!$C$6),"Dated outside the FY window — excluded; ",""))&amp;IF(AND('SC Change Orders'!$E501&lt;&gt;"",NOT(ISNUMBER('SC Change Orders'!$E501))),"Original Amount held as text — ignored by MINIFS; ","")&amp;IF(AND('SC Change Orders'!$F501&lt;&gt;"",NOT(ISNUMBER('SC Change Orders'!$F501))),"Amount Added held as text — ignored by SUMIFS; ","")&amp;IF(ISNUMBER('SC Change Orders'!$E501),IF(ISNUMBER('SC Change Orders'!$F501),IF(ISNUMBER('SC Change Orders'!$G501),  IF('SC Change Orders'!$G501&gt;0,IF(ROUND('SC Change Orders'!$E501+'SC Change Orders'!$F501,2)&lt;&gt;ROUND('SC Change Orders'!$G501,2),  "Original + Added &lt;&gt; Total Line Cost Allotted; ",""),""),""),""),"")&amp;IF(AND(ISNUMBER('SC Change Orders'!$B501),COUNTIFS('SC Change Orders'!$B$2:$B$501,'SC Change Orders'!$B501,'SC Change Orders'!$C$2:$C$501,'SC Change Orders'!$C501,'SC Change Orders'!$D$2:$D$501,'SC Change Orders'!$D501,'SC Change Orders'!$F$2:$F$501,'SC Change Orders'!$F501,'SC Change Orders'!$E$2:$E$501,'SC Change Orders'!$E501)&gt;1),"Duplicate of another row — funds counted twice; ","")&amp;IF(ISNUMBER('SC Change Orders'!$F501),IF('SC Change Orders'!$F501&lt;&gt;0,IF(AND(ISNUMBER('SC Change Orders'!$B501),NOT(COUNTIFS('SC Change Orders'!$B$2:$B$501,'SC Change Orders'!$B501,'SC Change Orders'!$C$2:$C$501,'SC Change Orders'!$C501,'SC Change Orders'!$D$2:$D$501,'SC Change Orders'!$D501,'SC Change Orders'!$F$2:$F$501,'SC Change Orders'!$F501,'SC Change Orders'!$E$2:$E$501,'SC Change Orders'!$E501)&gt;1),COUNTIFS('SC Change Orders'!$B$2:$B$501,'SC Change Orders'!$B501,'SC Change Orders'!$F$2:$F$501,'SC Change Orders'!$F501)&gt;1),  "Same PO and Amount Added as another row — check for a restatement counted twice; ",""),""),""))</f>
        <v/>
      </c>
    </row>
  </sheetData>
  <autoFilter ref="A19:J519"/>
  <conditionalFormatting sqref="J20:J519">
    <cfRule type="cellIs" priority="2" operator="notEqual" aboveAverage="0" equalAverage="0" bottom="0" percent="0" rank="0" text="" dxfId="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5"/>
    <col collapsed="false" customWidth="true" hidden="false" outlineLevel="0" max="4" min="4" style="0" width="24"/>
    <col collapsed="false" customWidth="true" hidden="false" outlineLevel="0" max="8" min="5" style="0" width="15"/>
    <col collapsed="false" customWidth="true" hidden="false" outlineLevel="0" max="9" min="9" style="0" width="42"/>
  </cols>
  <sheetData>
    <row r="1" customFormat="false" ht="23.85" hidden="false" customHeight="false" outlineLevel="0" collapsed="false">
      <c r="A1" s="16" t="s">
        <v>55</v>
      </c>
      <c r="B1" s="16" t="s">
        <v>103</v>
      </c>
      <c r="C1" s="16" t="s">
        <v>96</v>
      </c>
      <c r="D1" s="16" t="s">
        <v>104</v>
      </c>
      <c r="E1" s="16" t="s">
        <v>98</v>
      </c>
      <c r="F1" s="16" t="s">
        <v>99</v>
      </c>
      <c r="G1" s="16" t="s">
        <v>105</v>
      </c>
      <c r="H1" s="16" t="s">
        <v>106</v>
      </c>
      <c r="I1" s="16" t="s">
        <v>107</v>
      </c>
    </row>
    <row r="2" customFormat="false" ht="15" hidden="false" customHeight="false" outlineLevel="0" collapsed="false">
      <c r="A2" s="35" t="s">
        <v>108</v>
      </c>
      <c r="B2" s="36" t="n">
        <v>10200</v>
      </c>
      <c r="C2" s="37" t="n">
        <v>46087</v>
      </c>
      <c r="D2" s="35" t="n">
        <v>2</v>
      </c>
      <c r="E2" s="35"/>
      <c r="F2" s="38" t="n">
        <v>617193.76</v>
      </c>
      <c r="G2" s="38" t="n">
        <v>617193.76</v>
      </c>
      <c r="H2" s="35"/>
      <c r="I2" s="39" t="s">
        <v>109</v>
      </c>
    </row>
    <row r="3" customFormat="false" ht="15" hidden="false" customHeight="false" outlineLevel="0" collapsed="false">
      <c r="A3" s="35" t="s">
        <v>108</v>
      </c>
      <c r="B3" s="36" t="n">
        <v>10200</v>
      </c>
      <c r="C3" s="37" t="n">
        <v>46101</v>
      </c>
      <c r="D3" s="35" t="s">
        <v>110</v>
      </c>
      <c r="E3" s="38" t="n">
        <v>92500</v>
      </c>
      <c r="F3" s="38" t="n">
        <v>100000</v>
      </c>
      <c r="G3" s="35"/>
      <c r="H3" s="35"/>
      <c r="I3" s="35" t="s">
        <v>111</v>
      </c>
    </row>
    <row r="4" customFormat="false" ht="15" hidden="false" customHeight="false" outlineLevel="0" collapsed="false">
      <c r="A4" s="35" t="s">
        <v>108</v>
      </c>
      <c r="B4" s="36" t="n">
        <v>10200</v>
      </c>
      <c r="C4" s="37" t="n">
        <v>46120</v>
      </c>
      <c r="D4" s="35" t="s">
        <v>112</v>
      </c>
      <c r="E4" s="35"/>
      <c r="F4" s="38" t="n">
        <v>662551.31</v>
      </c>
      <c r="G4" s="35"/>
      <c r="H4" s="35"/>
      <c r="I4" s="35" t="s">
        <v>113</v>
      </c>
    </row>
    <row r="5" customFormat="false" ht="15" hidden="false" customHeight="false" outlineLevel="0" collapsed="false">
      <c r="A5" s="35" t="s">
        <v>108</v>
      </c>
      <c r="B5" s="36" t="n">
        <v>10200</v>
      </c>
      <c r="C5" s="37" t="n">
        <v>46141</v>
      </c>
      <c r="D5" s="35" t="s">
        <v>110</v>
      </c>
      <c r="E5" s="38" t="n">
        <v>192650</v>
      </c>
      <c r="F5" s="38" t="n">
        <v>108970.93</v>
      </c>
      <c r="G5" s="38" t="n">
        <v>301620.93</v>
      </c>
      <c r="H5" s="37" t="n">
        <v>46141</v>
      </c>
      <c r="I5" s="35"/>
    </row>
    <row r="6" customFormat="false" ht="15" hidden="false" customHeight="false" outlineLevel="0" collapsed="false">
      <c r="A6" s="35" t="s">
        <v>108</v>
      </c>
      <c r="B6" s="36" t="n">
        <v>10200</v>
      </c>
      <c r="C6" s="37" t="n">
        <v>46141</v>
      </c>
      <c r="D6" s="35" t="s">
        <v>114</v>
      </c>
      <c r="E6" s="35"/>
      <c r="F6" s="38" t="n">
        <v>662551.31</v>
      </c>
      <c r="G6" s="38" t="n">
        <v>2845560.56</v>
      </c>
      <c r="H6" s="37" t="n">
        <v>46141</v>
      </c>
      <c r="I6" s="35"/>
    </row>
    <row r="7" customFormat="false" ht="15" hidden="false" customHeight="false" outlineLevel="0" collapsed="false">
      <c r="A7" s="35" t="s">
        <v>108</v>
      </c>
      <c r="B7" s="36" t="n">
        <v>10200</v>
      </c>
      <c r="C7" s="37" t="n">
        <v>46141</v>
      </c>
      <c r="D7" s="35" t="s">
        <v>114</v>
      </c>
      <c r="E7" s="35"/>
      <c r="F7" s="38" t="n">
        <v>823315.49</v>
      </c>
      <c r="G7" s="38" t="n">
        <v>2845560.56</v>
      </c>
      <c r="H7" s="37" t="n">
        <v>46141</v>
      </c>
      <c r="I7" s="35"/>
    </row>
    <row r="8" customFormat="false" ht="15" hidden="false" customHeight="false" outlineLevel="0" collapsed="false">
      <c r="A8" s="35" t="s">
        <v>108</v>
      </c>
      <c r="B8" s="36" t="n">
        <v>10200</v>
      </c>
      <c r="C8" s="37" t="n">
        <v>46160</v>
      </c>
      <c r="D8" s="35" t="s">
        <v>114</v>
      </c>
      <c r="E8" s="35"/>
      <c r="F8" s="38" t="n">
        <v>721331.83</v>
      </c>
      <c r="G8" s="38" t="n">
        <v>3566892.39</v>
      </c>
      <c r="H8" s="37" t="n">
        <v>46160</v>
      </c>
      <c r="I8" s="35" t="s">
        <v>115</v>
      </c>
    </row>
    <row r="9" customFormat="false" ht="15" hidden="false" customHeight="false" outlineLevel="0" collapsed="false">
      <c r="A9" s="35" t="s">
        <v>108</v>
      </c>
      <c r="B9" s="36" t="n">
        <v>10200</v>
      </c>
      <c r="C9" s="37" t="n">
        <v>46182</v>
      </c>
      <c r="D9" s="35" t="s">
        <v>110</v>
      </c>
      <c r="E9" s="38" t="n">
        <v>301620.93</v>
      </c>
      <c r="F9" s="38" t="n">
        <v>86151.16</v>
      </c>
      <c r="G9" s="38" t="n">
        <v>387772.09</v>
      </c>
      <c r="H9" s="37" t="n">
        <v>46183</v>
      </c>
      <c r="I9" s="35" t="s">
        <v>116</v>
      </c>
    </row>
    <row r="10" customFormat="false" ht="15" hidden="false" customHeight="false" outlineLevel="0" collapsed="false">
      <c r="A10" s="35" t="s">
        <v>108</v>
      </c>
      <c r="B10" s="36" t="n">
        <v>10200</v>
      </c>
      <c r="C10" s="37" t="n">
        <v>46182</v>
      </c>
      <c r="D10" s="35" t="s">
        <v>114</v>
      </c>
      <c r="E10" s="38" t="n">
        <v>2845560.56</v>
      </c>
      <c r="F10" s="38" t="n">
        <v>721331.83</v>
      </c>
      <c r="G10" s="38" t="n">
        <v>3566892.39</v>
      </c>
      <c r="H10" s="37" t="n">
        <v>46183</v>
      </c>
      <c r="I10" s="35" t="s">
        <v>116</v>
      </c>
    </row>
    <row r="11" customFormat="false" ht="15" hidden="false" customHeight="false" outlineLevel="0" collapsed="false">
      <c r="A11" s="35" t="s">
        <v>108</v>
      </c>
      <c r="B11" s="36" t="n">
        <v>10200</v>
      </c>
      <c r="C11" s="37" t="n">
        <v>46217</v>
      </c>
      <c r="D11" s="35" t="s">
        <v>110</v>
      </c>
      <c r="E11" s="35"/>
      <c r="F11" s="38" t="n">
        <v>70951.84</v>
      </c>
      <c r="G11" s="38" t="n">
        <v>458723.93</v>
      </c>
      <c r="H11" s="37" t="n">
        <v>46217</v>
      </c>
      <c r="I11" s="35" t="s">
        <v>117</v>
      </c>
    </row>
    <row r="12" customFormat="false" ht="15" hidden="false" customHeight="false" outlineLevel="0" collapsed="false">
      <c r="A12" s="35" t="s">
        <v>108</v>
      </c>
      <c r="B12" s="36" t="n">
        <v>10200</v>
      </c>
      <c r="C12" s="37" t="n">
        <v>46217</v>
      </c>
      <c r="D12" s="35" t="s">
        <v>114</v>
      </c>
      <c r="E12" s="35"/>
      <c r="F12" s="38" t="n">
        <v>861816.37</v>
      </c>
      <c r="G12" s="38" t="n">
        <v>5105284.65</v>
      </c>
      <c r="H12" s="37" t="n">
        <v>46217</v>
      </c>
      <c r="I12" s="35" t="s">
        <v>118</v>
      </c>
    </row>
    <row r="13" customFormat="false" ht="15" hidden="false" customHeight="false" outlineLevel="0" collapsed="false">
      <c r="A13" s="35" t="s">
        <v>108</v>
      </c>
      <c r="B13" s="36" t="n">
        <v>10200</v>
      </c>
      <c r="C13" s="37" t="n">
        <v>46254</v>
      </c>
      <c r="D13" s="35" t="s">
        <v>119</v>
      </c>
      <c r="E13" s="38" t="n">
        <v>458723.93</v>
      </c>
      <c r="F13" s="38" t="n">
        <v>63000</v>
      </c>
      <c r="G13" s="38" t="n">
        <v>521723.93</v>
      </c>
      <c r="H13" s="37" t="n">
        <v>46254</v>
      </c>
      <c r="I13" s="35"/>
    </row>
    <row r="14" customFormat="false" ht="15" hidden="false" customHeight="false" outlineLevel="0" collapsed="false">
      <c r="A14" s="35" t="s">
        <v>108</v>
      </c>
      <c r="B14" s="36" t="n">
        <v>10200</v>
      </c>
      <c r="C14" s="37" t="n">
        <v>46254</v>
      </c>
      <c r="D14" s="35" t="s">
        <v>120</v>
      </c>
      <c r="E14" s="38" t="n">
        <v>5105284.65</v>
      </c>
      <c r="F14" s="38" t="n">
        <v>854100</v>
      </c>
      <c r="G14" s="38" t="n">
        <v>5959384.65</v>
      </c>
      <c r="H14" s="37" t="n">
        <v>46254</v>
      </c>
      <c r="I14" s="35"/>
    </row>
    <row r="15" customFormat="false" ht="15" hidden="false" customHeight="false" outlineLevel="0" collapsed="false">
      <c r="A15" s="35" t="s">
        <v>121</v>
      </c>
      <c r="B15" s="36" t="n">
        <v>8658</v>
      </c>
      <c r="C15" s="37" t="n">
        <v>46125</v>
      </c>
      <c r="D15" s="35" t="s">
        <v>122</v>
      </c>
      <c r="E15" s="38" t="n">
        <v>250000</v>
      </c>
      <c r="F15" s="38" t="n">
        <v>190000</v>
      </c>
      <c r="G15" s="35"/>
      <c r="H15" s="35"/>
      <c r="I15" s="35" t="s">
        <v>123</v>
      </c>
    </row>
    <row r="16" customFormat="false" ht="15" hidden="false" customHeight="false" outlineLevel="0" collapsed="false">
      <c r="A16" s="35" t="s">
        <v>121</v>
      </c>
      <c r="B16" s="36" t="n">
        <v>10798</v>
      </c>
      <c r="C16" s="37" t="n">
        <v>46168</v>
      </c>
      <c r="D16" s="35" t="s">
        <v>124</v>
      </c>
      <c r="E16" s="38" t="n">
        <v>1000000</v>
      </c>
      <c r="F16" s="38" t="n">
        <v>1600000</v>
      </c>
      <c r="G16" s="38" t="n">
        <v>1600000</v>
      </c>
      <c r="H16" s="37" t="n">
        <v>46168</v>
      </c>
      <c r="I16" s="35" t="s">
        <v>125</v>
      </c>
    </row>
    <row r="17" customFormat="false" ht="15" hidden="false" customHeight="false" outlineLevel="0" collapsed="false">
      <c r="A17" s="35" t="s">
        <v>121</v>
      </c>
      <c r="B17" s="36" t="n">
        <v>11172</v>
      </c>
      <c r="C17" s="37" t="n">
        <v>46168</v>
      </c>
      <c r="D17" s="35" t="s">
        <v>126</v>
      </c>
      <c r="E17" s="38" t="n">
        <v>1000000</v>
      </c>
      <c r="F17" s="38" t="n">
        <v>1600000</v>
      </c>
      <c r="G17" s="38" t="n">
        <v>1600000</v>
      </c>
      <c r="H17" s="37" t="n">
        <v>46168</v>
      </c>
      <c r="I17" s="35" t="s">
        <v>125</v>
      </c>
    </row>
    <row r="18" customFormat="false" ht="15" hidden="false" customHeight="false" outlineLevel="0" collapsed="false">
      <c r="A18" s="35" t="s">
        <v>127</v>
      </c>
      <c r="B18" s="36" t="n">
        <v>10138</v>
      </c>
      <c r="C18" s="37" t="n">
        <v>46072</v>
      </c>
      <c r="D18" s="35" t="s">
        <v>128</v>
      </c>
      <c r="E18" s="38" t="n">
        <v>248160.5</v>
      </c>
      <c r="F18" s="38" t="n">
        <v>50000</v>
      </c>
      <c r="G18" s="38" t="n">
        <v>298160.5</v>
      </c>
      <c r="H18" s="35"/>
      <c r="I18" s="35" t="s">
        <v>129</v>
      </c>
    </row>
    <row r="19" customFormat="false" ht="15" hidden="false" customHeight="false" outlineLevel="0" collapsed="false">
      <c r="A19" s="35" t="s">
        <v>127</v>
      </c>
      <c r="B19" s="36" t="n">
        <v>10138</v>
      </c>
      <c r="C19" s="37" t="n">
        <v>46072</v>
      </c>
      <c r="D19" s="35" t="s">
        <v>130</v>
      </c>
      <c r="E19" s="38" t="n">
        <v>72000</v>
      </c>
      <c r="F19" s="38" t="n">
        <v>0</v>
      </c>
      <c r="G19" s="38" t="n">
        <v>72000</v>
      </c>
      <c r="H19" s="35"/>
      <c r="I19" s="35" t="s">
        <v>131</v>
      </c>
    </row>
    <row r="20" customFormat="false" ht="15" hidden="false" customHeight="false" outlineLevel="0" collapsed="false">
      <c r="A20" s="35" t="s">
        <v>127</v>
      </c>
      <c r="B20" s="36" t="n">
        <v>10138</v>
      </c>
      <c r="C20" s="37" t="n">
        <v>46227</v>
      </c>
      <c r="D20" s="35" t="n">
        <v>2</v>
      </c>
      <c r="E20" s="35"/>
      <c r="F20" s="38" t="n">
        <v>70503.5</v>
      </c>
      <c r="G20" s="38" t="n">
        <v>368664</v>
      </c>
      <c r="H20" s="35"/>
      <c r="I20" s="35" t="s">
        <v>132</v>
      </c>
    </row>
    <row r="21" customFormat="false" ht="15" hidden="false" customHeight="false" outlineLevel="0" collapsed="false">
      <c r="A21" s="35" t="s">
        <v>127</v>
      </c>
      <c r="B21" s="36" t="n">
        <v>10138</v>
      </c>
      <c r="C21" s="37" t="n">
        <v>46227</v>
      </c>
      <c r="D21" s="35" t="n">
        <v>5</v>
      </c>
      <c r="E21" s="35" t="s">
        <v>133</v>
      </c>
      <c r="F21" s="38" t="n">
        <v>137791.5</v>
      </c>
      <c r="G21" s="38" t="n">
        <v>137791.5</v>
      </c>
      <c r="H21" s="35"/>
      <c r="I21" s="35" t="s">
        <v>134</v>
      </c>
    </row>
    <row r="22" customFormat="false" ht="15" hidden="false" customHeight="false" outlineLevel="0" collapsed="false">
      <c r="A22" s="35" t="s">
        <v>135</v>
      </c>
      <c r="B22" s="36" t="n">
        <v>10473</v>
      </c>
      <c r="C22" s="37" t="n">
        <v>46190</v>
      </c>
      <c r="D22" s="35" t="n">
        <v>1</v>
      </c>
      <c r="E22" s="38" t="n">
        <v>1300000</v>
      </c>
      <c r="F22" s="35" t="s">
        <v>136</v>
      </c>
      <c r="G22" s="38" t="n">
        <v>1468000</v>
      </c>
      <c r="H22" s="35"/>
      <c r="I22" s="35" t="s">
        <v>137</v>
      </c>
    </row>
    <row r="23" customFormat="false" ht="15" hidden="false" customHeight="false" outlineLevel="0" collapsed="false">
      <c r="A23" s="35" t="s">
        <v>135</v>
      </c>
      <c r="B23" s="36" t="n">
        <v>10473</v>
      </c>
      <c r="C23" s="37" t="n">
        <v>46220</v>
      </c>
      <c r="D23" s="35" t="n">
        <v>1</v>
      </c>
      <c r="E23" s="38" t="n">
        <v>1468000</v>
      </c>
      <c r="F23" s="38" t="n">
        <v>71000</v>
      </c>
      <c r="G23" s="38" t="n">
        <v>1539000</v>
      </c>
      <c r="H23" s="35"/>
      <c r="I23" s="35" t="s">
        <v>138</v>
      </c>
    </row>
    <row r="24" customFormat="false" ht="15" hidden="false" customHeight="false" outlineLevel="0" collapsed="false">
      <c r="A24" s="35" t="s">
        <v>135</v>
      </c>
      <c r="B24" s="36" t="n">
        <v>10473</v>
      </c>
      <c r="C24" s="37" t="n">
        <v>46244</v>
      </c>
      <c r="D24" s="35" t="s">
        <v>139</v>
      </c>
      <c r="E24" s="35"/>
      <c r="F24" s="35"/>
      <c r="G24" s="35"/>
      <c r="H24" s="35"/>
      <c r="I24" s="35" t="s">
        <v>140</v>
      </c>
    </row>
    <row r="25" customFormat="false" ht="15" hidden="false" customHeight="false" outlineLevel="0" collapsed="false">
      <c r="A25" s="35" t="s">
        <v>135</v>
      </c>
      <c r="B25" s="36" t="n">
        <v>10473</v>
      </c>
      <c r="C25" s="37" t="n">
        <v>46248</v>
      </c>
      <c r="D25" s="35" t="s">
        <v>141</v>
      </c>
      <c r="E25" s="38" t="n">
        <v>1539000</v>
      </c>
      <c r="F25" s="38" t="n">
        <v>63000</v>
      </c>
      <c r="G25" s="38" t="n">
        <v>1602000</v>
      </c>
      <c r="H25" s="35"/>
      <c r="I25" s="35" t="s">
        <v>142</v>
      </c>
    </row>
    <row r="26" customFormat="false" ht="15" hidden="false" customHeight="false" outlineLevel="0" collapsed="false">
      <c r="A26" s="35" t="s">
        <v>135</v>
      </c>
      <c r="B26" s="36" t="n">
        <v>10473</v>
      </c>
      <c r="C26" s="37" t="n">
        <v>46254</v>
      </c>
      <c r="D26" s="35" t="s">
        <v>143</v>
      </c>
      <c r="E26" s="38" t="n">
        <v>1602000</v>
      </c>
      <c r="F26" s="38" t="n">
        <v>374790</v>
      </c>
      <c r="G26" s="38" t="n">
        <v>1976790</v>
      </c>
      <c r="H26" s="35"/>
      <c r="I26" s="35"/>
    </row>
    <row r="27" customFormat="false" ht="15" hidden="false" customHeight="false" outlineLevel="0" collapsed="false">
      <c r="A27" s="35" t="s">
        <v>144</v>
      </c>
      <c r="B27" s="35" t="s">
        <v>145</v>
      </c>
      <c r="C27" s="35" t="s">
        <v>145</v>
      </c>
      <c r="D27" s="35" t="s">
        <v>133</v>
      </c>
      <c r="E27" s="35"/>
      <c r="F27" s="35"/>
      <c r="G27" s="35"/>
      <c r="H27" s="35"/>
      <c r="I27" s="35" t="s">
        <v>146</v>
      </c>
    </row>
    <row r="28" customFormat="false" ht="15" hidden="false" customHeight="false" outlineLevel="0" collapsed="false">
      <c r="A28" s="35" t="s">
        <v>147</v>
      </c>
      <c r="B28" s="36" t="n">
        <v>10782</v>
      </c>
      <c r="C28" s="37" t="n">
        <v>46210</v>
      </c>
      <c r="D28" s="35" t="s">
        <v>148</v>
      </c>
      <c r="E28" s="38" t="n">
        <v>288447</v>
      </c>
      <c r="F28" s="38" t="n">
        <v>271067.69</v>
      </c>
      <c r="G28" s="38" t="n">
        <v>559514.69</v>
      </c>
      <c r="H28" s="37" t="n">
        <v>46210</v>
      </c>
      <c r="I28" s="35" t="s">
        <v>149</v>
      </c>
    </row>
    <row r="29" customFormat="false" ht="15" hidden="false" customHeight="false" outlineLevel="0" collapsed="false">
      <c r="A29" s="35" t="s">
        <v>147</v>
      </c>
      <c r="B29" s="36" t="n">
        <v>10782</v>
      </c>
      <c r="C29" s="37" t="n">
        <v>46226</v>
      </c>
      <c r="D29" s="35" t="n">
        <v>1</v>
      </c>
      <c r="E29" s="38" t="n">
        <v>559514.69</v>
      </c>
      <c r="F29" s="38" t="n">
        <v>148112.5</v>
      </c>
      <c r="G29" s="38" t="n">
        <v>707626.94</v>
      </c>
      <c r="H29" s="35"/>
      <c r="I29" s="35" t="s">
        <v>150</v>
      </c>
    </row>
    <row r="30" customFormat="false" ht="15" hidden="false" customHeight="false" outlineLevel="0" collapsed="false">
      <c r="A30" s="35" t="s">
        <v>147</v>
      </c>
      <c r="B30" s="36" t="n">
        <v>10783</v>
      </c>
      <c r="C30" s="37" t="n">
        <v>46226</v>
      </c>
      <c r="D30" s="35" t="n">
        <v>1</v>
      </c>
      <c r="E30" s="38" t="n">
        <v>47625</v>
      </c>
      <c r="F30" s="38" t="n">
        <v>35181.25</v>
      </c>
      <c r="G30" s="38" t="n">
        <v>82806.25</v>
      </c>
      <c r="H30" s="35"/>
      <c r="I30" s="35" t="s">
        <v>151</v>
      </c>
    </row>
    <row r="31" customFormat="false" ht="15" hidden="false" customHeight="false" outlineLevel="0" collapsed="false">
      <c r="A31" s="35" t="s">
        <v>147</v>
      </c>
      <c r="B31" s="36" t="n">
        <v>10782</v>
      </c>
      <c r="C31" s="37" t="n">
        <v>46254</v>
      </c>
      <c r="D31" s="35" t="s">
        <v>152</v>
      </c>
      <c r="E31" s="38" t="n">
        <v>288447</v>
      </c>
      <c r="F31" s="38" t="n">
        <v>271067.69</v>
      </c>
      <c r="G31" s="38" t="n">
        <v>559514.69</v>
      </c>
      <c r="H31" s="35"/>
      <c r="I31" s="35" t="s">
        <v>153</v>
      </c>
    </row>
    <row r="32" customFormat="false" ht="15" hidden="false" customHeight="false" outlineLevel="0" collapsed="false">
      <c r="A32" s="35" t="s">
        <v>147</v>
      </c>
      <c r="B32" s="36" t="n">
        <v>10782</v>
      </c>
      <c r="C32" s="37" t="n">
        <v>46296</v>
      </c>
      <c r="D32" s="35" t="s">
        <v>154</v>
      </c>
      <c r="E32" s="38" t="n">
        <v>500000</v>
      </c>
      <c r="F32" s="38" t="n">
        <v>0</v>
      </c>
      <c r="G32" s="38" t="n">
        <v>0</v>
      </c>
      <c r="H32" s="35"/>
      <c r="I32" s="35" t="s">
        <v>153</v>
      </c>
    </row>
    <row r="33" customFormat="false" ht="15" hidden="false" customHeight="false" outlineLevel="0" collapsed="false">
      <c r="A33" s="35" t="s">
        <v>155</v>
      </c>
      <c r="B33" s="36" t="n">
        <v>12263</v>
      </c>
      <c r="C33" s="37" t="n">
        <v>46235</v>
      </c>
      <c r="D33" s="35" t="s">
        <v>156</v>
      </c>
      <c r="E33" s="38" t="n">
        <v>96000</v>
      </c>
      <c r="F33" s="38" t="n">
        <v>0</v>
      </c>
      <c r="G33" s="38" t="n">
        <v>96000</v>
      </c>
      <c r="H33" s="37" t="n">
        <v>46244</v>
      </c>
      <c r="I33" s="39" t="s">
        <v>157</v>
      </c>
    </row>
    <row r="34" customFormat="false" ht="15" hidden="false" customHeight="false" outlineLevel="0" collapsed="false">
      <c r="A34" s="35" t="s">
        <v>155</v>
      </c>
      <c r="B34" s="36" t="n">
        <v>12263</v>
      </c>
      <c r="C34" s="37" t="n">
        <v>46244</v>
      </c>
      <c r="D34" s="35" t="s">
        <v>158</v>
      </c>
      <c r="E34" s="38" t="n">
        <v>96000</v>
      </c>
      <c r="F34" s="35" t="s">
        <v>159</v>
      </c>
      <c r="G34" s="38" t="n">
        <v>96000</v>
      </c>
      <c r="H34" s="35"/>
      <c r="I34" s="35"/>
    </row>
    <row r="35" customFormat="false" ht="15" hidden="false" customHeight="false" outlineLevel="0" collapsed="false">
      <c r="A35" s="35" t="s">
        <v>160</v>
      </c>
      <c r="B35" s="36" t="n">
        <v>12088</v>
      </c>
      <c r="C35" s="37" t="n">
        <v>46188</v>
      </c>
      <c r="D35" s="35" t="s">
        <v>156</v>
      </c>
      <c r="E35" s="35"/>
      <c r="F35" s="35"/>
      <c r="G35" s="35"/>
      <c r="H35" s="35"/>
      <c r="I35" s="39" t="s">
        <v>161</v>
      </c>
    </row>
    <row r="36" customFormat="false" ht="15" hidden="false" customHeight="false" outlineLevel="0" collapsed="false">
      <c r="A36" s="35" t="s">
        <v>162</v>
      </c>
      <c r="B36" s="36" t="n">
        <v>12584</v>
      </c>
      <c r="C36" s="37" t="n">
        <v>46251</v>
      </c>
      <c r="D36" s="35" t="s">
        <v>156</v>
      </c>
      <c r="E36" s="38" t="n">
        <v>500000</v>
      </c>
      <c r="F36" s="38" t="n">
        <v>500000</v>
      </c>
      <c r="G36" s="38" t="n">
        <v>500000</v>
      </c>
      <c r="H36" s="35"/>
      <c r="I36" s="39" t="s">
        <v>163</v>
      </c>
    </row>
    <row r="37" customFormat="false" ht="15" hidden="false" customHeight="false" outlineLevel="0" collapsed="false">
      <c r="A37" s="35" t="s">
        <v>164</v>
      </c>
      <c r="B37" s="36" t="n">
        <v>11053</v>
      </c>
      <c r="C37" s="37" t="n">
        <v>46126</v>
      </c>
      <c r="D37" s="35" t="s">
        <v>165</v>
      </c>
      <c r="E37" s="38" t="n">
        <v>216000</v>
      </c>
      <c r="F37" s="38" t="n">
        <v>760000</v>
      </c>
      <c r="G37" s="35"/>
      <c r="H37" s="37" t="n">
        <v>46134</v>
      </c>
      <c r="I37" s="35" t="s">
        <v>166</v>
      </c>
    </row>
    <row r="38" customFormat="false" ht="15" hidden="false" customHeight="false" outlineLevel="0" collapsed="false">
      <c r="A38" s="35" t="s">
        <v>164</v>
      </c>
      <c r="B38" s="36" t="n">
        <v>11631</v>
      </c>
      <c r="C38" s="37" t="n">
        <v>46254</v>
      </c>
      <c r="D38" s="35" t="s">
        <v>167</v>
      </c>
      <c r="E38" s="38" t="n">
        <v>135960</v>
      </c>
      <c r="F38" s="38" t="n">
        <v>132000</v>
      </c>
      <c r="G38" s="38" t="n">
        <v>267960</v>
      </c>
      <c r="H38" s="37" t="n">
        <v>46254</v>
      </c>
      <c r="I38" s="35"/>
    </row>
  </sheetData>
  <autoFilter ref="A1:I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5" min="3" style="0" width="15"/>
    <col collapsed="false" customWidth="true" hidden="false" outlineLevel="0" max="16" min="16" style="0" width="30"/>
    <col collapsed="false" customWidth="true" hidden="false" outlineLevel="0" max="18" min="17" style="0" width="15"/>
  </cols>
  <sheetData>
    <row r="1" customFormat="false" ht="15" hidden="false" customHeight="false" outlineLevel="0" collapsed="false">
      <c r="A1" s="16" t="s">
        <v>55</v>
      </c>
      <c r="B1" s="16" t="s">
        <v>57</v>
      </c>
      <c r="C1" s="16" t="s">
        <v>58</v>
      </c>
      <c r="D1" s="16" t="s">
        <v>59</v>
      </c>
      <c r="E1" s="16" t="s">
        <v>168</v>
      </c>
      <c r="F1" s="16" t="s">
        <v>169</v>
      </c>
      <c r="G1" s="16" t="s">
        <v>170</v>
      </c>
      <c r="H1" s="16" t="s">
        <v>171</v>
      </c>
      <c r="I1" s="16" t="s">
        <v>172</v>
      </c>
      <c r="J1" s="16" t="s">
        <v>173</v>
      </c>
      <c r="K1" s="16" t="s">
        <v>174</v>
      </c>
      <c r="L1" s="16" t="s">
        <v>175</v>
      </c>
      <c r="M1" s="16" t="s">
        <v>176</v>
      </c>
      <c r="N1" s="16" t="s">
        <v>177</v>
      </c>
      <c r="O1" s="16" t="s">
        <v>178</v>
      </c>
      <c r="P1" s="16" t="s">
        <v>179</v>
      </c>
      <c r="Q1" s="16" t="s">
        <v>180</v>
      </c>
      <c r="R1" s="16" t="s">
        <v>181</v>
      </c>
    </row>
    <row r="2" customFormat="false" ht="15" hidden="false" customHeight="false" outlineLevel="0" collapsed="false">
      <c r="A2" s="35" t="s">
        <v>182</v>
      </c>
      <c r="B2" s="35" t="s">
        <v>183</v>
      </c>
      <c r="C2" s="35" t="s">
        <v>184</v>
      </c>
      <c r="D2" s="35" t="s">
        <v>185</v>
      </c>
      <c r="E2" s="36" t="n">
        <v>74708</v>
      </c>
      <c r="F2" s="36" t="n">
        <v>10118</v>
      </c>
      <c r="G2" s="37" t="n">
        <v>46053</v>
      </c>
      <c r="H2" s="35" t="n">
        <v>1263</v>
      </c>
      <c r="I2" s="35" t="s">
        <v>186</v>
      </c>
      <c r="J2" s="36" t="n">
        <v>2026</v>
      </c>
      <c r="K2" s="38" t="n">
        <v>76027.46</v>
      </c>
      <c r="L2" s="37" t="n">
        <v>46113</v>
      </c>
      <c r="M2" s="35" t="s">
        <v>187</v>
      </c>
      <c r="N2" s="35"/>
      <c r="O2" s="35" t="s">
        <v>188</v>
      </c>
      <c r="P2" s="35" t="s">
        <v>189</v>
      </c>
      <c r="Q2" s="37" t="n">
        <v>46129</v>
      </c>
      <c r="R2" s="35" t="s">
        <v>190</v>
      </c>
    </row>
    <row r="3" customFormat="false" ht="15" hidden="false" customHeight="false" outlineLevel="0" collapsed="false">
      <c r="A3" s="35" t="s">
        <v>108</v>
      </c>
      <c r="B3" s="35" t="s">
        <v>119</v>
      </c>
      <c r="C3" s="35" t="s">
        <v>184</v>
      </c>
      <c r="D3" s="35" t="s">
        <v>185</v>
      </c>
      <c r="E3" s="36" t="n">
        <v>75456</v>
      </c>
      <c r="F3" s="36" t="n">
        <v>10200</v>
      </c>
      <c r="G3" s="37" t="n">
        <v>46084</v>
      </c>
      <c r="H3" s="35" t="n">
        <v>14234</v>
      </c>
      <c r="I3" s="35" t="s">
        <v>191</v>
      </c>
      <c r="J3" s="36" t="n">
        <v>2026</v>
      </c>
      <c r="K3" s="38" t="n">
        <v>49511.38</v>
      </c>
      <c r="L3" s="37" t="n">
        <v>46113</v>
      </c>
      <c r="M3" s="35" t="n">
        <v>0.109</v>
      </c>
      <c r="N3" s="35"/>
      <c r="O3" s="35" t="s">
        <v>188</v>
      </c>
      <c r="P3" s="35"/>
      <c r="Q3" s="35"/>
      <c r="R3" s="35"/>
    </row>
    <row r="4" customFormat="false" ht="15" hidden="false" customHeight="false" outlineLevel="0" collapsed="false">
      <c r="A4" s="35" t="s">
        <v>147</v>
      </c>
      <c r="B4" s="35" t="s">
        <v>192</v>
      </c>
      <c r="C4" s="35" t="s">
        <v>193</v>
      </c>
      <c r="D4" s="35" t="n">
        <v>0</v>
      </c>
      <c r="E4" s="36" t="n">
        <v>22104</v>
      </c>
      <c r="F4" s="36" t="n">
        <v>10783</v>
      </c>
      <c r="G4" s="37" t="n">
        <v>46093</v>
      </c>
      <c r="H4" s="35" t="n">
        <v>100103593</v>
      </c>
      <c r="I4" s="35" t="s">
        <v>191</v>
      </c>
      <c r="J4" s="36" t="n">
        <v>2026</v>
      </c>
      <c r="K4" s="38" t="n">
        <v>34125</v>
      </c>
      <c r="L4" s="37" t="n">
        <v>46113</v>
      </c>
      <c r="M4" s="35" t="n">
        <v>34125</v>
      </c>
      <c r="N4" s="35"/>
      <c r="O4" s="35" t="s">
        <v>188</v>
      </c>
      <c r="P4" s="35"/>
      <c r="Q4" s="37" t="n">
        <v>46127</v>
      </c>
      <c r="R4" s="35"/>
    </row>
    <row r="5" customFormat="false" ht="15" hidden="false" customHeight="false" outlineLevel="0" collapsed="false">
      <c r="A5" s="35" t="s">
        <v>194</v>
      </c>
      <c r="B5" s="35" t="s">
        <v>195</v>
      </c>
      <c r="C5" s="35" t="s">
        <v>184</v>
      </c>
      <c r="D5" s="35" t="s">
        <v>196</v>
      </c>
      <c r="E5" s="36" t="n">
        <v>33913</v>
      </c>
      <c r="F5" s="36" t="n">
        <v>10410</v>
      </c>
      <c r="G5" s="37" t="n">
        <v>46107</v>
      </c>
      <c r="H5" s="35" t="s">
        <v>197</v>
      </c>
      <c r="I5" s="35" t="s">
        <v>198</v>
      </c>
      <c r="J5" s="36" t="n">
        <v>2026</v>
      </c>
      <c r="K5" s="38" t="n">
        <v>18631.9</v>
      </c>
      <c r="L5" s="37" t="n">
        <v>46113</v>
      </c>
      <c r="M5" s="35" t="n">
        <v>0.22</v>
      </c>
      <c r="N5" s="35" t="n">
        <v>0.22</v>
      </c>
      <c r="O5" s="35" t="s">
        <v>188</v>
      </c>
      <c r="P5" s="35"/>
      <c r="Q5" s="35"/>
      <c r="R5" s="35"/>
    </row>
    <row r="6" customFormat="false" ht="15" hidden="false" customHeight="false" outlineLevel="0" collapsed="false">
      <c r="A6" s="35" t="s">
        <v>194</v>
      </c>
      <c r="B6" s="35" t="s">
        <v>199</v>
      </c>
      <c r="C6" s="35" t="s">
        <v>184</v>
      </c>
      <c r="D6" s="35" t="s">
        <v>196</v>
      </c>
      <c r="E6" s="36" t="n">
        <v>33913</v>
      </c>
      <c r="F6" s="36" t="n">
        <v>7896</v>
      </c>
      <c r="G6" s="37" t="n">
        <v>46107</v>
      </c>
      <c r="H6" s="35" t="s">
        <v>200</v>
      </c>
      <c r="I6" s="35" t="s">
        <v>198</v>
      </c>
      <c r="J6" s="36" t="n">
        <v>2026</v>
      </c>
      <c r="K6" s="38" t="n">
        <v>42</v>
      </c>
      <c r="L6" s="37" t="n">
        <v>46113</v>
      </c>
      <c r="M6" s="35" t="s">
        <v>201</v>
      </c>
      <c r="N6" s="35" t="s">
        <v>202</v>
      </c>
      <c r="O6" s="35" t="s">
        <v>188</v>
      </c>
      <c r="P6" s="35"/>
      <c r="Q6" s="35"/>
      <c r="R6" s="35"/>
    </row>
    <row r="7" customFormat="false" ht="15" hidden="false" customHeight="false" outlineLevel="0" collapsed="false">
      <c r="A7" s="35" t="s">
        <v>194</v>
      </c>
      <c r="B7" s="35" t="s">
        <v>203</v>
      </c>
      <c r="C7" s="35" t="s">
        <v>184</v>
      </c>
      <c r="D7" s="35" t="s">
        <v>196</v>
      </c>
      <c r="E7" s="36" t="n">
        <v>33913</v>
      </c>
      <c r="F7" s="36" t="n">
        <v>7893</v>
      </c>
      <c r="G7" s="37" t="n">
        <v>46107</v>
      </c>
      <c r="H7" s="35" t="s">
        <v>204</v>
      </c>
      <c r="I7" s="35" t="s">
        <v>198</v>
      </c>
      <c r="J7" s="36" t="n">
        <v>2026</v>
      </c>
      <c r="K7" s="38" t="n">
        <v>31.25</v>
      </c>
      <c r="L7" s="37" t="n">
        <v>46113</v>
      </c>
      <c r="M7" s="35" t="n">
        <v>0.22</v>
      </c>
      <c r="N7" s="35" t="n">
        <v>0.25</v>
      </c>
      <c r="O7" s="35" t="s">
        <v>205</v>
      </c>
      <c r="P7" s="35"/>
      <c r="Q7" s="35"/>
      <c r="R7" s="35"/>
    </row>
    <row r="8" customFormat="false" ht="15" hidden="false" customHeight="false" outlineLevel="0" collapsed="false">
      <c r="A8" s="35" t="s">
        <v>194</v>
      </c>
      <c r="B8" s="35" t="s">
        <v>206</v>
      </c>
      <c r="C8" s="35" t="s">
        <v>184</v>
      </c>
      <c r="D8" s="35" t="s">
        <v>196</v>
      </c>
      <c r="E8" s="36" t="n">
        <v>33913</v>
      </c>
      <c r="F8" s="36" t="n">
        <v>10407</v>
      </c>
      <c r="G8" s="37" t="n">
        <v>46108</v>
      </c>
      <c r="H8" s="35" t="s">
        <v>207</v>
      </c>
      <c r="I8" s="35" t="s">
        <v>198</v>
      </c>
      <c r="J8" s="36" t="n">
        <v>2026</v>
      </c>
      <c r="K8" s="38" t="n">
        <v>47338.49</v>
      </c>
      <c r="L8" s="37" t="n">
        <v>46113</v>
      </c>
      <c r="M8" s="35" t="n">
        <v>0.04</v>
      </c>
      <c r="N8" s="35" t="n">
        <v>0.04</v>
      </c>
      <c r="O8" s="35" t="s">
        <v>188</v>
      </c>
      <c r="P8" s="35"/>
      <c r="Q8" s="35"/>
      <c r="R8" s="35" t="s">
        <v>208</v>
      </c>
    </row>
    <row r="9" customFormat="false" ht="15" hidden="false" customHeight="false" outlineLevel="0" collapsed="false">
      <c r="A9" s="35" t="s">
        <v>135</v>
      </c>
      <c r="B9" s="35" t="s">
        <v>209</v>
      </c>
      <c r="C9" s="35" t="s">
        <v>184</v>
      </c>
      <c r="D9" s="35" t="s">
        <v>210</v>
      </c>
      <c r="E9" s="36" t="n">
        <v>32522</v>
      </c>
      <c r="F9" s="36" t="n">
        <v>10473</v>
      </c>
      <c r="G9" s="37" t="n">
        <v>46112</v>
      </c>
      <c r="H9" s="35" t="s">
        <v>211</v>
      </c>
      <c r="I9" s="35" t="s">
        <v>198</v>
      </c>
      <c r="J9" s="36" t="n">
        <v>2026</v>
      </c>
      <c r="K9" s="38" t="n">
        <v>164395.9</v>
      </c>
      <c r="L9" s="37" t="n">
        <v>46113</v>
      </c>
      <c r="M9" s="35" t="s">
        <v>187</v>
      </c>
      <c r="N9" s="35"/>
      <c r="O9" s="35" t="s">
        <v>188</v>
      </c>
      <c r="P9" s="35"/>
      <c r="Q9" s="37" t="n">
        <v>46127</v>
      </c>
      <c r="R9" s="35"/>
    </row>
    <row r="10" customFormat="false" ht="15" hidden="false" customHeight="false" outlineLevel="0" collapsed="false">
      <c r="A10" s="35" t="s">
        <v>144</v>
      </c>
      <c r="B10" s="35" t="s">
        <v>212</v>
      </c>
      <c r="C10" s="35" t="s">
        <v>213</v>
      </c>
      <c r="D10" s="35" t="s">
        <v>214</v>
      </c>
      <c r="E10" s="36" t="n">
        <v>60823</v>
      </c>
      <c r="F10" s="36" t="n">
        <v>10406</v>
      </c>
      <c r="G10" s="37" t="n">
        <v>46112</v>
      </c>
      <c r="H10" s="35" t="s">
        <v>215</v>
      </c>
      <c r="I10" s="35" t="s">
        <v>198</v>
      </c>
      <c r="J10" s="36" t="n">
        <v>2026</v>
      </c>
      <c r="K10" s="38" t="n">
        <v>276.71</v>
      </c>
      <c r="L10" s="37" t="n">
        <v>46113</v>
      </c>
      <c r="M10" s="35" t="s">
        <v>187</v>
      </c>
      <c r="N10" s="35"/>
      <c r="O10" s="35" t="s">
        <v>188</v>
      </c>
      <c r="P10" s="35"/>
      <c r="Q10" s="37" t="n">
        <v>46129</v>
      </c>
      <c r="R10" s="35"/>
    </row>
    <row r="11" customFormat="false" ht="15" hidden="false" customHeight="false" outlineLevel="0" collapsed="false">
      <c r="A11" s="35" t="s">
        <v>216</v>
      </c>
      <c r="B11" s="35" t="s">
        <v>217</v>
      </c>
      <c r="C11" s="35" t="s">
        <v>184</v>
      </c>
      <c r="D11" s="35" t="s">
        <v>218</v>
      </c>
      <c r="E11" s="36" t="n">
        <v>61153</v>
      </c>
      <c r="F11" s="36" t="n">
        <v>0</v>
      </c>
      <c r="G11" s="37" t="n">
        <v>46112</v>
      </c>
      <c r="H11" s="35" t="n">
        <v>209929</v>
      </c>
      <c r="I11" s="35" t="s">
        <v>198</v>
      </c>
      <c r="J11" s="36" t="n">
        <v>2026</v>
      </c>
      <c r="K11" s="38" t="n">
        <v>4840</v>
      </c>
      <c r="L11" s="37" t="n">
        <v>46113</v>
      </c>
      <c r="M11" s="35" t="n">
        <v>4840</v>
      </c>
      <c r="N11" s="35"/>
      <c r="O11" s="35" t="s">
        <v>188</v>
      </c>
      <c r="P11" s="35"/>
      <c r="Q11" s="37" t="n">
        <v>46129</v>
      </c>
      <c r="R11" s="35"/>
    </row>
    <row r="12" customFormat="false" ht="15" hidden="false" customHeight="false" outlineLevel="0" collapsed="false">
      <c r="A12" s="35" t="s">
        <v>219</v>
      </c>
      <c r="B12" s="35" t="s">
        <v>220</v>
      </c>
      <c r="C12" s="35" t="s">
        <v>184</v>
      </c>
      <c r="D12" s="35" t="s">
        <v>196</v>
      </c>
      <c r="E12" s="36" t="n">
        <v>40169</v>
      </c>
      <c r="F12" s="36" t="n">
        <v>10415</v>
      </c>
      <c r="G12" s="37" t="n">
        <v>46112</v>
      </c>
      <c r="H12" s="35" t="s">
        <v>221</v>
      </c>
      <c r="I12" s="35" t="s">
        <v>198</v>
      </c>
      <c r="J12" s="36" t="n">
        <v>2026</v>
      </c>
      <c r="K12" s="38" t="n">
        <v>21148.49</v>
      </c>
      <c r="L12" s="37" t="n">
        <v>46113</v>
      </c>
      <c r="M12" s="35" t="n">
        <v>0.12</v>
      </c>
      <c r="N12" s="35" t="n">
        <v>0.12</v>
      </c>
      <c r="O12" s="35" t="s">
        <v>188</v>
      </c>
      <c r="P12" s="35"/>
      <c r="Q12" s="35"/>
      <c r="R12" s="35" t="s">
        <v>222</v>
      </c>
    </row>
    <row r="13" customFormat="false" ht="15" hidden="false" customHeight="false" outlineLevel="0" collapsed="false">
      <c r="A13" s="35" t="s">
        <v>219</v>
      </c>
      <c r="B13" s="35" t="s">
        <v>206</v>
      </c>
      <c r="C13" s="35" t="s">
        <v>184</v>
      </c>
      <c r="D13" s="35" t="s">
        <v>196</v>
      </c>
      <c r="E13" s="36" t="n">
        <v>40169</v>
      </c>
      <c r="F13" s="36" t="n">
        <v>10417</v>
      </c>
      <c r="G13" s="37" t="n">
        <v>46112</v>
      </c>
      <c r="H13" s="35" t="n">
        <v>13611</v>
      </c>
      <c r="I13" s="35" t="s">
        <v>198</v>
      </c>
      <c r="J13" s="36" t="n">
        <v>2026</v>
      </c>
      <c r="K13" s="38" t="n">
        <v>39629.41</v>
      </c>
      <c r="L13" s="37" t="n">
        <v>46113</v>
      </c>
      <c r="M13" s="35" t="n">
        <v>0.0375</v>
      </c>
      <c r="N13" s="35" t="n">
        <v>0.0375</v>
      </c>
      <c r="O13" s="35" t="s">
        <v>188</v>
      </c>
      <c r="P13" s="35"/>
      <c r="Q13" s="35"/>
      <c r="R13" s="35"/>
    </row>
    <row r="14" customFormat="false" ht="15" hidden="false" customHeight="false" outlineLevel="0" collapsed="false">
      <c r="A14" s="35" t="s">
        <v>219</v>
      </c>
      <c r="B14" s="35" t="s">
        <v>206</v>
      </c>
      <c r="C14" s="35" t="s">
        <v>184</v>
      </c>
      <c r="D14" s="35" t="s">
        <v>196</v>
      </c>
      <c r="E14" s="36" t="n">
        <v>40169</v>
      </c>
      <c r="F14" s="36" t="n">
        <v>10417</v>
      </c>
      <c r="G14" s="37" t="n">
        <v>46112</v>
      </c>
      <c r="H14" s="35" t="n">
        <v>13644</v>
      </c>
      <c r="I14" s="35" t="s">
        <v>198</v>
      </c>
      <c r="J14" s="36" t="n">
        <v>2026</v>
      </c>
      <c r="K14" s="38" t="n">
        <v>3584.83</v>
      </c>
      <c r="L14" s="37" t="n">
        <v>46113</v>
      </c>
      <c r="M14" s="35" t="n">
        <v>0.0375</v>
      </c>
      <c r="N14" s="35" t="n">
        <v>0.0375</v>
      </c>
      <c r="O14" s="35" t="s">
        <v>188</v>
      </c>
      <c r="P14" s="35"/>
      <c r="Q14" s="37" t="n">
        <v>46132</v>
      </c>
      <c r="R14" s="35"/>
    </row>
    <row r="15" customFormat="false" ht="15" hidden="false" customHeight="false" outlineLevel="0" collapsed="false">
      <c r="A15" s="35" t="s">
        <v>219</v>
      </c>
      <c r="B15" s="35" t="s">
        <v>223</v>
      </c>
      <c r="C15" s="35" t="s">
        <v>184</v>
      </c>
      <c r="D15" s="35" t="s">
        <v>196</v>
      </c>
      <c r="E15" s="36" t="n">
        <v>40169</v>
      </c>
      <c r="F15" s="36" t="n">
        <v>10417</v>
      </c>
      <c r="G15" s="37" t="n">
        <v>46112</v>
      </c>
      <c r="H15" s="35" t="n">
        <v>13643</v>
      </c>
      <c r="I15" s="35" t="s">
        <v>198</v>
      </c>
      <c r="J15" s="36" t="n">
        <v>2026</v>
      </c>
      <c r="K15" s="38" t="n">
        <v>12320</v>
      </c>
      <c r="L15" s="37" t="n">
        <v>46113</v>
      </c>
      <c r="M15" s="35" t="s">
        <v>224</v>
      </c>
      <c r="N15" s="35" t="n">
        <v>35</v>
      </c>
      <c r="O15" s="35" t="s">
        <v>188</v>
      </c>
      <c r="P15" s="35" t="s">
        <v>225</v>
      </c>
      <c r="Q15" s="37" t="n">
        <v>46132</v>
      </c>
      <c r="R15" s="35"/>
    </row>
    <row r="16" customFormat="false" ht="15" hidden="false" customHeight="false" outlineLevel="0" collapsed="false">
      <c r="A16" s="35" t="s">
        <v>121</v>
      </c>
      <c r="B16" s="35" t="s">
        <v>226</v>
      </c>
      <c r="C16" s="35" t="s">
        <v>213</v>
      </c>
      <c r="D16" s="35" t="s">
        <v>227</v>
      </c>
      <c r="E16" s="36" t="n">
        <v>45857</v>
      </c>
      <c r="F16" s="36" t="n">
        <v>8658</v>
      </c>
      <c r="G16" s="37" t="n">
        <v>46113</v>
      </c>
      <c r="H16" s="35" t="n">
        <v>6012000</v>
      </c>
      <c r="I16" s="35" t="s">
        <v>198</v>
      </c>
      <c r="J16" s="36" t="n">
        <v>2026</v>
      </c>
      <c r="K16" s="38" t="n">
        <v>1929.26</v>
      </c>
      <c r="L16" s="37" t="n">
        <v>46113</v>
      </c>
      <c r="M16" s="35" t="n">
        <v>0.26</v>
      </c>
      <c r="N16" s="35" t="n">
        <v>26</v>
      </c>
      <c r="O16" s="35" t="s">
        <v>188</v>
      </c>
      <c r="P16" s="35"/>
      <c r="Q16" s="35"/>
      <c r="R16" s="35"/>
    </row>
    <row r="17" customFormat="false" ht="15" hidden="false" customHeight="false" outlineLevel="0" collapsed="false">
      <c r="A17" s="35" t="s">
        <v>127</v>
      </c>
      <c r="B17" s="35" t="s">
        <v>228</v>
      </c>
      <c r="C17" s="35" t="s">
        <v>229</v>
      </c>
      <c r="D17" s="35" t="s">
        <v>210</v>
      </c>
      <c r="E17" s="36" t="n">
        <v>69911</v>
      </c>
      <c r="F17" s="36" t="n">
        <v>10138</v>
      </c>
      <c r="G17" s="37" t="n">
        <v>46113</v>
      </c>
      <c r="H17" s="35" t="n">
        <v>415</v>
      </c>
      <c r="I17" s="35" t="s">
        <v>230</v>
      </c>
      <c r="J17" s="36" t="n">
        <v>2026</v>
      </c>
      <c r="K17" s="38" t="n">
        <v>24184.5</v>
      </c>
      <c r="L17" s="37" t="n">
        <v>46113</v>
      </c>
      <c r="M17" s="35" t="n">
        <v>19684.5</v>
      </c>
      <c r="N17" s="35"/>
      <c r="O17" s="35" t="s">
        <v>188</v>
      </c>
      <c r="P17" s="35" t="s">
        <v>231</v>
      </c>
      <c r="Q17" s="37" t="n">
        <v>46127</v>
      </c>
      <c r="R17" s="35"/>
    </row>
    <row r="18" customFormat="false" ht="15" hidden="false" customHeight="false" outlineLevel="0" collapsed="false">
      <c r="A18" s="35" t="s">
        <v>232</v>
      </c>
      <c r="B18" s="35" t="s">
        <v>228</v>
      </c>
      <c r="C18" s="35" t="s">
        <v>210</v>
      </c>
      <c r="D18" s="35" t="n">
        <v>0</v>
      </c>
      <c r="E18" s="36" t="n">
        <v>69740</v>
      </c>
      <c r="F18" s="36" t="n">
        <v>8438</v>
      </c>
      <c r="G18" s="37" t="n">
        <v>46113</v>
      </c>
      <c r="H18" s="35" t="n">
        <v>7844</v>
      </c>
      <c r="I18" s="35" t="s">
        <v>230</v>
      </c>
      <c r="J18" s="36" t="n">
        <v>2026</v>
      </c>
      <c r="K18" s="38" t="n">
        <v>43775</v>
      </c>
      <c r="L18" s="37" t="n">
        <v>46113</v>
      </c>
      <c r="M18" s="35" t="n">
        <v>43775</v>
      </c>
      <c r="N18" s="35"/>
      <c r="O18" s="35" t="s">
        <v>188</v>
      </c>
      <c r="P18" s="35"/>
      <c r="Q18" s="35"/>
      <c r="R18" s="35"/>
    </row>
    <row r="19" customFormat="false" ht="15" hidden="false" customHeight="false" outlineLevel="0" collapsed="false">
      <c r="A19" s="35" t="s">
        <v>233</v>
      </c>
      <c r="B19" s="35" t="s">
        <v>234</v>
      </c>
      <c r="C19" s="35" t="s">
        <v>184</v>
      </c>
      <c r="D19" s="35" t="s">
        <v>196</v>
      </c>
      <c r="E19" s="36" t="n">
        <v>57104</v>
      </c>
      <c r="F19" s="36" t="n">
        <v>7910</v>
      </c>
      <c r="G19" s="37" t="n">
        <v>46113</v>
      </c>
      <c r="H19" s="35" t="n">
        <v>4202600560</v>
      </c>
      <c r="I19" s="35" t="s">
        <v>198</v>
      </c>
      <c r="J19" s="36" t="n">
        <v>2026</v>
      </c>
      <c r="K19" s="38" t="n">
        <v>3257.66</v>
      </c>
      <c r="L19" s="37" t="n">
        <v>46113</v>
      </c>
      <c r="M19" s="35" t="s">
        <v>187</v>
      </c>
      <c r="N19" s="35"/>
      <c r="O19" s="35" t="s">
        <v>188</v>
      </c>
      <c r="P19" s="35"/>
      <c r="Q19" s="37" t="n">
        <v>46127</v>
      </c>
      <c r="R19" s="35"/>
    </row>
    <row r="20" customFormat="false" ht="15" hidden="false" customHeight="false" outlineLevel="0" collapsed="false">
      <c r="A20" s="35" t="s">
        <v>121</v>
      </c>
      <c r="B20" s="35" t="s">
        <v>235</v>
      </c>
      <c r="C20" s="35" t="s">
        <v>213</v>
      </c>
      <c r="D20" s="35" t="s">
        <v>227</v>
      </c>
      <c r="E20" s="36" t="n">
        <v>45857</v>
      </c>
      <c r="F20" s="36" t="n">
        <v>8659</v>
      </c>
      <c r="G20" s="37" t="n">
        <v>46113</v>
      </c>
      <c r="H20" s="35" t="n">
        <v>4011006</v>
      </c>
      <c r="I20" s="35" t="s">
        <v>198</v>
      </c>
      <c r="J20" s="36" t="n">
        <v>2026</v>
      </c>
      <c r="K20" s="38" t="n">
        <v>17212.06</v>
      </c>
      <c r="L20" s="37" t="n">
        <v>46113</v>
      </c>
      <c r="M20" s="35" t="n">
        <v>0.24</v>
      </c>
      <c r="N20" s="35" t="n">
        <v>0.24</v>
      </c>
      <c r="O20" s="35" t="s">
        <v>188</v>
      </c>
      <c r="P20" s="35"/>
      <c r="Q20" s="37" t="n">
        <v>46127</v>
      </c>
      <c r="R20" s="35"/>
    </row>
    <row r="21" customFormat="false" ht="15" hidden="false" customHeight="false" outlineLevel="0" collapsed="false">
      <c r="A21" s="35" t="s">
        <v>121</v>
      </c>
      <c r="B21" s="35" t="s">
        <v>226</v>
      </c>
      <c r="C21" s="35" t="s">
        <v>213</v>
      </c>
      <c r="D21" s="35" t="s">
        <v>227</v>
      </c>
      <c r="E21" s="36" t="n">
        <v>45857</v>
      </c>
      <c r="F21" s="36" t="n">
        <v>8658</v>
      </c>
      <c r="G21" s="37" t="n">
        <v>46113</v>
      </c>
      <c r="H21" s="35" t="n">
        <v>5014001</v>
      </c>
      <c r="I21" s="35" t="s">
        <v>198</v>
      </c>
      <c r="J21" s="36" t="n">
        <v>2026</v>
      </c>
      <c r="K21" s="38" t="n">
        <v>29483.38</v>
      </c>
      <c r="L21" s="37" t="n">
        <v>46113</v>
      </c>
      <c r="M21" s="35" t="n">
        <v>0.26</v>
      </c>
      <c r="N21" s="35" t="n">
        <v>0.26</v>
      </c>
      <c r="O21" s="35" t="s">
        <v>188</v>
      </c>
      <c r="P21" s="35"/>
      <c r="Q21" s="37" t="n">
        <v>46135</v>
      </c>
      <c r="R21" s="35"/>
    </row>
    <row r="22" customFormat="false" ht="15" hidden="false" customHeight="false" outlineLevel="0" collapsed="false">
      <c r="A22" s="35" t="s">
        <v>194</v>
      </c>
      <c r="B22" s="35" t="s">
        <v>199</v>
      </c>
      <c r="C22" s="35" t="s">
        <v>184</v>
      </c>
      <c r="D22" s="35" t="s">
        <v>196</v>
      </c>
      <c r="E22" s="36" t="n">
        <v>33913</v>
      </c>
      <c r="F22" s="36" t="n">
        <v>7896</v>
      </c>
      <c r="G22" s="37" t="n">
        <v>46114</v>
      </c>
      <c r="H22" s="35" t="s">
        <v>236</v>
      </c>
      <c r="I22" s="35" t="s">
        <v>198</v>
      </c>
      <c r="J22" s="36" t="n">
        <v>2026</v>
      </c>
      <c r="K22" s="38" t="n">
        <v>12.5</v>
      </c>
      <c r="L22" s="37" t="n">
        <v>46113</v>
      </c>
      <c r="M22" s="35" t="s">
        <v>201</v>
      </c>
      <c r="N22" s="35" t="n">
        <v>0.25</v>
      </c>
      <c r="O22" s="35" t="s">
        <v>188</v>
      </c>
      <c r="P22" s="35"/>
      <c r="Q22" s="37" t="n">
        <v>46132</v>
      </c>
      <c r="R22" s="35"/>
    </row>
    <row r="23" customFormat="false" ht="15" hidden="false" customHeight="false" outlineLevel="0" collapsed="false">
      <c r="A23" s="35" t="s">
        <v>237</v>
      </c>
      <c r="B23" s="35" t="s">
        <v>238</v>
      </c>
      <c r="C23" s="35" t="s">
        <v>184</v>
      </c>
      <c r="D23" s="35" t="s">
        <v>185</v>
      </c>
      <c r="E23" s="36" t="n">
        <v>44467</v>
      </c>
      <c r="F23" s="36" t="n">
        <v>10824</v>
      </c>
      <c r="G23" s="37" t="n">
        <v>46114</v>
      </c>
      <c r="H23" s="35" t="s">
        <v>239</v>
      </c>
      <c r="I23" s="35" t="s">
        <v>198</v>
      </c>
      <c r="J23" s="36" t="n">
        <v>2026</v>
      </c>
      <c r="K23" s="38" t="n">
        <v>108938.8</v>
      </c>
      <c r="L23" s="37" t="n">
        <v>46113</v>
      </c>
      <c r="M23" s="35" t="n">
        <v>0.05</v>
      </c>
      <c r="N23" s="35" t="n">
        <v>0.05</v>
      </c>
      <c r="O23" s="35" t="s">
        <v>188</v>
      </c>
      <c r="P23" s="35"/>
      <c r="Q23" s="35"/>
      <c r="R23" s="35"/>
    </row>
    <row r="24" customFormat="false" ht="15" hidden="false" customHeight="false" outlineLevel="0" collapsed="false">
      <c r="A24" s="35" t="s">
        <v>194</v>
      </c>
      <c r="B24" s="35" t="s">
        <v>240</v>
      </c>
      <c r="C24" s="35" t="s">
        <v>184</v>
      </c>
      <c r="D24" s="35" t="s">
        <v>196</v>
      </c>
      <c r="E24" s="36" t="n">
        <v>33913</v>
      </c>
      <c r="F24" s="36" t="n">
        <v>7892</v>
      </c>
      <c r="G24" s="37" t="n">
        <v>46114</v>
      </c>
      <c r="H24" s="35" t="s">
        <v>241</v>
      </c>
      <c r="I24" s="35" t="s">
        <v>198</v>
      </c>
      <c r="J24" s="36" t="n">
        <v>2026</v>
      </c>
      <c r="K24" s="38" t="n">
        <v>5.1</v>
      </c>
      <c r="L24" s="37" t="n">
        <v>46113</v>
      </c>
      <c r="M24" s="35" t="n">
        <v>0.17</v>
      </c>
      <c r="N24" s="35" t="n">
        <v>0.17</v>
      </c>
      <c r="O24" s="35" t="s">
        <v>188</v>
      </c>
      <c r="P24" s="35"/>
      <c r="Q24" s="37" t="n">
        <v>46127</v>
      </c>
      <c r="R24" s="35"/>
    </row>
    <row r="25" customFormat="false" ht="15" hidden="false" customHeight="false" outlineLevel="0" collapsed="false">
      <c r="A25" s="35" t="s">
        <v>194</v>
      </c>
      <c r="B25" s="35" t="s">
        <v>195</v>
      </c>
      <c r="C25" s="35" t="s">
        <v>184</v>
      </c>
      <c r="D25" s="35" t="s">
        <v>196</v>
      </c>
      <c r="E25" s="36" t="n">
        <v>33913</v>
      </c>
      <c r="F25" s="36" t="n">
        <v>10410</v>
      </c>
      <c r="G25" s="37" t="n">
        <v>46114</v>
      </c>
      <c r="H25" s="35" t="s">
        <v>242</v>
      </c>
      <c r="I25" s="35" t="s">
        <v>198</v>
      </c>
      <c r="J25" s="36" t="n">
        <v>2026</v>
      </c>
      <c r="K25" s="38" t="n">
        <v>15554.39</v>
      </c>
      <c r="L25" s="37" t="n">
        <v>46113</v>
      </c>
      <c r="M25" s="35" t="n">
        <v>0.22</v>
      </c>
      <c r="N25" s="35" t="n">
        <v>0.22</v>
      </c>
      <c r="O25" s="35" t="s">
        <v>188</v>
      </c>
      <c r="P25" s="35"/>
      <c r="Q25" s="37" t="n">
        <v>46127</v>
      </c>
      <c r="R25" s="35"/>
    </row>
    <row r="26" customFormat="false" ht="15" hidden="false" customHeight="false" outlineLevel="0" collapsed="false">
      <c r="A26" s="35" t="s">
        <v>194</v>
      </c>
      <c r="B26" s="35" t="s">
        <v>206</v>
      </c>
      <c r="C26" s="35" t="s">
        <v>184</v>
      </c>
      <c r="D26" s="35" t="s">
        <v>196</v>
      </c>
      <c r="E26" s="36" t="n">
        <v>33913</v>
      </c>
      <c r="F26" s="36" t="n">
        <v>10407</v>
      </c>
      <c r="G26" s="37" t="n">
        <v>46114</v>
      </c>
      <c r="H26" s="35" t="s">
        <v>243</v>
      </c>
      <c r="I26" s="35" t="s">
        <v>198</v>
      </c>
      <c r="J26" s="36" t="n">
        <v>2026</v>
      </c>
      <c r="K26" s="38" t="n">
        <v>47657.23</v>
      </c>
      <c r="L26" s="37" t="n">
        <v>46113</v>
      </c>
      <c r="M26" s="35" t="n">
        <v>0.04</v>
      </c>
      <c r="N26" s="35" t="n">
        <v>0.04</v>
      </c>
      <c r="O26" s="35" t="s">
        <v>188</v>
      </c>
      <c r="P26" s="35"/>
      <c r="Q26" s="37" t="n">
        <v>46127</v>
      </c>
      <c r="R26" s="35" t="s">
        <v>208</v>
      </c>
    </row>
    <row r="27" customFormat="false" ht="15" hidden="false" customHeight="false" outlineLevel="0" collapsed="false">
      <c r="A27" s="35" t="s">
        <v>194</v>
      </c>
      <c r="B27" s="35" t="s">
        <v>223</v>
      </c>
      <c r="C27" s="35" t="s">
        <v>184</v>
      </c>
      <c r="D27" s="35" t="s">
        <v>196</v>
      </c>
      <c r="E27" s="36" t="n">
        <v>33913</v>
      </c>
      <c r="F27" s="36" t="n">
        <v>10407</v>
      </c>
      <c r="G27" s="37" t="n">
        <v>46115</v>
      </c>
      <c r="H27" s="35" t="s">
        <v>244</v>
      </c>
      <c r="I27" s="35" t="s">
        <v>198</v>
      </c>
      <c r="J27" s="36" t="n">
        <v>2026</v>
      </c>
      <c r="K27" s="38" t="n">
        <v>37065</v>
      </c>
      <c r="L27" s="37" t="n">
        <v>46113</v>
      </c>
      <c r="M27" s="35" t="s">
        <v>245</v>
      </c>
      <c r="N27" s="35"/>
      <c r="O27" s="35" t="s">
        <v>188</v>
      </c>
      <c r="P27" s="35" t="s">
        <v>225</v>
      </c>
      <c r="Q27" s="37" t="n">
        <v>46127</v>
      </c>
      <c r="R27" s="35"/>
    </row>
    <row r="28" customFormat="false" ht="15" hidden="false" customHeight="false" outlineLevel="0" collapsed="false">
      <c r="A28" s="35" t="s">
        <v>194</v>
      </c>
      <c r="B28" s="35" t="s">
        <v>246</v>
      </c>
      <c r="C28" s="35" t="s">
        <v>184</v>
      </c>
      <c r="D28" s="35" t="s">
        <v>196</v>
      </c>
      <c r="E28" s="36" t="n">
        <v>33913</v>
      </c>
      <c r="F28" s="36" t="n">
        <v>7894</v>
      </c>
      <c r="G28" s="37" t="n">
        <v>46115</v>
      </c>
      <c r="H28" s="35" t="s">
        <v>247</v>
      </c>
      <c r="I28" s="35" t="s">
        <v>198</v>
      </c>
      <c r="J28" s="36" t="n">
        <v>2026</v>
      </c>
      <c r="K28" s="38" t="n">
        <v>11074.7</v>
      </c>
      <c r="L28" s="37" t="n">
        <v>46113</v>
      </c>
      <c r="M28" s="35" t="n">
        <v>0.04</v>
      </c>
      <c r="N28" s="35" t="n">
        <v>0.04</v>
      </c>
      <c r="O28" s="35" t="s">
        <v>188</v>
      </c>
      <c r="P28" s="35"/>
      <c r="Q28" s="37" t="n">
        <v>46127</v>
      </c>
      <c r="R28" s="35"/>
    </row>
    <row r="29" customFormat="false" ht="15" hidden="false" customHeight="false" outlineLevel="0" collapsed="false">
      <c r="A29" s="35" t="s">
        <v>248</v>
      </c>
      <c r="B29" s="35" t="s">
        <v>249</v>
      </c>
      <c r="C29" s="35" t="s">
        <v>184</v>
      </c>
      <c r="D29" s="35" t="s">
        <v>196</v>
      </c>
      <c r="E29" s="36" t="n">
        <v>67555</v>
      </c>
      <c r="F29" s="36" t="n">
        <v>10423</v>
      </c>
      <c r="G29" s="37" t="n">
        <v>46117</v>
      </c>
      <c r="H29" s="35" t="s">
        <v>250</v>
      </c>
      <c r="I29" s="35" t="s">
        <v>198</v>
      </c>
      <c r="J29" s="36" t="n">
        <v>2026</v>
      </c>
      <c r="K29" s="38" t="n">
        <v>9107.25</v>
      </c>
      <c r="L29" s="37" t="n">
        <v>46113</v>
      </c>
      <c r="M29" s="35" t="n">
        <v>9012.86</v>
      </c>
      <c r="N29" s="35"/>
      <c r="O29" s="35" t="s">
        <v>188</v>
      </c>
      <c r="P29" s="35" t="s">
        <v>251</v>
      </c>
      <c r="Q29" s="37" t="n">
        <v>46132</v>
      </c>
      <c r="R29" s="35"/>
    </row>
    <row r="30" customFormat="false" ht="15" hidden="false" customHeight="false" outlineLevel="0" collapsed="false">
      <c r="A30" s="35" t="s">
        <v>252</v>
      </c>
      <c r="B30" s="35" t="s">
        <v>253</v>
      </c>
      <c r="C30" s="35" t="s">
        <v>213</v>
      </c>
      <c r="D30" s="35" t="s">
        <v>227</v>
      </c>
      <c r="E30" s="36" t="n">
        <v>38994</v>
      </c>
      <c r="F30" s="36" t="n">
        <v>10800</v>
      </c>
      <c r="G30" s="37" t="n">
        <v>46117</v>
      </c>
      <c r="H30" s="35" t="s">
        <v>254</v>
      </c>
      <c r="I30" s="35" t="s">
        <v>198</v>
      </c>
      <c r="J30" s="36" t="n">
        <v>2026</v>
      </c>
      <c r="K30" s="38" t="n">
        <v>11173.33</v>
      </c>
      <c r="L30" s="37" t="n">
        <v>46113</v>
      </c>
      <c r="M30" s="35" t="s">
        <v>187</v>
      </c>
      <c r="N30" s="35"/>
      <c r="O30" s="35" t="s">
        <v>188</v>
      </c>
      <c r="P30" s="35"/>
      <c r="Q30" s="35"/>
      <c r="R30" s="35"/>
    </row>
    <row r="31" customFormat="false" ht="15" hidden="false" customHeight="false" outlineLevel="0" collapsed="false">
      <c r="A31" s="35" t="s">
        <v>248</v>
      </c>
      <c r="B31" s="35" t="s">
        <v>255</v>
      </c>
      <c r="C31" s="35" t="s">
        <v>184</v>
      </c>
      <c r="D31" s="35" t="s">
        <v>196</v>
      </c>
      <c r="E31" s="36" t="n">
        <v>67555</v>
      </c>
      <c r="F31" s="36" t="n">
        <v>10424</v>
      </c>
      <c r="G31" s="37" t="n">
        <v>46117</v>
      </c>
      <c r="H31" s="35" t="s">
        <v>256</v>
      </c>
      <c r="I31" s="35" t="s">
        <v>198</v>
      </c>
      <c r="J31" s="36" t="n">
        <v>2026</v>
      </c>
      <c r="K31" s="38" t="n">
        <v>11769.02</v>
      </c>
      <c r="L31" s="37" t="n">
        <v>46113</v>
      </c>
      <c r="M31" s="35" t="n">
        <v>11769.02</v>
      </c>
      <c r="N31" s="35"/>
      <c r="O31" s="35" t="s">
        <v>188</v>
      </c>
      <c r="P31" s="35"/>
      <c r="Q31" s="37" t="n">
        <v>46132</v>
      </c>
      <c r="R31" s="35"/>
    </row>
    <row r="32" customFormat="false" ht="15" hidden="false" customHeight="false" outlineLevel="0" collapsed="false">
      <c r="A32" s="35" t="s">
        <v>219</v>
      </c>
      <c r="B32" s="35" t="s">
        <v>206</v>
      </c>
      <c r="C32" s="35" t="s">
        <v>184</v>
      </c>
      <c r="D32" s="35" t="s">
        <v>196</v>
      </c>
      <c r="E32" s="36" t="n">
        <v>40169</v>
      </c>
      <c r="F32" s="36" t="n">
        <v>10417</v>
      </c>
      <c r="G32" s="37" t="n">
        <v>46118</v>
      </c>
      <c r="H32" s="35" t="n">
        <v>13632</v>
      </c>
      <c r="I32" s="35" t="s">
        <v>198</v>
      </c>
      <c r="J32" s="36" t="n">
        <v>2026</v>
      </c>
      <c r="K32" s="38" t="n">
        <v>29988.25</v>
      </c>
      <c r="L32" s="37" t="n">
        <v>46113</v>
      </c>
      <c r="M32" s="35" t="n">
        <v>0.0375</v>
      </c>
      <c r="N32" s="35" t="n">
        <v>0.0375</v>
      </c>
      <c r="O32" s="35" t="s">
        <v>188</v>
      </c>
      <c r="P32" s="35"/>
      <c r="Q32" s="37" t="n">
        <v>46132</v>
      </c>
      <c r="R32" s="35"/>
    </row>
    <row r="33" customFormat="false" ht="15" hidden="false" customHeight="false" outlineLevel="0" collapsed="false">
      <c r="A33" s="35" t="s">
        <v>121</v>
      </c>
      <c r="B33" s="35" t="s">
        <v>257</v>
      </c>
      <c r="C33" s="35" t="s">
        <v>184</v>
      </c>
      <c r="D33" s="35" t="s">
        <v>185</v>
      </c>
      <c r="E33" s="36" t="n">
        <v>45857</v>
      </c>
      <c r="F33" s="36" t="n">
        <v>11172</v>
      </c>
      <c r="G33" s="37" t="n">
        <v>46119</v>
      </c>
      <c r="H33" s="35" t="n">
        <v>123480</v>
      </c>
      <c r="I33" s="35" t="s">
        <v>198</v>
      </c>
      <c r="J33" s="36" t="n">
        <v>2026</v>
      </c>
      <c r="K33" s="38" t="n">
        <v>62717.49</v>
      </c>
      <c r="L33" s="37" t="n">
        <v>46113</v>
      </c>
      <c r="M33" s="35" t="n">
        <v>0.25</v>
      </c>
      <c r="N33" s="35" t="n">
        <v>0.25</v>
      </c>
      <c r="O33" s="35" t="s">
        <v>188</v>
      </c>
      <c r="P33" s="35"/>
      <c r="Q33" s="37" t="n">
        <v>46129</v>
      </c>
      <c r="R33" s="35"/>
    </row>
    <row r="34" customFormat="false" ht="15" hidden="false" customHeight="false" outlineLevel="0" collapsed="false">
      <c r="A34" s="35" t="s">
        <v>121</v>
      </c>
      <c r="B34" s="35" t="s">
        <v>126</v>
      </c>
      <c r="C34" s="35" t="s">
        <v>184</v>
      </c>
      <c r="D34" s="35" t="s">
        <v>258</v>
      </c>
      <c r="E34" s="36" t="n">
        <v>45857</v>
      </c>
      <c r="F34" s="36" t="n">
        <v>11172</v>
      </c>
      <c r="G34" s="37" t="n">
        <v>46119</v>
      </c>
      <c r="H34" s="35" t="n">
        <v>123479</v>
      </c>
      <c r="I34" s="35" t="s">
        <v>198</v>
      </c>
      <c r="J34" s="36" t="n">
        <v>2026</v>
      </c>
      <c r="K34" s="38" t="n">
        <v>65553.1</v>
      </c>
      <c r="L34" s="37" t="n">
        <v>46113</v>
      </c>
      <c r="M34" s="35" t="n">
        <v>0.2</v>
      </c>
      <c r="N34" s="35" t="n">
        <v>0.2</v>
      </c>
      <c r="O34" s="35" t="s">
        <v>188</v>
      </c>
      <c r="P34" s="35"/>
      <c r="Q34" s="37" t="n">
        <v>46129</v>
      </c>
      <c r="R34" s="35"/>
    </row>
    <row r="35" customFormat="false" ht="15" hidden="false" customHeight="false" outlineLevel="0" collapsed="false">
      <c r="A35" s="35" t="s">
        <v>147</v>
      </c>
      <c r="B35" s="35" t="s">
        <v>259</v>
      </c>
      <c r="C35" s="35" t="s">
        <v>260</v>
      </c>
      <c r="D35" s="35" t="s">
        <v>261</v>
      </c>
      <c r="E35" s="36" t="n">
        <v>22104</v>
      </c>
      <c r="F35" s="36" t="n">
        <v>11587</v>
      </c>
      <c r="G35" s="37" t="n">
        <v>46119</v>
      </c>
      <c r="H35" s="35" t="n">
        <v>400017840</v>
      </c>
      <c r="I35" s="35" t="s">
        <v>198</v>
      </c>
      <c r="J35" s="36" t="n">
        <v>2026</v>
      </c>
      <c r="K35" s="38" t="n">
        <v>12950</v>
      </c>
      <c r="L35" s="37" t="n">
        <v>46113</v>
      </c>
      <c r="M35" s="35" t="n">
        <v>12950</v>
      </c>
      <c r="N35" s="35"/>
      <c r="O35" s="35" t="s">
        <v>188</v>
      </c>
      <c r="P35" s="35"/>
      <c r="Q35" s="37" t="n">
        <v>46127</v>
      </c>
      <c r="R35" s="35"/>
    </row>
    <row r="36" customFormat="false" ht="15" hidden="false" customHeight="false" outlineLevel="0" collapsed="false">
      <c r="A36" s="35" t="s">
        <v>219</v>
      </c>
      <c r="B36" s="35" t="s">
        <v>220</v>
      </c>
      <c r="C36" s="35" t="s">
        <v>184</v>
      </c>
      <c r="D36" s="35" t="s">
        <v>196</v>
      </c>
      <c r="E36" s="36" t="n">
        <v>40169</v>
      </c>
      <c r="F36" s="36" t="n">
        <v>10415</v>
      </c>
      <c r="G36" s="37" t="n">
        <v>46119</v>
      </c>
      <c r="H36" s="35" t="s">
        <v>262</v>
      </c>
      <c r="I36" s="35" t="s">
        <v>230</v>
      </c>
      <c r="J36" s="36" t="n">
        <v>2026</v>
      </c>
      <c r="K36" s="38" t="n">
        <v>14220.59</v>
      </c>
      <c r="L36" s="37" t="n">
        <v>46113</v>
      </c>
      <c r="M36" s="35" t="n">
        <v>0.12</v>
      </c>
      <c r="N36" s="35"/>
      <c r="O36" s="35" t="s">
        <v>188</v>
      </c>
      <c r="P36" s="35"/>
      <c r="Q36" s="37" t="n">
        <v>46132</v>
      </c>
      <c r="R36" s="35" t="s">
        <v>222</v>
      </c>
    </row>
    <row r="37" customFormat="false" ht="15" hidden="false" customHeight="false" outlineLevel="0" collapsed="false">
      <c r="A37" s="35" t="s">
        <v>164</v>
      </c>
      <c r="B37" s="35" t="s">
        <v>263</v>
      </c>
      <c r="C37" s="35" t="s">
        <v>193</v>
      </c>
      <c r="D37" s="35" t="s">
        <v>264</v>
      </c>
      <c r="E37" s="36" t="n">
        <v>46597</v>
      </c>
      <c r="F37" s="36" t="n">
        <v>10833</v>
      </c>
      <c r="G37" s="37" t="n">
        <v>46120</v>
      </c>
      <c r="H37" s="35" t="n">
        <v>3632150</v>
      </c>
      <c r="I37" s="35" t="s">
        <v>230</v>
      </c>
      <c r="J37" s="36" t="n">
        <v>2026</v>
      </c>
      <c r="K37" s="38" t="n">
        <v>27727.2</v>
      </c>
      <c r="L37" s="37" t="n">
        <v>46113</v>
      </c>
      <c r="M37" s="35" t="n">
        <v>27727.5</v>
      </c>
      <c r="N37" s="35"/>
      <c r="O37" s="35" t="s">
        <v>188</v>
      </c>
      <c r="P37" s="35"/>
      <c r="Q37" s="35"/>
      <c r="R37" s="35"/>
    </row>
    <row r="38" customFormat="false" ht="15" hidden="false" customHeight="false" outlineLevel="0" collapsed="false">
      <c r="A38" s="35" t="s">
        <v>147</v>
      </c>
      <c r="B38" s="35" t="s">
        <v>148</v>
      </c>
      <c r="C38" s="35" t="s">
        <v>213</v>
      </c>
      <c r="D38" s="35" t="s">
        <v>227</v>
      </c>
      <c r="E38" s="36" t="n">
        <v>22104</v>
      </c>
      <c r="F38" s="36" t="n">
        <v>10782</v>
      </c>
      <c r="G38" s="37" t="n">
        <v>46121</v>
      </c>
      <c r="H38" s="35" t="n">
        <v>400017875</v>
      </c>
      <c r="I38" s="35" t="s">
        <v>198</v>
      </c>
      <c r="J38" s="36" t="n">
        <v>2026</v>
      </c>
      <c r="K38" s="38" t="n">
        <v>144005.65</v>
      </c>
      <c r="L38" s="37" t="n">
        <v>46113</v>
      </c>
      <c r="M38" s="35" t="s">
        <v>187</v>
      </c>
      <c r="N38" s="35"/>
      <c r="O38" s="35" t="s">
        <v>188</v>
      </c>
      <c r="P38" s="35"/>
      <c r="Q38" s="37" t="n">
        <v>46129</v>
      </c>
      <c r="R38" s="35" t="s">
        <v>265</v>
      </c>
    </row>
    <row r="39" customFormat="false" ht="15" hidden="false" customHeight="false" outlineLevel="0" collapsed="false">
      <c r="A39" s="35" t="s">
        <v>194</v>
      </c>
      <c r="B39" s="35" t="s">
        <v>206</v>
      </c>
      <c r="C39" s="35" t="s">
        <v>184</v>
      </c>
      <c r="D39" s="35" t="s">
        <v>196</v>
      </c>
      <c r="E39" s="36" t="n">
        <v>33913</v>
      </c>
      <c r="F39" s="36" t="n">
        <v>10407</v>
      </c>
      <c r="G39" s="37" t="n">
        <v>46122</v>
      </c>
      <c r="H39" s="35" t="s">
        <v>266</v>
      </c>
      <c r="I39" s="35" t="s">
        <v>230</v>
      </c>
      <c r="J39" s="36" t="n">
        <v>2026</v>
      </c>
      <c r="K39" s="38" t="n">
        <v>36696.55</v>
      </c>
      <c r="L39" s="37" t="n">
        <v>46113</v>
      </c>
      <c r="M39" s="35" t="n">
        <v>0.04</v>
      </c>
      <c r="N39" s="35" t="n">
        <v>0.04</v>
      </c>
      <c r="O39" s="35" t="s">
        <v>188</v>
      </c>
      <c r="P39" s="35"/>
      <c r="Q39" s="37" t="n">
        <v>46132</v>
      </c>
      <c r="R39" s="35" t="s">
        <v>208</v>
      </c>
    </row>
    <row r="40" customFormat="false" ht="15" hidden="false" customHeight="false" outlineLevel="0" collapsed="false">
      <c r="A40" s="35" t="s">
        <v>194</v>
      </c>
      <c r="B40" s="35" t="s">
        <v>195</v>
      </c>
      <c r="C40" s="35" t="s">
        <v>184</v>
      </c>
      <c r="D40" s="35" t="s">
        <v>196</v>
      </c>
      <c r="E40" s="36" t="n">
        <v>33913</v>
      </c>
      <c r="F40" s="36" t="n">
        <v>10410</v>
      </c>
      <c r="G40" s="37" t="n">
        <v>46122</v>
      </c>
      <c r="H40" s="35" t="s">
        <v>267</v>
      </c>
      <c r="I40" s="35" t="s">
        <v>230</v>
      </c>
      <c r="J40" s="36" t="n">
        <v>2026</v>
      </c>
      <c r="K40" s="38" t="n">
        <v>24025.4</v>
      </c>
      <c r="L40" s="37" t="n">
        <v>46113</v>
      </c>
      <c r="M40" s="35" t="n">
        <v>0.22</v>
      </c>
      <c r="N40" s="35" t="n">
        <v>0.22</v>
      </c>
      <c r="O40" s="35" t="s">
        <v>188</v>
      </c>
      <c r="P40" s="35"/>
      <c r="Q40" s="37" t="n">
        <v>46132</v>
      </c>
      <c r="R40" s="35"/>
    </row>
    <row r="41" customFormat="false" ht="15" hidden="false" customHeight="false" outlineLevel="0" collapsed="false">
      <c r="A41" s="35" t="s">
        <v>194</v>
      </c>
      <c r="B41" s="35" t="s">
        <v>199</v>
      </c>
      <c r="C41" s="35" t="s">
        <v>184</v>
      </c>
      <c r="D41" s="35" t="s">
        <v>196</v>
      </c>
      <c r="E41" s="36" t="n">
        <v>33913</v>
      </c>
      <c r="F41" s="36" t="n">
        <v>7896</v>
      </c>
      <c r="G41" s="37" t="n">
        <v>46122</v>
      </c>
      <c r="H41" s="35" t="s">
        <v>268</v>
      </c>
      <c r="I41" s="35" t="s">
        <v>230</v>
      </c>
      <c r="J41" s="36" t="n">
        <v>2026</v>
      </c>
      <c r="K41" s="38" t="n">
        <v>40.6</v>
      </c>
      <c r="L41" s="37" t="n">
        <v>46113</v>
      </c>
      <c r="M41" s="35" t="s">
        <v>201</v>
      </c>
      <c r="N41" s="35" t="s">
        <v>202</v>
      </c>
      <c r="O41" s="35" t="s">
        <v>188</v>
      </c>
      <c r="P41" s="35"/>
      <c r="Q41" s="37" t="n">
        <v>46132</v>
      </c>
      <c r="R41" s="35"/>
    </row>
    <row r="42" customFormat="false" ht="15" hidden="false" customHeight="false" outlineLevel="0" collapsed="false">
      <c r="A42" s="35" t="s">
        <v>194</v>
      </c>
      <c r="B42" s="35" t="s">
        <v>203</v>
      </c>
      <c r="C42" s="35" t="s">
        <v>184</v>
      </c>
      <c r="D42" s="35" t="s">
        <v>196</v>
      </c>
      <c r="E42" s="36" t="n">
        <v>33913</v>
      </c>
      <c r="F42" s="36" t="n">
        <v>7893</v>
      </c>
      <c r="G42" s="37" t="n">
        <v>46122</v>
      </c>
      <c r="H42" s="35" t="s">
        <v>269</v>
      </c>
      <c r="I42" s="35" t="s">
        <v>230</v>
      </c>
      <c r="J42" s="36" t="n">
        <v>2026</v>
      </c>
      <c r="K42" s="38" t="n">
        <v>50</v>
      </c>
      <c r="L42" s="37" t="n">
        <v>46113</v>
      </c>
      <c r="M42" s="35" t="n">
        <v>0.22</v>
      </c>
      <c r="N42" s="35" t="n">
        <v>0.25</v>
      </c>
      <c r="O42" s="35" t="s">
        <v>205</v>
      </c>
      <c r="P42" s="35"/>
      <c r="Q42" s="37" t="n">
        <v>46132</v>
      </c>
      <c r="R42" s="35"/>
    </row>
    <row r="43" customFormat="false" ht="15" hidden="false" customHeight="false" outlineLevel="0" collapsed="false">
      <c r="A43" s="35" t="s">
        <v>121</v>
      </c>
      <c r="B43" s="35" t="s">
        <v>270</v>
      </c>
      <c r="C43" s="35" t="s">
        <v>184</v>
      </c>
      <c r="D43" s="35" t="s">
        <v>185</v>
      </c>
      <c r="E43" s="36" t="n">
        <v>45857</v>
      </c>
      <c r="F43" s="36" t="n">
        <v>11172</v>
      </c>
      <c r="G43" s="37" t="n">
        <v>46125</v>
      </c>
      <c r="H43" s="35" t="n">
        <v>123713</v>
      </c>
      <c r="I43" s="35" t="s">
        <v>198</v>
      </c>
      <c r="J43" s="36" t="n">
        <v>2026</v>
      </c>
      <c r="K43" s="38" t="n">
        <v>62677.56</v>
      </c>
      <c r="L43" s="37" t="n">
        <v>46113</v>
      </c>
      <c r="M43" s="35" t="n">
        <v>0.095</v>
      </c>
      <c r="N43" s="35" t="n">
        <v>0.095</v>
      </c>
      <c r="O43" s="35" t="s">
        <v>188</v>
      </c>
      <c r="P43" s="35"/>
      <c r="Q43" s="37" t="n">
        <v>46136</v>
      </c>
      <c r="R43" s="35"/>
    </row>
    <row r="44" customFormat="false" ht="15" hidden="false" customHeight="false" outlineLevel="0" collapsed="false">
      <c r="A44" s="35" t="s">
        <v>121</v>
      </c>
      <c r="B44" s="35" t="s">
        <v>271</v>
      </c>
      <c r="C44" s="35" t="s">
        <v>184</v>
      </c>
      <c r="D44" s="35" t="s">
        <v>185</v>
      </c>
      <c r="E44" s="36" t="n">
        <v>45857</v>
      </c>
      <c r="F44" s="36" t="n">
        <v>10798</v>
      </c>
      <c r="G44" s="37" t="n">
        <v>46125</v>
      </c>
      <c r="H44" s="35" t="n">
        <v>123715</v>
      </c>
      <c r="I44" s="35" t="s">
        <v>198</v>
      </c>
      <c r="J44" s="36" t="n">
        <v>2026</v>
      </c>
      <c r="K44" s="38" t="n">
        <v>18000</v>
      </c>
      <c r="L44" s="37" t="n">
        <v>46113</v>
      </c>
      <c r="M44" s="35" t="s">
        <v>272</v>
      </c>
      <c r="N44" s="35"/>
      <c r="O44" s="35" t="s">
        <v>188</v>
      </c>
      <c r="P44" s="35"/>
      <c r="Q44" s="37" t="n">
        <v>46139</v>
      </c>
      <c r="R44" s="35"/>
    </row>
    <row r="45" customFormat="false" ht="15" hidden="false" customHeight="false" outlineLevel="0" collapsed="false">
      <c r="A45" s="35" t="s">
        <v>121</v>
      </c>
      <c r="B45" s="35" t="s">
        <v>273</v>
      </c>
      <c r="C45" s="35" t="s">
        <v>184</v>
      </c>
      <c r="D45" s="35" t="s">
        <v>185</v>
      </c>
      <c r="E45" s="36" t="n">
        <v>45857</v>
      </c>
      <c r="F45" s="36" t="n">
        <v>10798</v>
      </c>
      <c r="G45" s="37" t="n">
        <v>46125</v>
      </c>
      <c r="H45" s="35" t="n">
        <v>123714</v>
      </c>
      <c r="I45" s="35" t="s">
        <v>198</v>
      </c>
      <c r="J45" s="36" t="n">
        <v>2026</v>
      </c>
      <c r="K45" s="38" t="n">
        <v>127160.18</v>
      </c>
      <c r="L45" s="37" t="n">
        <v>46113</v>
      </c>
      <c r="M45" s="35" t="n">
        <v>0.14</v>
      </c>
      <c r="N45" s="35" t="n">
        <v>0.14</v>
      </c>
      <c r="O45" s="35" t="s">
        <v>188</v>
      </c>
      <c r="P45" s="35"/>
      <c r="Q45" s="37" t="n">
        <v>46136</v>
      </c>
      <c r="R45" s="35"/>
    </row>
    <row r="46" customFormat="false" ht="15" hidden="false" customHeight="false" outlineLevel="0" collapsed="false">
      <c r="A46" s="35" t="s">
        <v>147</v>
      </c>
      <c r="B46" s="35" t="s">
        <v>192</v>
      </c>
      <c r="C46" s="35" t="s">
        <v>193</v>
      </c>
      <c r="D46" s="35" t="n">
        <v>0</v>
      </c>
      <c r="E46" s="36" t="n">
        <v>22104</v>
      </c>
      <c r="F46" s="36" t="n">
        <v>10783</v>
      </c>
      <c r="G46" s="37" t="n">
        <v>46127</v>
      </c>
      <c r="H46" s="35" t="n">
        <v>100104315</v>
      </c>
      <c r="I46" s="35" t="s">
        <v>198</v>
      </c>
      <c r="J46" s="36" t="n">
        <v>2026</v>
      </c>
      <c r="K46" s="38" t="n">
        <v>36234.81</v>
      </c>
      <c r="L46" s="37" t="n">
        <v>46113</v>
      </c>
      <c r="M46" s="35" t="n">
        <v>34125</v>
      </c>
      <c r="N46" s="35"/>
      <c r="O46" s="35" t="s">
        <v>188</v>
      </c>
      <c r="P46" s="35" t="s">
        <v>274</v>
      </c>
      <c r="Q46" s="37" t="n">
        <v>46136</v>
      </c>
      <c r="R46" s="35"/>
    </row>
    <row r="47" customFormat="false" ht="15" hidden="false" customHeight="false" outlineLevel="0" collapsed="false">
      <c r="A47" s="35" t="s">
        <v>275</v>
      </c>
      <c r="B47" s="35" t="s">
        <v>276</v>
      </c>
      <c r="C47" s="35" t="s">
        <v>210</v>
      </c>
      <c r="D47" s="35" t="s">
        <v>227</v>
      </c>
      <c r="E47" s="36" t="n">
        <v>20051</v>
      </c>
      <c r="F47" s="36" t="n">
        <v>11778</v>
      </c>
      <c r="G47" s="37" t="n">
        <v>46128</v>
      </c>
      <c r="H47" s="35" t="n">
        <v>405851</v>
      </c>
      <c r="I47" s="35" t="s">
        <v>198</v>
      </c>
      <c r="J47" s="36" t="n">
        <v>2026</v>
      </c>
      <c r="K47" s="38" t="n">
        <v>194937.93</v>
      </c>
      <c r="L47" s="37" t="n">
        <v>46113</v>
      </c>
      <c r="M47" s="35" t="n">
        <v>194937.93</v>
      </c>
      <c r="N47" s="35"/>
      <c r="O47" s="35" t="s">
        <v>188</v>
      </c>
      <c r="P47" s="35"/>
      <c r="Q47" s="37" t="n">
        <v>46129</v>
      </c>
      <c r="R47" s="35"/>
    </row>
    <row r="48" customFormat="false" ht="15" hidden="false" customHeight="false" outlineLevel="0" collapsed="false">
      <c r="A48" s="35" t="s">
        <v>277</v>
      </c>
      <c r="B48" s="35" t="s">
        <v>278</v>
      </c>
      <c r="C48" s="35" t="s">
        <v>279</v>
      </c>
      <c r="D48" s="35" t="s">
        <v>280</v>
      </c>
      <c r="E48" s="36" t="n">
        <v>69663</v>
      </c>
      <c r="F48" s="36" t="n">
        <v>7927</v>
      </c>
      <c r="G48" s="37" t="n">
        <v>46126</v>
      </c>
      <c r="H48" s="35" t="n">
        <v>37018</v>
      </c>
      <c r="I48" s="35" t="s">
        <v>230</v>
      </c>
      <c r="J48" s="36" t="n">
        <v>2026</v>
      </c>
      <c r="K48" s="38" t="n">
        <v>9756.5</v>
      </c>
      <c r="L48" s="37" t="n">
        <v>46136</v>
      </c>
      <c r="M48" s="35" t="n">
        <v>9756.5</v>
      </c>
      <c r="N48" s="35" t="n">
        <v>9756.5</v>
      </c>
      <c r="O48" s="35" t="s">
        <v>188</v>
      </c>
      <c r="P48" s="35"/>
      <c r="Q48" s="37" t="n">
        <v>46140</v>
      </c>
      <c r="R48" s="35"/>
    </row>
    <row r="49" customFormat="false" ht="15" hidden="false" customHeight="false" outlineLevel="0" collapsed="false">
      <c r="A49" s="35" t="s">
        <v>219</v>
      </c>
      <c r="B49" s="35" t="s">
        <v>206</v>
      </c>
      <c r="C49" s="35" t="s">
        <v>184</v>
      </c>
      <c r="D49" s="35" t="s">
        <v>196</v>
      </c>
      <c r="E49" s="36" t="n">
        <v>40169</v>
      </c>
      <c r="F49" s="36" t="n">
        <v>10417</v>
      </c>
      <c r="G49" s="37" t="n">
        <v>46126</v>
      </c>
      <c r="H49" s="35" t="n">
        <v>13648</v>
      </c>
      <c r="I49" s="35" t="s">
        <v>230</v>
      </c>
      <c r="J49" s="36" t="n">
        <v>2026</v>
      </c>
      <c r="K49" s="38" t="n">
        <v>30655.21</v>
      </c>
      <c r="L49" s="37" t="n">
        <v>46136</v>
      </c>
      <c r="M49" s="35" t="n">
        <v>0.0375</v>
      </c>
      <c r="N49" s="35" t="n">
        <v>0.0375</v>
      </c>
      <c r="O49" s="35" t="s">
        <v>188</v>
      </c>
      <c r="P49" s="35"/>
      <c r="Q49" s="37" t="n">
        <v>46140</v>
      </c>
      <c r="R49" s="35"/>
    </row>
    <row r="50" customFormat="false" ht="15" hidden="false" customHeight="false" outlineLevel="0" collapsed="false">
      <c r="A50" s="35" t="s">
        <v>194</v>
      </c>
      <c r="B50" s="35" t="s">
        <v>206</v>
      </c>
      <c r="C50" s="35" t="s">
        <v>184</v>
      </c>
      <c r="D50" s="35" t="s">
        <v>196</v>
      </c>
      <c r="E50" s="36" t="n">
        <v>33913</v>
      </c>
      <c r="F50" s="36" t="n">
        <v>10407</v>
      </c>
      <c r="G50" s="37" t="n">
        <v>46129</v>
      </c>
      <c r="H50" s="35" t="s">
        <v>281</v>
      </c>
      <c r="I50" s="35" t="s">
        <v>230</v>
      </c>
      <c r="J50" s="36" t="n">
        <v>2026</v>
      </c>
      <c r="K50" s="38" t="n">
        <v>37325.66</v>
      </c>
      <c r="L50" s="37" t="n">
        <v>46136</v>
      </c>
      <c r="M50" s="35" t="n">
        <v>0.04</v>
      </c>
      <c r="N50" s="35" t="n">
        <v>0.04</v>
      </c>
      <c r="O50" s="35" t="s">
        <v>188</v>
      </c>
      <c r="P50" s="35"/>
      <c r="Q50" s="37" t="n">
        <v>46140</v>
      </c>
      <c r="R50" s="35" t="s">
        <v>208</v>
      </c>
    </row>
    <row r="51" customFormat="false" ht="15" hidden="false" customHeight="false" outlineLevel="0" collapsed="false">
      <c r="A51" s="35" t="s">
        <v>194</v>
      </c>
      <c r="B51" s="35" t="s">
        <v>195</v>
      </c>
      <c r="C51" s="35" t="s">
        <v>184</v>
      </c>
      <c r="D51" s="35" t="s">
        <v>196</v>
      </c>
      <c r="E51" s="36" t="n">
        <v>33913</v>
      </c>
      <c r="F51" s="36" t="n">
        <v>10410</v>
      </c>
      <c r="G51" s="37" t="n">
        <v>46129</v>
      </c>
      <c r="H51" s="35" t="s">
        <v>282</v>
      </c>
      <c r="I51" s="35" t="s">
        <v>230</v>
      </c>
      <c r="J51" s="36" t="n">
        <v>2026</v>
      </c>
      <c r="K51" s="38" t="n">
        <v>12958.35</v>
      </c>
      <c r="L51" s="37" t="n">
        <v>46136</v>
      </c>
      <c r="M51" s="35" t="n">
        <v>0.22</v>
      </c>
      <c r="N51" s="35" t="n">
        <v>0.22</v>
      </c>
      <c r="O51" s="35" t="s">
        <v>188</v>
      </c>
      <c r="P51" s="35"/>
      <c r="Q51" s="37" t="n">
        <v>46140</v>
      </c>
      <c r="R51" s="35"/>
    </row>
    <row r="52" customFormat="false" ht="15" hidden="false" customHeight="false" outlineLevel="0" collapsed="false">
      <c r="A52" s="35" t="s">
        <v>194</v>
      </c>
      <c r="B52" s="35" t="s">
        <v>203</v>
      </c>
      <c r="C52" s="35" t="s">
        <v>184</v>
      </c>
      <c r="D52" s="35" t="s">
        <v>196</v>
      </c>
      <c r="E52" s="36" t="n">
        <v>33913</v>
      </c>
      <c r="F52" s="36" t="n">
        <v>7893</v>
      </c>
      <c r="G52" s="37" t="n">
        <v>46129</v>
      </c>
      <c r="H52" s="35" t="s">
        <v>283</v>
      </c>
      <c r="I52" s="35" t="s">
        <v>230</v>
      </c>
      <c r="J52" s="36" t="n">
        <v>2026</v>
      </c>
      <c r="K52" s="38" t="n">
        <v>18.75</v>
      </c>
      <c r="L52" s="37" t="n">
        <v>46136</v>
      </c>
      <c r="M52" s="35" t="n">
        <v>0.22</v>
      </c>
      <c r="N52" s="35" t="n">
        <v>0.25</v>
      </c>
      <c r="O52" s="35" t="s">
        <v>205</v>
      </c>
      <c r="P52" s="35"/>
      <c r="Q52" s="37" t="n">
        <v>46140</v>
      </c>
      <c r="R52" s="35"/>
    </row>
    <row r="53" customFormat="false" ht="15" hidden="false" customHeight="false" outlineLevel="0" collapsed="false">
      <c r="A53" s="35" t="s">
        <v>219</v>
      </c>
      <c r="B53" s="35" t="s">
        <v>206</v>
      </c>
      <c r="C53" s="35" t="s">
        <v>184</v>
      </c>
      <c r="D53" s="35" t="s">
        <v>196</v>
      </c>
      <c r="E53" s="36" t="n">
        <v>40169</v>
      </c>
      <c r="F53" s="36" t="n">
        <v>10417</v>
      </c>
      <c r="G53" s="37" t="n">
        <v>46132</v>
      </c>
      <c r="H53" s="35" t="n">
        <v>13649</v>
      </c>
      <c r="I53" s="35" t="s">
        <v>230</v>
      </c>
      <c r="J53" s="36" t="n">
        <v>2026</v>
      </c>
      <c r="K53" s="38" t="n">
        <v>46778.76</v>
      </c>
      <c r="L53" s="37" t="n">
        <v>46136</v>
      </c>
      <c r="M53" s="35" t="n">
        <v>0.0375</v>
      </c>
      <c r="N53" s="35" t="n">
        <v>0.0375</v>
      </c>
      <c r="O53" s="35" t="s">
        <v>188</v>
      </c>
      <c r="P53" s="35"/>
      <c r="Q53" s="37" t="n">
        <v>46140</v>
      </c>
      <c r="R53" s="35"/>
    </row>
    <row r="54" customFormat="false" ht="15" hidden="false" customHeight="false" outlineLevel="0" collapsed="false">
      <c r="A54" s="35" t="s">
        <v>219</v>
      </c>
      <c r="B54" s="35" t="s">
        <v>220</v>
      </c>
      <c r="C54" s="35" t="s">
        <v>184</v>
      </c>
      <c r="D54" s="35" t="s">
        <v>196</v>
      </c>
      <c r="E54" s="36" t="n">
        <v>40169</v>
      </c>
      <c r="F54" s="36" t="n">
        <v>10415</v>
      </c>
      <c r="G54" s="37" t="n">
        <v>46133</v>
      </c>
      <c r="H54" s="35" t="s">
        <v>284</v>
      </c>
      <c r="I54" s="35" t="s">
        <v>230</v>
      </c>
      <c r="J54" s="36" t="n">
        <v>2026</v>
      </c>
      <c r="K54" s="38" t="n">
        <v>13293.25</v>
      </c>
      <c r="L54" s="37" t="n">
        <v>46136</v>
      </c>
      <c r="M54" s="35" t="n">
        <v>0.12</v>
      </c>
      <c r="N54" s="35"/>
      <c r="O54" s="35" t="s">
        <v>188</v>
      </c>
      <c r="P54" s="35"/>
      <c r="Q54" s="37" t="n">
        <v>46140</v>
      </c>
      <c r="R54" s="35" t="s">
        <v>222</v>
      </c>
    </row>
    <row r="55" customFormat="false" ht="15" hidden="false" customHeight="false" outlineLevel="0" collapsed="false">
      <c r="A55" s="35" t="s">
        <v>219</v>
      </c>
      <c r="B55" s="35" t="s">
        <v>220</v>
      </c>
      <c r="C55" s="35" t="s">
        <v>184</v>
      </c>
      <c r="D55" s="35" t="s">
        <v>196</v>
      </c>
      <c r="E55" s="36" t="n">
        <v>40169</v>
      </c>
      <c r="F55" s="36" t="n">
        <v>10415</v>
      </c>
      <c r="G55" s="37" t="n">
        <v>46133</v>
      </c>
      <c r="H55" s="35" t="s">
        <v>285</v>
      </c>
      <c r="I55" s="35" t="s">
        <v>230</v>
      </c>
      <c r="J55" s="36" t="n">
        <v>2026</v>
      </c>
      <c r="K55" s="38" t="n">
        <v>13072.48</v>
      </c>
      <c r="L55" s="37" t="n">
        <v>46136</v>
      </c>
      <c r="M55" s="35" t="n">
        <v>0.12</v>
      </c>
      <c r="N55" s="35"/>
      <c r="O55" s="35" t="s">
        <v>188</v>
      </c>
      <c r="P55" s="35"/>
      <c r="Q55" s="37" t="n">
        <v>46140</v>
      </c>
      <c r="R55" s="35" t="s">
        <v>222</v>
      </c>
    </row>
    <row r="56" customFormat="false" ht="15" hidden="false" customHeight="false" outlineLevel="0" collapsed="false">
      <c r="A56" s="35" t="s">
        <v>144</v>
      </c>
      <c r="B56" s="35" t="s">
        <v>212</v>
      </c>
      <c r="C56" s="35" t="s">
        <v>213</v>
      </c>
      <c r="D56" s="35" t="s">
        <v>214</v>
      </c>
      <c r="E56" s="36" t="n">
        <v>60823</v>
      </c>
      <c r="F56" s="36" t="n">
        <v>10406</v>
      </c>
      <c r="G56" s="37" t="n">
        <v>46112</v>
      </c>
      <c r="H56" s="35" t="s">
        <v>286</v>
      </c>
      <c r="I56" s="35" t="s">
        <v>198</v>
      </c>
      <c r="J56" s="36" t="n">
        <v>2026</v>
      </c>
      <c r="K56" s="38" t="n">
        <v>564.56</v>
      </c>
      <c r="L56" s="37" t="n">
        <v>46139</v>
      </c>
      <c r="M56" s="35" t="s">
        <v>187</v>
      </c>
      <c r="N56" s="35"/>
      <c r="O56" s="35" t="s">
        <v>188</v>
      </c>
      <c r="P56" s="35"/>
      <c r="Q56" s="37" t="n">
        <v>46140</v>
      </c>
      <c r="R56" s="35"/>
    </row>
    <row r="57" customFormat="false" ht="15" hidden="false" customHeight="false" outlineLevel="0" collapsed="false">
      <c r="A57" s="35" t="s">
        <v>194</v>
      </c>
      <c r="B57" s="35" t="s">
        <v>199</v>
      </c>
      <c r="C57" s="35" t="s">
        <v>184</v>
      </c>
      <c r="D57" s="35" t="s">
        <v>196</v>
      </c>
      <c r="E57" s="36" t="n">
        <v>33913</v>
      </c>
      <c r="F57" s="36" t="n">
        <v>7896</v>
      </c>
      <c r="G57" s="37" t="n">
        <v>46129</v>
      </c>
      <c r="H57" s="35" t="s">
        <v>287</v>
      </c>
      <c r="I57" s="35" t="s">
        <v>230</v>
      </c>
      <c r="J57" s="36" t="n">
        <v>2026</v>
      </c>
      <c r="K57" s="38" t="n">
        <v>41.25</v>
      </c>
      <c r="L57" s="37" t="n">
        <v>46139</v>
      </c>
      <c r="M57" s="35" t="s">
        <v>201</v>
      </c>
      <c r="N57" s="35" t="n">
        <v>0.25</v>
      </c>
      <c r="O57" s="35" t="s">
        <v>188</v>
      </c>
      <c r="P57" s="35"/>
      <c r="Q57" s="37" t="n">
        <v>46140</v>
      </c>
      <c r="R57" s="35"/>
    </row>
    <row r="58" customFormat="false" ht="15" hidden="false" customHeight="false" outlineLevel="0" collapsed="false">
      <c r="A58" s="35" t="s">
        <v>194</v>
      </c>
      <c r="B58" s="35" t="s">
        <v>203</v>
      </c>
      <c r="C58" s="35" t="s">
        <v>184</v>
      </c>
      <c r="D58" s="35" t="s">
        <v>196</v>
      </c>
      <c r="E58" s="36" t="n">
        <v>33913</v>
      </c>
      <c r="F58" s="36" t="n">
        <v>7893</v>
      </c>
      <c r="G58" s="37" t="n">
        <v>46135</v>
      </c>
      <c r="H58" s="35" t="s">
        <v>288</v>
      </c>
      <c r="I58" s="35" t="s">
        <v>230</v>
      </c>
      <c r="J58" s="36" t="n">
        <v>2026</v>
      </c>
      <c r="K58" s="38" t="n">
        <v>31.21</v>
      </c>
      <c r="L58" s="37" t="n">
        <v>46140</v>
      </c>
      <c r="M58" s="35" t="n">
        <v>0.22</v>
      </c>
      <c r="N58" s="35" t="n">
        <v>0.25</v>
      </c>
      <c r="O58" s="35" t="s">
        <v>205</v>
      </c>
      <c r="P58" s="35"/>
      <c r="Q58" s="37" t="n">
        <v>46140</v>
      </c>
      <c r="R58" s="35"/>
    </row>
    <row r="59" customFormat="false" ht="15" hidden="false" customHeight="false" outlineLevel="0" collapsed="false">
      <c r="A59" s="35" t="s">
        <v>194</v>
      </c>
      <c r="B59" s="35" t="s">
        <v>199</v>
      </c>
      <c r="C59" s="35" t="s">
        <v>184</v>
      </c>
      <c r="D59" s="35" t="s">
        <v>196</v>
      </c>
      <c r="E59" s="36" t="n">
        <v>33913</v>
      </c>
      <c r="F59" s="36" t="n">
        <v>7896</v>
      </c>
      <c r="G59" s="37" t="n">
        <v>46135</v>
      </c>
      <c r="H59" s="35" t="s">
        <v>289</v>
      </c>
      <c r="I59" s="35" t="s">
        <v>230</v>
      </c>
      <c r="J59" s="36" t="n">
        <v>2026</v>
      </c>
      <c r="K59" s="38" t="n">
        <v>17</v>
      </c>
      <c r="L59" s="37" t="n">
        <v>46140</v>
      </c>
      <c r="M59" s="35" t="s">
        <v>201</v>
      </c>
      <c r="N59" s="35" t="n">
        <v>0.17</v>
      </c>
      <c r="O59" s="35" t="s">
        <v>188</v>
      </c>
      <c r="P59" s="35"/>
      <c r="Q59" s="37" t="n">
        <v>46140</v>
      </c>
      <c r="R59" s="35"/>
    </row>
    <row r="60" customFormat="false" ht="15" hidden="false" customHeight="false" outlineLevel="0" collapsed="false">
      <c r="A60" s="35" t="s">
        <v>194</v>
      </c>
      <c r="B60" s="35" t="s">
        <v>195</v>
      </c>
      <c r="C60" s="35" t="s">
        <v>184</v>
      </c>
      <c r="D60" s="35" t="s">
        <v>196</v>
      </c>
      <c r="E60" s="36" t="n">
        <v>33913</v>
      </c>
      <c r="F60" s="36" t="n">
        <v>10410</v>
      </c>
      <c r="G60" s="37" t="n">
        <v>46135</v>
      </c>
      <c r="H60" s="35" t="s">
        <v>290</v>
      </c>
      <c r="I60" s="35" t="s">
        <v>230</v>
      </c>
      <c r="J60" s="36" t="n">
        <v>2026</v>
      </c>
      <c r="K60" s="38" t="n">
        <v>14495.45</v>
      </c>
      <c r="L60" s="37" t="n">
        <v>46140</v>
      </c>
      <c r="M60" s="35" t="n">
        <v>0.22</v>
      </c>
      <c r="N60" s="35" t="n">
        <v>0.22</v>
      </c>
      <c r="O60" s="35" t="s">
        <v>188</v>
      </c>
      <c r="P60" s="35"/>
      <c r="Q60" s="37" t="n">
        <v>46140</v>
      </c>
      <c r="R60" s="35"/>
    </row>
    <row r="61" customFormat="false" ht="15" hidden="false" customHeight="false" outlineLevel="0" collapsed="false">
      <c r="A61" s="35" t="s">
        <v>194</v>
      </c>
      <c r="B61" s="35" t="s">
        <v>206</v>
      </c>
      <c r="C61" s="35" t="s">
        <v>184</v>
      </c>
      <c r="D61" s="35" t="s">
        <v>196</v>
      </c>
      <c r="E61" s="36" t="n">
        <v>33913</v>
      </c>
      <c r="F61" s="36" t="n">
        <v>10407</v>
      </c>
      <c r="G61" s="37" t="n">
        <v>46135</v>
      </c>
      <c r="H61" s="35" t="s">
        <v>291</v>
      </c>
      <c r="I61" s="35" t="s">
        <v>230</v>
      </c>
      <c r="J61" s="36" t="n">
        <v>2026</v>
      </c>
      <c r="K61" s="38" t="n">
        <v>39770.08</v>
      </c>
      <c r="L61" s="37" t="n">
        <v>46140</v>
      </c>
      <c r="M61" s="35" t="n">
        <v>0.04</v>
      </c>
      <c r="N61" s="35" t="n">
        <v>0.04</v>
      </c>
      <c r="O61" s="35" t="s">
        <v>188</v>
      </c>
      <c r="P61" s="35"/>
      <c r="Q61" s="37" t="n">
        <v>46140</v>
      </c>
      <c r="R61" s="35" t="s">
        <v>208</v>
      </c>
    </row>
    <row r="62" customFormat="false" ht="15" hidden="false" customHeight="false" outlineLevel="0" collapsed="false">
      <c r="A62" s="35" t="s">
        <v>108</v>
      </c>
      <c r="B62" s="35" t="s">
        <v>292</v>
      </c>
      <c r="C62" s="35" t="s">
        <v>184</v>
      </c>
      <c r="D62" s="35" t="s">
        <v>258</v>
      </c>
      <c r="E62" s="36" t="n">
        <v>75456</v>
      </c>
      <c r="F62" s="36" t="n">
        <v>10200</v>
      </c>
      <c r="G62" s="37" t="n">
        <v>46081</v>
      </c>
      <c r="H62" s="35" t="s">
        <v>293</v>
      </c>
      <c r="I62" s="35" t="s">
        <v>191</v>
      </c>
      <c r="J62" s="36" t="n">
        <v>2026</v>
      </c>
      <c r="K62" s="38" t="n">
        <v>662551.31</v>
      </c>
      <c r="L62" s="37" t="n">
        <v>46141</v>
      </c>
      <c r="M62" s="35" t="n">
        <v>0.079</v>
      </c>
      <c r="N62" s="35" t="n">
        <v>0.08</v>
      </c>
      <c r="O62" s="35" t="s">
        <v>188</v>
      </c>
      <c r="P62" s="35"/>
      <c r="Q62" s="37" t="n">
        <v>46142</v>
      </c>
      <c r="R62" s="35"/>
    </row>
    <row r="63" customFormat="false" ht="15" hidden="false" customHeight="false" outlineLevel="0" collapsed="false">
      <c r="A63" s="35" t="s">
        <v>108</v>
      </c>
      <c r="B63" s="35" t="s">
        <v>292</v>
      </c>
      <c r="C63" s="35" t="s">
        <v>184</v>
      </c>
      <c r="D63" s="35" t="s">
        <v>258</v>
      </c>
      <c r="E63" s="36" t="n">
        <v>75456</v>
      </c>
      <c r="F63" s="36" t="n">
        <v>10200</v>
      </c>
      <c r="G63" s="37" t="n">
        <v>46082</v>
      </c>
      <c r="H63" s="35" t="s">
        <v>294</v>
      </c>
      <c r="I63" s="35" t="s">
        <v>198</v>
      </c>
      <c r="J63" s="36" t="n">
        <v>2026</v>
      </c>
      <c r="K63" s="38" t="n">
        <v>823315.49</v>
      </c>
      <c r="L63" s="37" t="n">
        <v>46141</v>
      </c>
      <c r="M63" s="35" t="n">
        <v>0.079</v>
      </c>
      <c r="N63" s="35" t="n">
        <v>0.08</v>
      </c>
      <c r="O63" s="35" t="s">
        <v>188</v>
      </c>
      <c r="P63" s="35"/>
      <c r="Q63" s="37" t="n">
        <v>46142</v>
      </c>
      <c r="R63" s="35"/>
    </row>
    <row r="64" customFormat="false" ht="15" hidden="false" customHeight="false" outlineLevel="0" collapsed="false">
      <c r="A64" s="35" t="s">
        <v>108</v>
      </c>
      <c r="B64" s="35" t="s">
        <v>119</v>
      </c>
      <c r="C64" s="35" t="s">
        <v>184</v>
      </c>
      <c r="D64" s="35" t="s">
        <v>185</v>
      </c>
      <c r="E64" s="36" t="n">
        <v>75456</v>
      </c>
      <c r="F64" s="36" t="n">
        <v>10200</v>
      </c>
      <c r="G64" s="37" t="n">
        <v>46082</v>
      </c>
      <c r="H64" s="35" t="s">
        <v>295</v>
      </c>
      <c r="I64" s="35" t="s">
        <v>198</v>
      </c>
      <c r="J64" s="36" t="n">
        <v>2026</v>
      </c>
      <c r="K64" s="38" t="n">
        <v>108970.93</v>
      </c>
      <c r="L64" s="37" t="n">
        <v>46141</v>
      </c>
      <c r="M64" s="35" t="n">
        <v>0.109</v>
      </c>
      <c r="N64" s="35" t="n">
        <v>0.109</v>
      </c>
      <c r="O64" s="35" t="s">
        <v>188</v>
      </c>
      <c r="P64" s="35"/>
      <c r="Q64" s="37" t="n">
        <v>46142</v>
      </c>
      <c r="R64" s="35"/>
    </row>
    <row r="65" customFormat="false" ht="15" hidden="false" customHeight="false" outlineLevel="0" collapsed="false">
      <c r="A65" s="35" t="s">
        <v>219</v>
      </c>
      <c r="B65" s="35" t="s">
        <v>206</v>
      </c>
      <c r="C65" s="35" t="s">
        <v>184</v>
      </c>
      <c r="D65" s="35" t="s">
        <v>196</v>
      </c>
      <c r="E65" s="36" t="n">
        <v>40169</v>
      </c>
      <c r="F65" s="36" t="n">
        <v>10417</v>
      </c>
      <c r="G65" s="37" t="n">
        <v>46139</v>
      </c>
      <c r="H65" s="35" t="n">
        <v>13650</v>
      </c>
      <c r="I65" s="35" t="s">
        <v>230</v>
      </c>
      <c r="J65" s="36" t="n">
        <v>2026</v>
      </c>
      <c r="K65" s="38" t="n">
        <v>29446.27</v>
      </c>
      <c r="L65" s="37" t="n">
        <v>46141</v>
      </c>
      <c r="M65" s="35" t="n">
        <v>0.0375</v>
      </c>
      <c r="N65" s="35" t="n">
        <v>0.0375</v>
      </c>
      <c r="O65" s="35" t="s">
        <v>188</v>
      </c>
      <c r="P65" s="35"/>
      <c r="Q65" s="37" t="n">
        <v>46142</v>
      </c>
      <c r="R65" s="35"/>
    </row>
    <row r="66" customFormat="false" ht="15" hidden="false" customHeight="false" outlineLevel="0" collapsed="false">
      <c r="A66" s="35" t="s">
        <v>219</v>
      </c>
      <c r="B66" s="35" t="s">
        <v>220</v>
      </c>
      <c r="C66" s="35" t="s">
        <v>184</v>
      </c>
      <c r="D66" s="35" t="s">
        <v>196</v>
      </c>
      <c r="E66" s="36" t="n">
        <v>40169</v>
      </c>
      <c r="F66" s="36" t="n">
        <v>10415</v>
      </c>
      <c r="G66" s="37" t="n">
        <v>46140</v>
      </c>
      <c r="H66" s="35" t="s">
        <v>296</v>
      </c>
      <c r="I66" s="35" t="s">
        <v>230</v>
      </c>
      <c r="J66" s="36" t="n">
        <v>2026</v>
      </c>
      <c r="K66" s="38" t="n">
        <v>16659.08</v>
      </c>
      <c r="L66" s="37" t="n">
        <v>46141</v>
      </c>
      <c r="M66" s="35" t="n">
        <v>0.12</v>
      </c>
      <c r="N66" s="35"/>
      <c r="O66" s="35" t="s">
        <v>188</v>
      </c>
      <c r="P66" s="35"/>
      <c r="Q66" s="37" t="n">
        <v>46142</v>
      </c>
      <c r="R66" s="35" t="s">
        <v>222</v>
      </c>
    </row>
    <row r="67" customFormat="false" ht="15" hidden="false" customHeight="false" outlineLevel="0" collapsed="false">
      <c r="A67" s="35" t="s">
        <v>237</v>
      </c>
      <c r="B67" s="35" t="s">
        <v>238</v>
      </c>
      <c r="C67" s="35" t="s">
        <v>184</v>
      </c>
      <c r="D67" s="35" t="s">
        <v>185</v>
      </c>
      <c r="E67" s="36" t="n">
        <v>44467</v>
      </c>
      <c r="F67" s="36" t="n">
        <v>10824</v>
      </c>
      <c r="G67" s="37" t="n">
        <v>46143</v>
      </c>
      <c r="H67" s="35" t="s">
        <v>297</v>
      </c>
      <c r="I67" s="35" t="s">
        <v>230</v>
      </c>
      <c r="J67" s="36" t="n">
        <v>2026</v>
      </c>
      <c r="K67" s="38" t="n">
        <v>171942.78</v>
      </c>
      <c r="L67" s="37" t="n">
        <v>46146</v>
      </c>
      <c r="M67" s="35" t="n">
        <v>0.05</v>
      </c>
      <c r="N67" s="35" t="n">
        <v>0.05</v>
      </c>
      <c r="O67" s="35" t="s">
        <v>188</v>
      </c>
      <c r="P67" s="35"/>
      <c r="Q67" s="37" t="n">
        <v>46146</v>
      </c>
      <c r="R67" s="35"/>
    </row>
    <row r="68" customFormat="false" ht="15" hidden="false" customHeight="false" outlineLevel="0" collapsed="false">
      <c r="A68" s="35" t="s">
        <v>182</v>
      </c>
      <c r="B68" s="35" t="s">
        <v>183</v>
      </c>
      <c r="C68" s="35" t="s">
        <v>184</v>
      </c>
      <c r="D68" s="35" t="s">
        <v>185</v>
      </c>
      <c r="E68" s="36" t="n">
        <v>74708</v>
      </c>
      <c r="F68" s="36" t="n">
        <v>10118</v>
      </c>
      <c r="G68" s="37" t="n">
        <v>46142</v>
      </c>
      <c r="H68" s="35" t="n">
        <v>1315</v>
      </c>
      <c r="I68" s="35" t="s">
        <v>230</v>
      </c>
      <c r="J68" s="36" t="n">
        <v>2026</v>
      </c>
      <c r="K68" s="38" t="n">
        <v>116168.61</v>
      </c>
      <c r="L68" s="37" t="n">
        <v>46148</v>
      </c>
      <c r="M68" s="35" t="s">
        <v>187</v>
      </c>
      <c r="N68" s="35"/>
      <c r="O68" s="35" t="s">
        <v>188</v>
      </c>
      <c r="P68" s="35"/>
      <c r="Q68" s="37" t="n">
        <v>46150</v>
      </c>
      <c r="R68" s="35" t="s">
        <v>190</v>
      </c>
    </row>
    <row r="69" customFormat="false" ht="15" hidden="false" customHeight="false" outlineLevel="0" collapsed="false">
      <c r="A69" s="35" t="s">
        <v>233</v>
      </c>
      <c r="B69" s="35" t="s">
        <v>234</v>
      </c>
      <c r="C69" s="35" t="s">
        <v>184</v>
      </c>
      <c r="D69" s="35" t="s">
        <v>196</v>
      </c>
      <c r="E69" s="36" t="n">
        <v>57104</v>
      </c>
      <c r="F69" s="36" t="n">
        <v>7910</v>
      </c>
      <c r="G69" s="37" t="n">
        <v>46143</v>
      </c>
      <c r="H69" s="35" t="n">
        <v>5202600560</v>
      </c>
      <c r="I69" s="35" t="s">
        <v>230</v>
      </c>
      <c r="J69" s="36" t="n">
        <v>2026</v>
      </c>
      <c r="K69" s="38" t="n">
        <v>2710.76</v>
      </c>
      <c r="L69" s="37" t="n">
        <v>46148</v>
      </c>
      <c r="M69" s="35" t="s">
        <v>187</v>
      </c>
      <c r="N69" s="35"/>
      <c r="O69" s="35" t="s">
        <v>188</v>
      </c>
      <c r="P69" s="35"/>
      <c r="Q69" s="37" t="n">
        <v>46150</v>
      </c>
      <c r="R69" s="35"/>
    </row>
    <row r="70" customFormat="false" ht="15" hidden="false" customHeight="false" outlineLevel="0" collapsed="false">
      <c r="A70" s="35" t="s">
        <v>219</v>
      </c>
      <c r="B70" s="35" t="s">
        <v>206</v>
      </c>
      <c r="C70" s="35" t="s">
        <v>184</v>
      </c>
      <c r="D70" s="35" t="s">
        <v>196</v>
      </c>
      <c r="E70" s="36" t="n">
        <v>40169</v>
      </c>
      <c r="F70" s="36" t="n">
        <v>10417</v>
      </c>
      <c r="G70" s="37" t="n">
        <v>46146</v>
      </c>
      <c r="H70" s="35" t="n">
        <v>13652</v>
      </c>
      <c r="I70" s="35" t="s">
        <v>230</v>
      </c>
      <c r="J70" s="36" t="n">
        <v>2026</v>
      </c>
      <c r="K70" s="38" t="n">
        <v>28520.73</v>
      </c>
      <c r="L70" s="37" t="n">
        <v>46149</v>
      </c>
      <c r="M70" s="35" t="n">
        <v>0.0375</v>
      </c>
      <c r="N70" s="35" t="n">
        <v>0.0375</v>
      </c>
      <c r="O70" s="35" t="s">
        <v>188</v>
      </c>
      <c r="P70" s="35"/>
      <c r="Q70" s="37" t="n">
        <v>46150</v>
      </c>
      <c r="R70" s="35"/>
    </row>
    <row r="71" customFormat="false" ht="15" hidden="false" customHeight="false" outlineLevel="0" collapsed="false">
      <c r="A71" s="35" t="s">
        <v>219</v>
      </c>
      <c r="B71" s="35" t="s">
        <v>220</v>
      </c>
      <c r="C71" s="35" t="s">
        <v>184</v>
      </c>
      <c r="D71" s="35" t="s">
        <v>196</v>
      </c>
      <c r="E71" s="36" t="n">
        <v>40169</v>
      </c>
      <c r="F71" s="36" t="n">
        <v>10415</v>
      </c>
      <c r="G71" s="37" t="n">
        <v>46147</v>
      </c>
      <c r="H71" s="35" t="s">
        <v>298</v>
      </c>
      <c r="I71" s="35" t="s">
        <v>230</v>
      </c>
      <c r="J71" s="36" t="n">
        <v>2026</v>
      </c>
      <c r="K71" s="38" t="n">
        <v>15451.56</v>
      </c>
      <c r="L71" s="37" t="n">
        <v>46149</v>
      </c>
      <c r="M71" s="35" t="n">
        <v>0.12</v>
      </c>
      <c r="N71" s="35"/>
      <c r="O71" s="35" t="s">
        <v>188</v>
      </c>
      <c r="P71" s="35"/>
      <c r="Q71" s="37" t="n">
        <v>46150</v>
      </c>
      <c r="R71" s="35" t="s">
        <v>222</v>
      </c>
    </row>
    <row r="72" customFormat="false" ht="15" hidden="false" customHeight="false" outlineLevel="0" collapsed="false">
      <c r="A72" s="35" t="s">
        <v>232</v>
      </c>
      <c r="B72" s="35" t="s">
        <v>228</v>
      </c>
      <c r="C72" s="35" t="s">
        <v>210</v>
      </c>
      <c r="D72" s="35" t="n">
        <v>0</v>
      </c>
      <c r="E72" s="36" t="n">
        <v>69740</v>
      </c>
      <c r="F72" s="36" t="n">
        <v>8438</v>
      </c>
      <c r="G72" s="37" t="n">
        <v>46143</v>
      </c>
      <c r="H72" s="35" t="n">
        <v>7949</v>
      </c>
      <c r="I72" s="35" t="s">
        <v>299</v>
      </c>
      <c r="J72" s="36" t="n">
        <v>2026</v>
      </c>
      <c r="K72" s="38" t="n">
        <v>43775</v>
      </c>
      <c r="L72" s="37" t="n">
        <v>46150</v>
      </c>
      <c r="M72" s="35" t="n">
        <v>43775</v>
      </c>
      <c r="N72" s="35" t="n">
        <v>43775</v>
      </c>
      <c r="O72" s="35" t="s">
        <v>188</v>
      </c>
      <c r="P72" s="35"/>
      <c r="Q72" s="37" t="n">
        <v>46150</v>
      </c>
      <c r="R72" s="35"/>
    </row>
    <row r="73" customFormat="false" ht="15" hidden="false" customHeight="false" outlineLevel="0" collapsed="false">
      <c r="A73" s="35" t="s">
        <v>194</v>
      </c>
      <c r="B73" s="35" t="s">
        <v>206</v>
      </c>
      <c r="C73" s="35" t="s">
        <v>184</v>
      </c>
      <c r="D73" s="35" t="s">
        <v>196</v>
      </c>
      <c r="E73" s="36" t="n">
        <v>33913</v>
      </c>
      <c r="F73" s="36" t="n">
        <v>10407</v>
      </c>
      <c r="G73" s="37" t="n">
        <v>46143</v>
      </c>
      <c r="H73" s="35" t="s">
        <v>300</v>
      </c>
      <c r="I73" s="35" t="s">
        <v>230</v>
      </c>
      <c r="J73" s="36" t="n">
        <v>2026</v>
      </c>
      <c r="K73" s="38" t="n">
        <v>35348.28</v>
      </c>
      <c r="L73" s="37" t="n">
        <v>46155</v>
      </c>
      <c r="M73" s="35" t="n">
        <v>0.04</v>
      </c>
      <c r="N73" s="35" t="n">
        <v>0.04</v>
      </c>
      <c r="O73" s="35" t="s">
        <v>188</v>
      </c>
      <c r="P73" s="35"/>
      <c r="Q73" s="37" t="n">
        <v>46157</v>
      </c>
      <c r="R73" s="35" t="s">
        <v>208</v>
      </c>
    </row>
    <row r="74" customFormat="false" ht="15" hidden="false" customHeight="false" outlineLevel="0" collapsed="false">
      <c r="A74" s="35" t="s">
        <v>194</v>
      </c>
      <c r="B74" s="35" t="s">
        <v>223</v>
      </c>
      <c r="C74" s="35" t="s">
        <v>184</v>
      </c>
      <c r="D74" s="35" t="s">
        <v>196</v>
      </c>
      <c r="E74" s="36" t="n">
        <v>33913</v>
      </c>
      <c r="F74" s="36" t="n">
        <v>10407</v>
      </c>
      <c r="G74" s="37" t="n">
        <v>46143</v>
      </c>
      <c r="H74" s="35" t="s">
        <v>301</v>
      </c>
      <c r="I74" s="35" t="s">
        <v>230</v>
      </c>
      <c r="J74" s="36" t="n">
        <v>2026</v>
      </c>
      <c r="K74" s="38" t="n">
        <v>38018.75</v>
      </c>
      <c r="L74" s="37" t="n">
        <v>46155</v>
      </c>
      <c r="M74" s="35" t="s">
        <v>245</v>
      </c>
      <c r="N74" s="35" t="s">
        <v>245</v>
      </c>
      <c r="O74" s="35" t="s">
        <v>188</v>
      </c>
      <c r="P74" s="35" t="s">
        <v>302</v>
      </c>
      <c r="Q74" s="37" t="n">
        <v>46157</v>
      </c>
      <c r="R74" s="35"/>
    </row>
    <row r="75" customFormat="false" ht="15" hidden="false" customHeight="false" outlineLevel="0" collapsed="false">
      <c r="A75" s="35" t="s">
        <v>194</v>
      </c>
      <c r="B75" s="35" t="s">
        <v>199</v>
      </c>
      <c r="C75" s="35" t="s">
        <v>184</v>
      </c>
      <c r="D75" s="35" t="s">
        <v>196</v>
      </c>
      <c r="E75" s="36" t="n">
        <v>33913</v>
      </c>
      <c r="F75" s="36" t="n">
        <v>7896</v>
      </c>
      <c r="G75" s="37" t="n">
        <v>46143</v>
      </c>
      <c r="H75" s="35" t="s">
        <v>303</v>
      </c>
      <c r="I75" s="35" t="s">
        <v>230</v>
      </c>
      <c r="J75" s="36" t="n">
        <v>2026</v>
      </c>
      <c r="K75" s="38" t="n">
        <v>25.01</v>
      </c>
      <c r="L75" s="37" t="n">
        <v>46155</v>
      </c>
      <c r="M75" s="35" t="s">
        <v>201</v>
      </c>
      <c r="N75" s="35" t="n">
        <v>0.25</v>
      </c>
      <c r="O75" s="35" t="s">
        <v>205</v>
      </c>
      <c r="P75" s="35" t="s">
        <v>304</v>
      </c>
      <c r="Q75" s="37" t="n">
        <v>46157</v>
      </c>
      <c r="R75" s="35"/>
    </row>
    <row r="76" customFormat="false" ht="15" hidden="false" customHeight="false" outlineLevel="0" collapsed="false">
      <c r="A76" s="35" t="s">
        <v>194</v>
      </c>
      <c r="B76" s="35" t="s">
        <v>195</v>
      </c>
      <c r="C76" s="35" t="s">
        <v>184</v>
      </c>
      <c r="D76" s="35" t="s">
        <v>196</v>
      </c>
      <c r="E76" s="36" t="n">
        <v>33913</v>
      </c>
      <c r="F76" s="36" t="n">
        <v>10410</v>
      </c>
      <c r="G76" s="37" t="n">
        <v>46143</v>
      </c>
      <c r="H76" s="35" t="s">
        <v>305</v>
      </c>
      <c r="I76" s="35" t="s">
        <v>230</v>
      </c>
      <c r="J76" s="36" t="n">
        <v>2026</v>
      </c>
      <c r="K76" s="38" t="n">
        <v>13205.56</v>
      </c>
      <c r="L76" s="37" t="n">
        <v>46155</v>
      </c>
      <c r="M76" s="35" t="n">
        <v>0.22</v>
      </c>
      <c r="N76" s="35" t="n">
        <v>0.22</v>
      </c>
      <c r="O76" s="35" t="s">
        <v>188</v>
      </c>
      <c r="P76" s="35"/>
      <c r="Q76" s="37" t="n">
        <v>46157</v>
      </c>
      <c r="R76" s="35"/>
    </row>
    <row r="77" customFormat="false" ht="15" hidden="false" customHeight="false" outlineLevel="0" collapsed="false">
      <c r="A77" s="35" t="s">
        <v>108</v>
      </c>
      <c r="B77" s="35" t="s">
        <v>119</v>
      </c>
      <c r="C77" s="35" t="s">
        <v>184</v>
      </c>
      <c r="D77" s="35" t="s">
        <v>185</v>
      </c>
      <c r="E77" s="36" t="n">
        <v>75456</v>
      </c>
      <c r="F77" s="36" t="n">
        <v>10200</v>
      </c>
      <c r="G77" s="37" t="n">
        <v>46142</v>
      </c>
      <c r="H77" s="35" t="s">
        <v>306</v>
      </c>
      <c r="I77" s="35" t="s">
        <v>230</v>
      </c>
      <c r="J77" s="36" t="n">
        <v>2026</v>
      </c>
      <c r="K77" s="38" t="n">
        <v>58187.86</v>
      </c>
      <c r="L77" s="37" t="n">
        <v>46157</v>
      </c>
      <c r="M77" s="35" t="n">
        <v>0.109</v>
      </c>
      <c r="N77" s="35" t="n">
        <v>0.109</v>
      </c>
      <c r="O77" s="35" t="s">
        <v>188</v>
      </c>
      <c r="P77" s="35"/>
      <c r="Q77" s="37" t="n">
        <v>46158</v>
      </c>
      <c r="R77" s="35"/>
    </row>
    <row r="78" customFormat="false" ht="15" hidden="false" customHeight="false" outlineLevel="0" collapsed="false">
      <c r="A78" s="35" t="s">
        <v>307</v>
      </c>
      <c r="B78" s="35" t="s">
        <v>308</v>
      </c>
      <c r="C78" s="35" t="s">
        <v>184</v>
      </c>
      <c r="D78" s="35" t="s">
        <v>196</v>
      </c>
      <c r="E78" s="36" t="n">
        <v>69558</v>
      </c>
      <c r="F78" s="36" t="n">
        <v>10891</v>
      </c>
      <c r="G78" s="37" t="n">
        <v>46142</v>
      </c>
      <c r="H78" s="35" t="s">
        <v>309</v>
      </c>
      <c r="I78" s="35" t="s">
        <v>230</v>
      </c>
      <c r="J78" s="36" t="n">
        <v>2026</v>
      </c>
      <c r="K78" s="38" t="n">
        <v>1904.78</v>
      </c>
      <c r="L78" s="37" t="n">
        <v>46157</v>
      </c>
      <c r="M78" s="35" t="n">
        <v>3000</v>
      </c>
      <c r="N78" s="35"/>
      <c r="O78" s="35" t="s">
        <v>188</v>
      </c>
      <c r="P78" s="35"/>
      <c r="Q78" s="37" t="n">
        <v>46158</v>
      </c>
      <c r="R78" s="35"/>
    </row>
    <row r="79" customFormat="false" ht="15" hidden="false" customHeight="false" outlineLevel="0" collapsed="false">
      <c r="A79" s="35" t="s">
        <v>237</v>
      </c>
      <c r="B79" s="35" t="s">
        <v>238</v>
      </c>
      <c r="C79" s="35" t="s">
        <v>184</v>
      </c>
      <c r="D79" s="35" t="s">
        <v>185</v>
      </c>
      <c r="E79" s="36" t="n">
        <v>44467</v>
      </c>
      <c r="F79" s="36" t="n">
        <v>10824</v>
      </c>
      <c r="G79" s="37" t="n">
        <v>46083</v>
      </c>
      <c r="H79" s="35" t="s">
        <v>310</v>
      </c>
      <c r="I79" s="35" t="s">
        <v>191</v>
      </c>
      <c r="J79" s="36" t="n">
        <v>2026</v>
      </c>
      <c r="K79" s="38" t="n">
        <v>139797.53</v>
      </c>
      <c r="L79" s="37" t="n">
        <v>46160</v>
      </c>
      <c r="M79" s="35" t="n">
        <v>0.05</v>
      </c>
      <c r="N79" s="35" t="n">
        <v>0.05</v>
      </c>
      <c r="O79" s="35" t="s">
        <v>188</v>
      </c>
      <c r="P79" s="35"/>
      <c r="Q79" s="37" t="n">
        <v>46161</v>
      </c>
      <c r="R79" s="35"/>
    </row>
    <row r="80" customFormat="false" ht="15" hidden="false" customHeight="false" outlineLevel="0" collapsed="false">
      <c r="A80" s="35" t="s">
        <v>127</v>
      </c>
      <c r="B80" s="35" t="s">
        <v>228</v>
      </c>
      <c r="C80" s="35" t="s">
        <v>229</v>
      </c>
      <c r="D80" s="35" t="s">
        <v>210</v>
      </c>
      <c r="E80" s="36" t="n">
        <v>69911</v>
      </c>
      <c r="F80" s="36" t="n">
        <v>10138</v>
      </c>
      <c r="G80" s="37" t="n">
        <v>46147</v>
      </c>
      <c r="H80" s="35" t="n">
        <v>417</v>
      </c>
      <c r="I80" s="35" t="s">
        <v>230</v>
      </c>
      <c r="J80" s="36" t="n">
        <v>2026</v>
      </c>
      <c r="K80" s="38" t="n">
        <v>19684.5</v>
      </c>
      <c r="L80" s="37" t="n">
        <v>46160</v>
      </c>
      <c r="M80" s="35" t="n">
        <v>19684.5</v>
      </c>
      <c r="N80" s="35"/>
      <c r="O80" s="35" t="s">
        <v>188</v>
      </c>
      <c r="P80" s="35"/>
      <c r="Q80" s="37" t="n">
        <v>46160</v>
      </c>
      <c r="R80" s="35"/>
    </row>
    <row r="81" customFormat="false" ht="15" hidden="false" customHeight="false" outlineLevel="0" collapsed="false">
      <c r="A81" s="35" t="s">
        <v>127</v>
      </c>
      <c r="B81" s="35" t="s">
        <v>228</v>
      </c>
      <c r="C81" s="35" t="s">
        <v>229</v>
      </c>
      <c r="D81" s="35" t="s">
        <v>210</v>
      </c>
      <c r="E81" s="36" t="n">
        <v>69911</v>
      </c>
      <c r="F81" s="36" t="n">
        <v>10138</v>
      </c>
      <c r="G81" s="37" t="n">
        <v>46147</v>
      </c>
      <c r="H81" s="35" t="n">
        <v>418</v>
      </c>
      <c r="I81" s="35" t="s">
        <v>230</v>
      </c>
      <c r="J81" s="36" t="n">
        <v>2026</v>
      </c>
      <c r="K81" s="38" t="n">
        <v>11492.92</v>
      </c>
      <c r="L81" s="37" t="n">
        <v>46160</v>
      </c>
      <c r="M81" s="35" t="n">
        <v>19684.5</v>
      </c>
      <c r="N81" s="35"/>
      <c r="O81" s="35" t="s">
        <v>188</v>
      </c>
      <c r="P81" s="35" t="s">
        <v>311</v>
      </c>
      <c r="Q81" s="37" t="n">
        <v>46160</v>
      </c>
      <c r="R81" s="35"/>
    </row>
    <row r="82" customFormat="false" ht="15" hidden="false" customHeight="false" outlineLevel="0" collapsed="false">
      <c r="A82" s="35" t="s">
        <v>135</v>
      </c>
      <c r="B82" s="35" t="s">
        <v>209</v>
      </c>
      <c r="C82" s="35" t="s">
        <v>184</v>
      </c>
      <c r="D82" s="35" t="s">
        <v>210</v>
      </c>
      <c r="E82" s="36" t="n">
        <v>32522</v>
      </c>
      <c r="F82" s="36" t="n">
        <v>10473</v>
      </c>
      <c r="G82" s="37" t="n">
        <v>46142</v>
      </c>
      <c r="H82" s="35" t="s">
        <v>312</v>
      </c>
      <c r="I82" s="35" t="s">
        <v>230</v>
      </c>
      <c r="J82" s="36" t="n">
        <v>2026</v>
      </c>
      <c r="K82" s="38" t="n">
        <v>164231.07</v>
      </c>
      <c r="L82" s="37" t="n">
        <v>46161</v>
      </c>
      <c r="M82" s="35" t="s">
        <v>187</v>
      </c>
      <c r="N82" s="35"/>
      <c r="O82" s="35" t="s">
        <v>188</v>
      </c>
      <c r="P82" s="35"/>
      <c r="Q82" s="37" t="n">
        <v>46162</v>
      </c>
      <c r="R82" s="35"/>
    </row>
    <row r="83" customFormat="false" ht="15" hidden="false" customHeight="false" outlineLevel="0" collapsed="false">
      <c r="A83" s="35" t="s">
        <v>144</v>
      </c>
      <c r="B83" s="35" t="s">
        <v>212</v>
      </c>
      <c r="C83" s="35" t="s">
        <v>213</v>
      </c>
      <c r="D83" s="35" t="s">
        <v>214</v>
      </c>
      <c r="E83" s="36" t="n">
        <v>60823</v>
      </c>
      <c r="F83" s="36" t="n">
        <v>10406</v>
      </c>
      <c r="G83" s="37" t="n">
        <v>46142</v>
      </c>
      <c r="H83" s="35" t="s">
        <v>313</v>
      </c>
      <c r="I83" s="35" t="s">
        <v>230</v>
      </c>
      <c r="J83" s="36" t="n">
        <v>2026</v>
      </c>
      <c r="K83" s="38" t="n">
        <v>455.13</v>
      </c>
      <c r="L83" s="37" t="n">
        <v>46161</v>
      </c>
      <c r="M83" s="35" t="s">
        <v>187</v>
      </c>
      <c r="N83" s="35"/>
      <c r="O83" s="35" t="s">
        <v>188</v>
      </c>
      <c r="P83" s="35"/>
      <c r="Q83" s="37" t="n">
        <v>46161</v>
      </c>
      <c r="R83" s="35"/>
    </row>
    <row r="84" customFormat="false" ht="15" hidden="false" customHeight="false" outlineLevel="0" collapsed="false">
      <c r="A84" s="35" t="s">
        <v>144</v>
      </c>
      <c r="B84" s="35" t="s">
        <v>212</v>
      </c>
      <c r="C84" s="35" t="s">
        <v>213</v>
      </c>
      <c r="D84" s="35" t="s">
        <v>214</v>
      </c>
      <c r="E84" s="36" t="n">
        <v>60823</v>
      </c>
      <c r="F84" s="36" t="n">
        <v>10406</v>
      </c>
      <c r="G84" s="37" t="n">
        <v>46142</v>
      </c>
      <c r="H84" s="35" t="s">
        <v>314</v>
      </c>
      <c r="I84" s="35" t="s">
        <v>230</v>
      </c>
      <c r="J84" s="36" t="n">
        <v>2026</v>
      </c>
      <c r="K84" s="38" t="n">
        <v>257.3</v>
      </c>
      <c r="L84" s="37" t="n">
        <v>46161</v>
      </c>
      <c r="M84" s="35" t="s">
        <v>187</v>
      </c>
      <c r="N84" s="35"/>
      <c r="O84" s="35" t="s">
        <v>188</v>
      </c>
      <c r="P84" s="35"/>
      <c r="Q84" s="37" t="n">
        <v>46161</v>
      </c>
      <c r="R84" s="35"/>
    </row>
    <row r="85" customFormat="false" ht="15" hidden="false" customHeight="false" outlineLevel="0" collapsed="false">
      <c r="A85" s="35" t="s">
        <v>147</v>
      </c>
      <c r="B85" s="35" t="s">
        <v>259</v>
      </c>
      <c r="C85" s="35" t="s">
        <v>260</v>
      </c>
      <c r="D85" s="35" t="s">
        <v>261</v>
      </c>
      <c r="E85" s="36" t="n">
        <v>22104</v>
      </c>
      <c r="F85" s="36" t="n">
        <v>11587</v>
      </c>
      <c r="G85" s="37" t="n">
        <v>46148</v>
      </c>
      <c r="H85" s="35" t="n">
        <v>400017992</v>
      </c>
      <c r="I85" s="35" t="s">
        <v>230</v>
      </c>
      <c r="J85" s="36" t="n">
        <v>2026</v>
      </c>
      <c r="K85" s="38" t="n">
        <v>12950</v>
      </c>
      <c r="L85" s="37" t="n">
        <v>46161</v>
      </c>
      <c r="M85" s="35" t="n">
        <v>12950</v>
      </c>
      <c r="N85" s="35" t="n">
        <v>12950</v>
      </c>
      <c r="O85" s="35" t="s">
        <v>188</v>
      </c>
      <c r="P85" s="35"/>
      <c r="Q85" s="37" t="n">
        <v>46161</v>
      </c>
      <c r="R85" s="35"/>
    </row>
    <row r="86" customFormat="false" ht="15" hidden="false" customHeight="false" outlineLevel="0" collapsed="false">
      <c r="A86" s="35" t="s">
        <v>194</v>
      </c>
      <c r="B86" s="35" t="s">
        <v>199</v>
      </c>
      <c r="C86" s="35" t="s">
        <v>184</v>
      </c>
      <c r="D86" s="35" t="s">
        <v>196</v>
      </c>
      <c r="E86" s="36" t="n">
        <v>33913</v>
      </c>
      <c r="F86" s="36" t="n">
        <v>7896</v>
      </c>
      <c r="G86" s="37" t="n">
        <v>46150</v>
      </c>
      <c r="H86" s="35" t="s">
        <v>315</v>
      </c>
      <c r="I86" s="35" t="s">
        <v>230</v>
      </c>
      <c r="J86" s="36" t="n">
        <v>2026</v>
      </c>
      <c r="K86" s="38" t="n">
        <v>53.1</v>
      </c>
      <c r="L86" s="37" t="n">
        <v>46161</v>
      </c>
      <c r="M86" s="35" t="s">
        <v>201</v>
      </c>
      <c r="N86" s="35"/>
      <c r="O86" s="35" t="s">
        <v>188</v>
      </c>
      <c r="P86" s="35" t="s">
        <v>316</v>
      </c>
      <c r="Q86" s="37" t="n">
        <v>46168</v>
      </c>
      <c r="R86" s="35"/>
    </row>
    <row r="87" customFormat="false" ht="15" hidden="false" customHeight="false" outlineLevel="0" collapsed="false">
      <c r="A87" s="35" t="s">
        <v>194</v>
      </c>
      <c r="B87" s="35" t="s">
        <v>195</v>
      </c>
      <c r="C87" s="35" t="s">
        <v>184</v>
      </c>
      <c r="D87" s="35" t="s">
        <v>196</v>
      </c>
      <c r="E87" s="36" t="n">
        <v>33913</v>
      </c>
      <c r="F87" s="36" t="n">
        <v>10410</v>
      </c>
      <c r="G87" s="37" t="n">
        <v>46150</v>
      </c>
      <c r="H87" s="35" t="s">
        <v>317</v>
      </c>
      <c r="I87" s="35" t="s">
        <v>230</v>
      </c>
      <c r="J87" s="36" t="n">
        <v>2026</v>
      </c>
      <c r="K87" s="38" t="n">
        <v>15059.22</v>
      </c>
      <c r="L87" s="37" t="n">
        <v>46161</v>
      </c>
      <c r="M87" s="35" t="n">
        <v>0.22</v>
      </c>
      <c r="N87" s="35" t="n">
        <v>0.22</v>
      </c>
      <c r="O87" s="35" t="s">
        <v>188</v>
      </c>
      <c r="P87" s="35" t="s">
        <v>316</v>
      </c>
      <c r="Q87" s="37" t="n">
        <v>46168</v>
      </c>
      <c r="R87" s="35"/>
    </row>
    <row r="88" customFormat="false" ht="15" hidden="false" customHeight="false" outlineLevel="0" collapsed="false">
      <c r="A88" s="35" t="s">
        <v>194</v>
      </c>
      <c r="B88" s="35" t="s">
        <v>206</v>
      </c>
      <c r="C88" s="35" t="s">
        <v>184</v>
      </c>
      <c r="D88" s="35" t="s">
        <v>196</v>
      </c>
      <c r="E88" s="36" t="n">
        <v>33913</v>
      </c>
      <c r="F88" s="36" t="n">
        <v>10407</v>
      </c>
      <c r="G88" s="37" t="n">
        <v>46150</v>
      </c>
      <c r="H88" s="35" t="s">
        <v>318</v>
      </c>
      <c r="I88" s="35" t="s">
        <v>230</v>
      </c>
      <c r="J88" s="36" t="n">
        <v>2026</v>
      </c>
      <c r="K88" s="38" t="n">
        <v>33954.56</v>
      </c>
      <c r="L88" s="37" t="n">
        <v>46161</v>
      </c>
      <c r="M88" s="35" t="n">
        <v>0.04</v>
      </c>
      <c r="N88" s="35" t="n">
        <v>0.04</v>
      </c>
      <c r="O88" s="35" t="s">
        <v>188</v>
      </c>
      <c r="P88" s="35" t="s">
        <v>316</v>
      </c>
      <c r="Q88" s="37" t="n">
        <v>46168</v>
      </c>
      <c r="R88" s="35" t="s">
        <v>208</v>
      </c>
    </row>
    <row r="89" customFormat="false" ht="15" hidden="false" customHeight="false" outlineLevel="0" collapsed="false">
      <c r="A89" s="35" t="s">
        <v>194</v>
      </c>
      <c r="B89" s="35" t="s">
        <v>240</v>
      </c>
      <c r="C89" s="35" t="s">
        <v>184</v>
      </c>
      <c r="D89" s="35" t="s">
        <v>196</v>
      </c>
      <c r="E89" s="36" t="n">
        <v>33913</v>
      </c>
      <c r="F89" s="36" t="n">
        <v>7892</v>
      </c>
      <c r="G89" s="37" t="n">
        <v>46150</v>
      </c>
      <c r="H89" s="35" t="s">
        <v>319</v>
      </c>
      <c r="I89" s="35" t="s">
        <v>230</v>
      </c>
      <c r="J89" s="36" t="n">
        <v>2026</v>
      </c>
      <c r="K89" s="38" t="n">
        <v>5.1</v>
      </c>
      <c r="L89" s="37" t="n">
        <v>46161</v>
      </c>
      <c r="M89" s="35" t="n">
        <v>0.17</v>
      </c>
      <c r="N89" s="35" t="n">
        <v>0.17</v>
      </c>
      <c r="O89" s="35" t="s">
        <v>188</v>
      </c>
      <c r="P89" s="35" t="s">
        <v>316</v>
      </c>
      <c r="Q89" s="37" t="n">
        <v>46168</v>
      </c>
      <c r="R89" s="35"/>
    </row>
    <row r="90" customFormat="false" ht="15" hidden="false" customHeight="false" outlineLevel="0" collapsed="false">
      <c r="A90" s="35" t="s">
        <v>320</v>
      </c>
      <c r="B90" s="35" t="s">
        <v>321</v>
      </c>
      <c r="C90" s="35" t="s">
        <v>213</v>
      </c>
      <c r="D90" s="35" t="s">
        <v>322</v>
      </c>
      <c r="E90" s="36" t="n">
        <v>26853</v>
      </c>
      <c r="F90" s="36" t="n">
        <v>11023</v>
      </c>
      <c r="G90" s="37" t="n">
        <v>46140</v>
      </c>
      <c r="H90" s="35" t="s">
        <v>323</v>
      </c>
      <c r="I90" s="35" t="s">
        <v>230</v>
      </c>
      <c r="J90" s="36" t="n">
        <v>2026</v>
      </c>
      <c r="K90" s="38" t="n">
        <v>14306.25</v>
      </c>
      <c r="L90" s="37" t="n">
        <v>46162</v>
      </c>
      <c r="M90" s="35" t="n">
        <v>12000</v>
      </c>
      <c r="N90" s="35" t="s">
        <v>324</v>
      </c>
      <c r="O90" s="35" t="s">
        <v>188</v>
      </c>
      <c r="P90" s="35" t="s">
        <v>325</v>
      </c>
      <c r="Q90" s="37" t="n">
        <v>46162</v>
      </c>
      <c r="R90" s="35"/>
    </row>
    <row r="91" customFormat="false" ht="15" hidden="false" customHeight="false" outlineLevel="0" collapsed="false">
      <c r="A91" s="35" t="s">
        <v>121</v>
      </c>
      <c r="B91" s="35" t="s">
        <v>226</v>
      </c>
      <c r="C91" s="35" t="s">
        <v>213</v>
      </c>
      <c r="D91" s="35" t="s">
        <v>227</v>
      </c>
      <c r="E91" s="36" t="n">
        <v>45857</v>
      </c>
      <c r="F91" s="36" t="n">
        <v>8658</v>
      </c>
      <c r="G91" s="37" t="n">
        <v>46146</v>
      </c>
      <c r="H91" s="35" t="n">
        <v>5017038</v>
      </c>
      <c r="I91" s="35" t="s">
        <v>230</v>
      </c>
      <c r="J91" s="36" t="n">
        <v>2026</v>
      </c>
      <c r="K91" s="38" t="n">
        <v>20771.43</v>
      </c>
      <c r="L91" s="37" t="n">
        <v>46162</v>
      </c>
      <c r="M91" s="35" t="n">
        <v>0.26</v>
      </c>
      <c r="N91" s="35" t="n">
        <v>0.26</v>
      </c>
      <c r="O91" s="35" t="s">
        <v>188</v>
      </c>
      <c r="P91" s="35"/>
      <c r="Q91" s="37" t="n">
        <v>46162</v>
      </c>
      <c r="R91" s="35"/>
    </row>
    <row r="92" customFormat="false" ht="15" hidden="false" customHeight="false" outlineLevel="0" collapsed="false">
      <c r="A92" s="35" t="s">
        <v>121</v>
      </c>
      <c r="B92" s="35" t="s">
        <v>226</v>
      </c>
      <c r="C92" s="35" t="s">
        <v>213</v>
      </c>
      <c r="D92" s="35" t="s">
        <v>227</v>
      </c>
      <c r="E92" s="36" t="n">
        <v>45857</v>
      </c>
      <c r="F92" s="36" t="n">
        <v>8658</v>
      </c>
      <c r="G92" s="37" t="n">
        <v>46146</v>
      </c>
      <c r="H92" s="35" t="n">
        <v>6015012</v>
      </c>
      <c r="I92" s="35" t="s">
        <v>230</v>
      </c>
      <c r="J92" s="36" t="n">
        <v>2026</v>
      </c>
      <c r="K92" s="38" t="n">
        <v>1871.08</v>
      </c>
      <c r="L92" s="37" t="n">
        <v>46162</v>
      </c>
      <c r="M92" s="35" t="n">
        <v>0.26</v>
      </c>
      <c r="N92" s="35" t="n">
        <v>0.26</v>
      </c>
      <c r="O92" s="35" t="s">
        <v>188</v>
      </c>
      <c r="P92" s="35"/>
      <c r="Q92" s="37" t="n">
        <v>46162</v>
      </c>
      <c r="R92" s="35"/>
    </row>
    <row r="93" customFormat="false" ht="15" hidden="false" customHeight="false" outlineLevel="0" collapsed="false">
      <c r="A93" s="35" t="s">
        <v>121</v>
      </c>
      <c r="B93" s="35" t="s">
        <v>235</v>
      </c>
      <c r="C93" s="35" t="s">
        <v>213</v>
      </c>
      <c r="D93" s="35" t="s">
        <v>227</v>
      </c>
      <c r="E93" s="36" t="n">
        <v>45857</v>
      </c>
      <c r="F93" s="36" t="n">
        <v>8659</v>
      </c>
      <c r="G93" s="37" t="n">
        <v>46146</v>
      </c>
      <c r="H93" s="35" t="n">
        <v>4015034</v>
      </c>
      <c r="I93" s="35" t="s">
        <v>230</v>
      </c>
      <c r="J93" s="36" t="n">
        <v>2026</v>
      </c>
      <c r="K93" s="38" t="n">
        <v>28836.15</v>
      </c>
      <c r="L93" s="37" t="n">
        <v>46162</v>
      </c>
      <c r="M93" s="35" t="n">
        <v>0.24</v>
      </c>
      <c r="N93" s="35" t="n">
        <v>0.24</v>
      </c>
      <c r="O93" s="35" t="s">
        <v>188</v>
      </c>
      <c r="P93" s="35"/>
      <c r="Q93" s="37" t="n">
        <v>46162</v>
      </c>
      <c r="R93" s="35"/>
    </row>
    <row r="94" customFormat="false" ht="15" hidden="false" customHeight="false" outlineLevel="0" collapsed="false">
      <c r="A94" s="35" t="s">
        <v>121</v>
      </c>
      <c r="B94" s="35" t="s">
        <v>257</v>
      </c>
      <c r="C94" s="35" t="s">
        <v>184</v>
      </c>
      <c r="D94" s="35" t="s">
        <v>185</v>
      </c>
      <c r="E94" s="36" t="n">
        <v>45857</v>
      </c>
      <c r="F94" s="36" t="n">
        <v>11172</v>
      </c>
      <c r="G94" s="37" t="n">
        <v>46149</v>
      </c>
      <c r="H94" s="35" t="n">
        <v>125796</v>
      </c>
      <c r="I94" s="35" t="s">
        <v>230</v>
      </c>
      <c r="J94" s="36" t="n">
        <v>2026</v>
      </c>
      <c r="K94" s="38" t="n">
        <v>22637.61</v>
      </c>
      <c r="L94" s="37" t="n">
        <v>46162</v>
      </c>
      <c r="M94" s="35" t="n">
        <v>0.25</v>
      </c>
      <c r="N94" s="35" t="n">
        <v>0.25</v>
      </c>
      <c r="O94" s="35" t="s">
        <v>188</v>
      </c>
      <c r="P94" s="35"/>
      <c r="Q94" s="37" t="n">
        <v>46162</v>
      </c>
      <c r="R94" s="35"/>
    </row>
    <row r="95" customFormat="false" ht="15" hidden="false" customHeight="false" outlineLevel="0" collapsed="false">
      <c r="A95" s="35" t="s">
        <v>121</v>
      </c>
      <c r="B95" s="35" t="s">
        <v>271</v>
      </c>
      <c r="C95" s="35" t="s">
        <v>184</v>
      </c>
      <c r="D95" s="35" t="s">
        <v>185</v>
      </c>
      <c r="E95" s="36" t="n">
        <v>45857</v>
      </c>
      <c r="F95" s="36" t="n">
        <v>10798</v>
      </c>
      <c r="G95" s="37" t="n">
        <v>46154</v>
      </c>
      <c r="H95" s="35" t="n">
        <v>125923</v>
      </c>
      <c r="I95" s="35" t="s">
        <v>230</v>
      </c>
      <c r="J95" s="36" t="n">
        <v>2026</v>
      </c>
      <c r="K95" s="38" t="n">
        <v>19000</v>
      </c>
      <c r="L95" s="37" t="n">
        <v>46162</v>
      </c>
      <c r="M95" s="35" t="s">
        <v>272</v>
      </c>
      <c r="N95" s="35" t="s">
        <v>326</v>
      </c>
      <c r="O95" s="35" t="s">
        <v>188</v>
      </c>
      <c r="P95" s="35"/>
      <c r="Q95" s="37" t="n">
        <v>46162</v>
      </c>
      <c r="R95" s="35"/>
    </row>
    <row r="96" customFormat="false" ht="15" hidden="false" customHeight="false" outlineLevel="0" collapsed="false">
      <c r="A96" s="35" t="s">
        <v>164</v>
      </c>
      <c r="B96" s="35" t="s">
        <v>327</v>
      </c>
      <c r="C96" s="35" t="s">
        <v>193</v>
      </c>
      <c r="D96" s="35" t="s">
        <v>328</v>
      </c>
      <c r="E96" s="36" t="n">
        <v>46597</v>
      </c>
      <c r="F96" s="36" t="n">
        <v>11631</v>
      </c>
      <c r="G96" s="37" t="n">
        <v>46061</v>
      </c>
      <c r="H96" s="35" t="n">
        <v>30006220934</v>
      </c>
      <c r="I96" s="35" t="s">
        <v>191</v>
      </c>
      <c r="J96" s="36" t="n">
        <v>2026</v>
      </c>
      <c r="K96" s="38" t="n">
        <v>132000</v>
      </c>
      <c r="L96" s="37" t="n">
        <v>46163</v>
      </c>
      <c r="M96" s="35" t="n">
        <v>132000</v>
      </c>
      <c r="N96" s="35" t="n">
        <v>132000</v>
      </c>
      <c r="O96" s="35" t="s">
        <v>188</v>
      </c>
      <c r="P96" s="35" t="s">
        <v>329</v>
      </c>
      <c r="Q96" s="37" t="n">
        <v>46163</v>
      </c>
      <c r="R96" s="35"/>
    </row>
    <row r="97" customFormat="false" ht="15" hidden="false" customHeight="false" outlineLevel="0" collapsed="false">
      <c r="A97" s="35" t="s">
        <v>219</v>
      </c>
      <c r="B97" s="35" t="s">
        <v>206</v>
      </c>
      <c r="C97" s="35" t="s">
        <v>184</v>
      </c>
      <c r="D97" s="35" t="s">
        <v>196</v>
      </c>
      <c r="E97" s="36" t="n">
        <v>40169</v>
      </c>
      <c r="F97" s="36" t="n">
        <v>10417</v>
      </c>
      <c r="G97" s="37" t="n">
        <v>46142</v>
      </c>
      <c r="H97" s="35" t="n">
        <v>13683</v>
      </c>
      <c r="I97" s="35" t="s">
        <v>230</v>
      </c>
      <c r="J97" s="36" t="n">
        <v>2026</v>
      </c>
      <c r="K97" s="38" t="n">
        <v>3715.45</v>
      </c>
      <c r="L97" s="37" t="n">
        <v>46163</v>
      </c>
      <c r="M97" s="35" t="n">
        <v>0.0375</v>
      </c>
      <c r="N97" s="35" t="n">
        <v>0.0375</v>
      </c>
      <c r="O97" s="35" t="s">
        <v>188</v>
      </c>
      <c r="P97" s="35" t="s">
        <v>330</v>
      </c>
      <c r="Q97" s="37" t="n">
        <v>46168</v>
      </c>
      <c r="R97" s="35"/>
    </row>
    <row r="98" customFormat="false" ht="15" hidden="false" customHeight="false" outlineLevel="0" collapsed="false">
      <c r="A98" s="35" t="s">
        <v>108</v>
      </c>
      <c r="B98" s="35" t="s">
        <v>292</v>
      </c>
      <c r="C98" s="35" t="s">
        <v>184</v>
      </c>
      <c r="D98" s="35" t="s">
        <v>258</v>
      </c>
      <c r="E98" s="36" t="n">
        <v>75456</v>
      </c>
      <c r="F98" s="36" t="n">
        <v>10200</v>
      </c>
      <c r="G98" s="37" t="n">
        <v>46142</v>
      </c>
      <c r="H98" s="35" t="s">
        <v>331</v>
      </c>
      <c r="I98" s="35" t="s">
        <v>230</v>
      </c>
      <c r="J98" s="36" t="n">
        <v>2026</v>
      </c>
      <c r="K98" s="38" t="n">
        <v>721331.83</v>
      </c>
      <c r="L98" s="37" t="n">
        <v>46163</v>
      </c>
      <c r="M98" s="35" t="n">
        <v>0.079</v>
      </c>
      <c r="N98" s="35" t="n">
        <v>0.804</v>
      </c>
      <c r="O98" s="35" t="s">
        <v>188</v>
      </c>
      <c r="P98" s="35" t="s">
        <v>332</v>
      </c>
      <c r="Q98" s="37" t="n">
        <v>46163</v>
      </c>
      <c r="R98" s="35"/>
    </row>
    <row r="99" customFormat="false" ht="15" hidden="false" customHeight="false" outlineLevel="0" collapsed="false">
      <c r="A99" s="35" t="s">
        <v>219</v>
      </c>
      <c r="B99" s="35" t="s">
        <v>223</v>
      </c>
      <c r="C99" s="35" t="s">
        <v>184</v>
      </c>
      <c r="D99" s="35" t="s">
        <v>196</v>
      </c>
      <c r="E99" s="36" t="n">
        <v>40169</v>
      </c>
      <c r="F99" s="36" t="n">
        <v>10417</v>
      </c>
      <c r="G99" s="37" t="n">
        <v>46142</v>
      </c>
      <c r="H99" s="35" t="n">
        <v>13682</v>
      </c>
      <c r="I99" s="35" t="s">
        <v>230</v>
      </c>
      <c r="J99" s="36" t="n">
        <v>2026</v>
      </c>
      <c r="K99" s="38" t="n">
        <v>12320</v>
      </c>
      <c r="L99" s="37" t="n">
        <v>46163</v>
      </c>
      <c r="M99" s="35" t="s">
        <v>224</v>
      </c>
      <c r="N99" s="35" t="s">
        <v>324</v>
      </c>
      <c r="O99" s="35" t="s">
        <v>188</v>
      </c>
      <c r="P99" s="35" t="s">
        <v>333</v>
      </c>
      <c r="Q99" s="37" t="n">
        <v>46168</v>
      </c>
      <c r="R99" s="35"/>
    </row>
    <row r="100" customFormat="false" ht="15" hidden="false" customHeight="false" outlineLevel="0" collapsed="false">
      <c r="A100" s="35" t="s">
        <v>248</v>
      </c>
      <c r="B100" s="35" t="s">
        <v>249</v>
      </c>
      <c r="C100" s="35" t="s">
        <v>184</v>
      </c>
      <c r="D100" s="35" t="s">
        <v>196</v>
      </c>
      <c r="E100" s="36" t="n">
        <v>67555</v>
      </c>
      <c r="F100" s="36" t="n">
        <v>10423</v>
      </c>
      <c r="G100" s="37" t="n">
        <v>46149</v>
      </c>
      <c r="H100" s="35" t="s">
        <v>334</v>
      </c>
      <c r="I100" s="35" t="s">
        <v>230</v>
      </c>
      <c r="J100" s="36" t="n">
        <v>2026</v>
      </c>
      <c r="K100" s="38" t="n">
        <v>9116.33</v>
      </c>
      <c r="L100" s="37" t="n">
        <v>46163</v>
      </c>
      <c r="M100" s="35" t="n">
        <v>9012.86</v>
      </c>
      <c r="N100" s="35" t="n">
        <v>9012.85</v>
      </c>
      <c r="O100" s="35" t="s">
        <v>188</v>
      </c>
      <c r="P100" s="35" t="s">
        <v>335</v>
      </c>
      <c r="Q100" s="37" t="n">
        <v>46168</v>
      </c>
      <c r="R100" s="35"/>
    </row>
    <row r="101" customFormat="false" ht="15" hidden="false" customHeight="false" outlineLevel="0" collapsed="false">
      <c r="A101" s="35" t="s">
        <v>248</v>
      </c>
      <c r="B101" s="35" t="s">
        <v>255</v>
      </c>
      <c r="C101" s="35" t="s">
        <v>184</v>
      </c>
      <c r="D101" s="35" t="s">
        <v>196</v>
      </c>
      <c r="E101" s="36" t="n">
        <v>67555</v>
      </c>
      <c r="F101" s="36" t="n">
        <v>10424</v>
      </c>
      <c r="G101" s="37" t="n">
        <v>46149</v>
      </c>
      <c r="H101" s="35" t="s">
        <v>336</v>
      </c>
      <c r="I101" s="35" t="s">
        <v>230</v>
      </c>
      <c r="J101" s="36" t="n">
        <v>2026</v>
      </c>
      <c r="K101" s="38" t="n">
        <v>11769.02</v>
      </c>
      <c r="L101" s="37" t="n">
        <v>46163</v>
      </c>
      <c r="M101" s="35" t="n">
        <v>11769.02</v>
      </c>
      <c r="N101" s="35" t="n">
        <v>11769.02</v>
      </c>
      <c r="O101" s="35" t="s">
        <v>188</v>
      </c>
      <c r="P101" s="35" t="s">
        <v>337</v>
      </c>
      <c r="Q101" s="37" t="n">
        <v>46168</v>
      </c>
      <c r="R101" s="35"/>
    </row>
    <row r="102" customFormat="false" ht="15" hidden="false" customHeight="false" outlineLevel="0" collapsed="false">
      <c r="A102" s="35" t="s">
        <v>219</v>
      </c>
      <c r="B102" s="35" t="s">
        <v>206</v>
      </c>
      <c r="C102" s="35" t="s">
        <v>184</v>
      </c>
      <c r="D102" s="35" t="s">
        <v>196</v>
      </c>
      <c r="E102" s="36" t="n">
        <v>40169</v>
      </c>
      <c r="F102" s="36" t="n">
        <v>10417</v>
      </c>
      <c r="G102" s="37" t="n">
        <v>46153</v>
      </c>
      <c r="H102" s="35" t="n">
        <v>13687</v>
      </c>
      <c r="I102" s="35" t="s">
        <v>230</v>
      </c>
      <c r="J102" s="36" t="n">
        <v>2026</v>
      </c>
      <c r="K102" s="38" t="n">
        <v>27689.27</v>
      </c>
      <c r="L102" s="37" t="n">
        <v>46163</v>
      </c>
      <c r="M102" s="35" t="n">
        <v>0.0375</v>
      </c>
      <c r="N102" s="35" t="n">
        <v>0.0375</v>
      </c>
      <c r="O102" s="35" t="s">
        <v>188</v>
      </c>
      <c r="P102" s="35" t="s">
        <v>338</v>
      </c>
      <c r="Q102" s="37" t="n">
        <v>46168</v>
      </c>
      <c r="R102" s="35"/>
    </row>
    <row r="103" customFormat="false" ht="15" hidden="false" customHeight="false" outlineLevel="0" collapsed="false">
      <c r="A103" s="35" t="s">
        <v>219</v>
      </c>
      <c r="B103" s="35" t="s">
        <v>220</v>
      </c>
      <c r="C103" s="35" t="s">
        <v>184</v>
      </c>
      <c r="D103" s="35" t="s">
        <v>196</v>
      </c>
      <c r="E103" s="36" t="n">
        <v>40169</v>
      </c>
      <c r="F103" s="36" t="n">
        <v>10415</v>
      </c>
      <c r="G103" s="37" t="n">
        <v>46154</v>
      </c>
      <c r="H103" s="35" t="s">
        <v>339</v>
      </c>
      <c r="I103" s="35" t="s">
        <v>299</v>
      </c>
      <c r="J103" s="36" t="n">
        <v>2026</v>
      </c>
      <c r="K103" s="38" t="n">
        <v>9507.59</v>
      </c>
      <c r="L103" s="37" t="n">
        <v>46163</v>
      </c>
      <c r="M103" s="35" t="n">
        <v>0.12</v>
      </c>
      <c r="N103" s="35" t="n">
        <v>0.12</v>
      </c>
      <c r="O103" s="35" t="s">
        <v>188</v>
      </c>
      <c r="P103" s="35" t="s">
        <v>316</v>
      </c>
      <c r="Q103" s="37" t="n">
        <v>46168</v>
      </c>
      <c r="R103" s="35" t="s">
        <v>222</v>
      </c>
    </row>
    <row r="104" customFormat="false" ht="15" hidden="false" customHeight="false" outlineLevel="0" collapsed="false">
      <c r="A104" s="35" t="s">
        <v>219</v>
      </c>
      <c r="B104" s="35" t="s">
        <v>206</v>
      </c>
      <c r="C104" s="35" t="s">
        <v>184</v>
      </c>
      <c r="D104" s="35" t="s">
        <v>196</v>
      </c>
      <c r="E104" s="36" t="n">
        <v>40169</v>
      </c>
      <c r="F104" s="36" t="n">
        <v>10417</v>
      </c>
      <c r="G104" s="37" t="n">
        <v>46160</v>
      </c>
      <c r="H104" s="35" t="n">
        <v>13688</v>
      </c>
      <c r="I104" s="35" t="s">
        <v>299</v>
      </c>
      <c r="J104" s="36" t="n">
        <v>2026</v>
      </c>
      <c r="K104" s="38" t="n">
        <v>34305.76</v>
      </c>
      <c r="L104" s="37" t="n">
        <v>46163</v>
      </c>
      <c r="M104" s="35" t="n">
        <v>0.0375</v>
      </c>
      <c r="N104" s="35" t="n">
        <v>0.0375</v>
      </c>
      <c r="O104" s="35" t="s">
        <v>188</v>
      </c>
      <c r="P104" s="35" t="s">
        <v>316</v>
      </c>
      <c r="Q104" s="37" t="n">
        <v>46168</v>
      </c>
      <c r="R104" s="35"/>
    </row>
    <row r="105" customFormat="false" ht="15" hidden="false" customHeight="false" outlineLevel="0" collapsed="false">
      <c r="A105" s="35" t="s">
        <v>219</v>
      </c>
      <c r="B105" s="35" t="s">
        <v>340</v>
      </c>
      <c r="C105" s="35" t="s">
        <v>184</v>
      </c>
      <c r="D105" s="35" t="s">
        <v>196</v>
      </c>
      <c r="E105" s="36" t="n">
        <v>40169</v>
      </c>
      <c r="F105" s="36" t="n">
        <v>10418</v>
      </c>
      <c r="G105" s="37" t="n">
        <v>46160</v>
      </c>
      <c r="H105" s="35" t="n">
        <v>13692</v>
      </c>
      <c r="I105" s="35" t="s">
        <v>191</v>
      </c>
      <c r="J105" s="36" t="n">
        <v>2026</v>
      </c>
      <c r="K105" s="38" t="n">
        <v>32418.62</v>
      </c>
      <c r="L105" s="37" t="n">
        <v>46163</v>
      </c>
      <c r="M105" s="35" t="s">
        <v>187</v>
      </c>
      <c r="N105" s="35"/>
      <c r="O105" s="35" t="s">
        <v>188</v>
      </c>
      <c r="P105" s="35" t="s">
        <v>341</v>
      </c>
      <c r="Q105" s="37" t="n">
        <v>46168</v>
      </c>
      <c r="R105" s="35" t="s">
        <v>342</v>
      </c>
    </row>
    <row r="106" customFormat="false" ht="15" hidden="false" customHeight="false" outlineLevel="0" collapsed="false">
      <c r="A106" s="35" t="s">
        <v>219</v>
      </c>
      <c r="B106" s="35" t="s">
        <v>343</v>
      </c>
      <c r="C106" s="35" t="s">
        <v>184</v>
      </c>
      <c r="D106" s="35" t="s">
        <v>196</v>
      </c>
      <c r="E106" s="36" t="n">
        <v>40169</v>
      </c>
      <c r="F106" s="36" t="n">
        <v>10420</v>
      </c>
      <c r="G106" s="37" t="n">
        <v>46160</v>
      </c>
      <c r="H106" s="35" t="n">
        <v>13690</v>
      </c>
      <c r="I106" s="35" t="s">
        <v>191</v>
      </c>
      <c r="J106" s="36" t="n">
        <v>2026</v>
      </c>
      <c r="K106" s="38" t="n">
        <v>360</v>
      </c>
      <c r="L106" s="37" t="n">
        <v>46163</v>
      </c>
      <c r="M106" s="35" t="s">
        <v>344</v>
      </c>
      <c r="N106" s="35" t="n">
        <v>60</v>
      </c>
      <c r="O106" s="35" t="s">
        <v>188</v>
      </c>
      <c r="P106" s="35" t="s">
        <v>316</v>
      </c>
      <c r="Q106" s="37" t="n">
        <v>46168</v>
      </c>
      <c r="R106" s="35"/>
    </row>
    <row r="107" customFormat="false" ht="15" hidden="false" customHeight="false" outlineLevel="0" collapsed="false">
      <c r="A107" s="35" t="s">
        <v>219</v>
      </c>
      <c r="B107" s="35" t="s">
        <v>345</v>
      </c>
      <c r="C107" s="35" t="s">
        <v>184</v>
      </c>
      <c r="D107" s="35" t="s">
        <v>196</v>
      </c>
      <c r="E107" s="36" t="n">
        <v>40169</v>
      </c>
      <c r="F107" s="36" t="n">
        <v>10419</v>
      </c>
      <c r="G107" s="37" t="n">
        <v>46160</v>
      </c>
      <c r="H107" s="35" t="n">
        <v>13689</v>
      </c>
      <c r="I107" s="35" t="s">
        <v>191</v>
      </c>
      <c r="J107" s="36" t="n">
        <v>2026</v>
      </c>
      <c r="K107" s="38" t="n">
        <v>20078.98</v>
      </c>
      <c r="L107" s="37" t="n">
        <v>46163</v>
      </c>
      <c r="M107" s="35" t="s">
        <v>187</v>
      </c>
      <c r="N107" s="35"/>
      <c r="O107" s="35" t="s">
        <v>188</v>
      </c>
      <c r="P107" s="35" t="s">
        <v>316</v>
      </c>
      <c r="Q107" s="37" t="n">
        <v>46168</v>
      </c>
      <c r="R107" s="35" t="s">
        <v>342</v>
      </c>
    </row>
    <row r="108" customFormat="false" ht="15" hidden="false" customHeight="false" outlineLevel="0" collapsed="false">
      <c r="A108" s="35" t="s">
        <v>219</v>
      </c>
      <c r="B108" s="35" t="s">
        <v>340</v>
      </c>
      <c r="C108" s="35" t="s">
        <v>184</v>
      </c>
      <c r="D108" s="35" t="s">
        <v>196</v>
      </c>
      <c r="E108" s="36" t="n">
        <v>40169</v>
      </c>
      <c r="F108" s="36" t="n">
        <v>10418</v>
      </c>
      <c r="G108" s="37" t="n">
        <v>46160</v>
      </c>
      <c r="H108" s="35" t="n">
        <v>13694</v>
      </c>
      <c r="I108" s="35" t="s">
        <v>191</v>
      </c>
      <c r="J108" s="36" t="n">
        <v>2026</v>
      </c>
      <c r="K108" s="38" t="n">
        <v>26407.27</v>
      </c>
      <c r="L108" s="37" t="n">
        <v>46163</v>
      </c>
      <c r="M108" s="35" t="s">
        <v>187</v>
      </c>
      <c r="N108" s="35"/>
      <c r="O108" s="35" t="s">
        <v>188</v>
      </c>
      <c r="P108" s="35" t="s">
        <v>346</v>
      </c>
      <c r="Q108" s="37" t="n">
        <v>46168</v>
      </c>
      <c r="R108" s="35" t="s">
        <v>342</v>
      </c>
    </row>
    <row r="109" customFormat="false" ht="15" hidden="false" customHeight="false" outlineLevel="0" collapsed="false">
      <c r="A109" s="35" t="s">
        <v>219</v>
      </c>
      <c r="B109" s="35" t="s">
        <v>345</v>
      </c>
      <c r="C109" s="35" t="s">
        <v>184</v>
      </c>
      <c r="D109" s="35" t="s">
        <v>196</v>
      </c>
      <c r="E109" s="36" t="n">
        <v>40169</v>
      </c>
      <c r="F109" s="36" t="n">
        <v>10419</v>
      </c>
      <c r="G109" s="37" t="n">
        <v>46160</v>
      </c>
      <c r="H109" s="35" t="n">
        <v>13691</v>
      </c>
      <c r="I109" s="35" t="s">
        <v>191</v>
      </c>
      <c r="J109" s="36" t="n">
        <v>2026</v>
      </c>
      <c r="K109" s="38" t="n">
        <v>417.75</v>
      </c>
      <c r="L109" s="37" t="n">
        <v>46163</v>
      </c>
      <c r="M109" s="35" t="s">
        <v>187</v>
      </c>
      <c r="N109" s="35"/>
      <c r="O109" s="35" t="s">
        <v>188</v>
      </c>
      <c r="P109" s="35" t="s">
        <v>347</v>
      </c>
      <c r="Q109" s="37" t="n">
        <v>46168</v>
      </c>
      <c r="R109" s="35" t="s">
        <v>342</v>
      </c>
    </row>
    <row r="110" customFormat="false" ht="15" hidden="false" customHeight="false" outlineLevel="0" collapsed="false">
      <c r="A110" s="35" t="s">
        <v>219</v>
      </c>
      <c r="B110" s="35" t="s">
        <v>345</v>
      </c>
      <c r="C110" s="35" t="s">
        <v>184</v>
      </c>
      <c r="D110" s="35" t="s">
        <v>196</v>
      </c>
      <c r="E110" s="36" t="n">
        <v>40169</v>
      </c>
      <c r="F110" s="36" t="n">
        <v>10419</v>
      </c>
      <c r="G110" s="37" t="n">
        <v>46160</v>
      </c>
      <c r="H110" s="35" t="n">
        <v>13693</v>
      </c>
      <c r="I110" s="35" t="s">
        <v>191</v>
      </c>
      <c r="J110" s="36" t="n">
        <v>2026</v>
      </c>
      <c r="K110" s="38" t="n">
        <v>6606.36</v>
      </c>
      <c r="L110" s="37" t="n">
        <v>46163</v>
      </c>
      <c r="M110" s="35" t="s">
        <v>187</v>
      </c>
      <c r="N110" s="35"/>
      <c r="O110" s="35" t="s">
        <v>188</v>
      </c>
      <c r="P110" s="35" t="s">
        <v>348</v>
      </c>
      <c r="Q110" s="37" t="n">
        <v>46168</v>
      </c>
      <c r="R110" s="35" t="s">
        <v>342</v>
      </c>
    </row>
    <row r="111" customFormat="false" ht="15" hidden="false" customHeight="false" outlineLevel="0" collapsed="false">
      <c r="A111" s="35" t="s">
        <v>219</v>
      </c>
      <c r="B111" s="35" t="s">
        <v>220</v>
      </c>
      <c r="C111" s="35" t="s">
        <v>184</v>
      </c>
      <c r="D111" s="35" t="s">
        <v>196</v>
      </c>
      <c r="E111" s="36" t="n">
        <v>40169</v>
      </c>
      <c r="F111" s="36" t="n">
        <v>10415</v>
      </c>
      <c r="G111" s="37" t="n">
        <v>46161</v>
      </c>
      <c r="H111" s="35" t="s">
        <v>349</v>
      </c>
      <c r="I111" s="35" t="s">
        <v>299</v>
      </c>
      <c r="J111" s="36" t="n">
        <v>2026</v>
      </c>
      <c r="K111" s="38" t="n">
        <v>10325.07</v>
      </c>
      <c r="L111" s="37" t="n">
        <v>46164</v>
      </c>
      <c r="M111" s="35" t="n">
        <v>0.12</v>
      </c>
      <c r="N111" s="35" t="n">
        <v>0.12</v>
      </c>
      <c r="O111" s="35" t="s">
        <v>188</v>
      </c>
      <c r="P111" s="35"/>
      <c r="Q111" s="37" t="n">
        <v>46168</v>
      </c>
      <c r="R111" s="35" t="s">
        <v>222</v>
      </c>
    </row>
    <row r="112" customFormat="false" ht="15" hidden="false" customHeight="false" outlineLevel="0" collapsed="false">
      <c r="A112" s="35" t="s">
        <v>219</v>
      </c>
      <c r="B112" s="35" t="s">
        <v>340</v>
      </c>
      <c r="C112" s="35" t="s">
        <v>184</v>
      </c>
      <c r="D112" s="35" t="s">
        <v>196</v>
      </c>
      <c r="E112" s="36" t="n">
        <v>40169</v>
      </c>
      <c r="F112" s="36" t="n">
        <v>10418</v>
      </c>
      <c r="G112" s="37" t="n">
        <v>46161</v>
      </c>
      <c r="H112" s="35" t="n">
        <v>13700</v>
      </c>
      <c r="I112" s="35" t="s">
        <v>198</v>
      </c>
      <c r="J112" s="36" t="n">
        <v>2026</v>
      </c>
      <c r="K112" s="38" t="n">
        <v>27116.04</v>
      </c>
      <c r="L112" s="37" t="n">
        <v>46164</v>
      </c>
      <c r="M112" s="35" t="s">
        <v>187</v>
      </c>
      <c r="N112" s="35"/>
      <c r="O112" s="35" t="s">
        <v>188</v>
      </c>
      <c r="P112" s="35" t="s">
        <v>346</v>
      </c>
      <c r="Q112" s="37" t="n">
        <v>46168</v>
      </c>
      <c r="R112" s="35" t="s">
        <v>342</v>
      </c>
    </row>
    <row r="113" customFormat="false" ht="15" hidden="false" customHeight="false" outlineLevel="0" collapsed="false">
      <c r="A113" s="35" t="s">
        <v>219</v>
      </c>
      <c r="B113" s="35" t="s">
        <v>345</v>
      </c>
      <c r="C113" s="35" t="s">
        <v>184</v>
      </c>
      <c r="D113" s="35" t="s">
        <v>196</v>
      </c>
      <c r="E113" s="36" t="n">
        <v>40169</v>
      </c>
      <c r="F113" s="36" t="n">
        <v>10419</v>
      </c>
      <c r="G113" s="37" t="n">
        <v>46161</v>
      </c>
      <c r="H113" s="35" t="n">
        <v>13699</v>
      </c>
      <c r="I113" s="35" t="s">
        <v>198</v>
      </c>
      <c r="J113" s="36" t="n">
        <v>2026</v>
      </c>
      <c r="K113" s="38" t="n">
        <v>6161.77</v>
      </c>
      <c r="L113" s="37" t="n">
        <v>46164</v>
      </c>
      <c r="M113" s="35" t="s">
        <v>187</v>
      </c>
      <c r="N113" s="35"/>
      <c r="O113" s="35" t="s">
        <v>188</v>
      </c>
      <c r="P113" s="35"/>
      <c r="Q113" s="37" t="n">
        <v>46168</v>
      </c>
      <c r="R113" s="35" t="s">
        <v>342</v>
      </c>
    </row>
    <row r="114" customFormat="false" ht="15" hidden="false" customHeight="false" outlineLevel="0" collapsed="false">
      <c r="A114" s="35" t="s">
        <v>219</v>
      </c>
      <c r="B114" s="35" t="s">
        <v>340</v>
      </c>
      <c r="C114" s="35" t="s">
        <v>184</v>
      </c>
      <c r="D114" s="35" t="s">
        <v>196</v>
      </c>
      <c r="E114" s="36" t="n">
        <v>40169</v>
      </c>
      <c r="F114" s="36" t="n">
        <v>10418</v>
      </c>
      <c r="G114" s="37" t="n">
        <v>46161</v>
      </c>
      <c r="H114" s="35" t="n">
        <v>13698</v>
      </c>
      <c r="I114" s="35" t="s">
        <v>198</v>
      </c>
      <c r="J114" s="36" t="n">
        <v>2026</v>
      </c>
      <c r="K114" s="38" t="n">
        <v>38708.19</v>
      </c>
      <c r="L114" s="37" t="n">
        <v>46164</v>
      </c>
      <c r="M114" s="35" t="s">
        <v>187</v>
      </c>
      <c r="N114" s="35"/>
      <c r="O114" s="35" t="s">
        <v>188</v>
      </c>
      <c r="P114" s="35" t="s">
        <v>341</v>
      </c>
      <c r="Q114" s="37" t="n">
        <v>46168</v>
      </c>
      <c r="R114" s="35" t="s">
        <v>342</v>
      </c>
    </row>
    <row r="115" customFormat="false" ht="15" hidden="false" customHeight="false" outlineLevel="0" collapsed="false">
      <c r="A115" s="35" t="s">
        <v>219</v>
      </c>
      <c r="B115" s="35" t="s">
        <v>343</v>
      </c>
      <c r="C115" s="35" t="s">
        <v>184</v>
      </c>
      <c r="D115" s="35" t="s">
        <v>196</v>
      </c>
      <c r="E115" s="36" t="n">
        <v>40169</v>
      </c>
      <c r="F115" s="36" t="n">
        <v>10420</v>
      </c>
      <c r="G115" s="37" t="n">
        <v>46161</v>
      </c>
      <c r="H115" s="35" t="n">
        <v>13696</v>
      </c>
      <c r="I115" s="35" t="s">
        <v>198</v>
      </c>
      <c r="J115" s="36" t="n">
        <v>2026</v>
      </c>
      <c r="K115" s="38" t="n">
        <v>60</v>
      </c>
      <c r="L115" s="37" t="n">
        <v>46164</v>
      </c>
      <c r="M115" s="35" t="s">
        <v>344</v>
      </c>
      <c r="N115" s="35" t="n">
        <v>60</v>
      </c>
      <c r="O115" s="35" t="s">
        <v>188</v>
      </c>
      <c r="P115" s="35"/>
      <c r="Q115" s="37" t="n">
        <v>46168</v>
      </c>
      <c r="R115" s="35"/>
    </row>
    <row r="116" customFormat="false" ht="15" hidden="false" customHeight="false" outlineLevel="0" collapsed="false">
      <c r="A116" s="35" t="s">
        <v>219</v>
      </c>
      <c r="B116" s="35" t="s">
        <v>345</v>
      </c>
      <c r="C116" s="35" t="s">
        <v>184</v>
      </c>
      <c r="D116" s="35" t="s">
        <v>196</v>
      </c>
      <c r="E116" s="36" t="n">
        <v>40169</v>
      </c>
      <c r="F116" s="36" t="n">
        <v>10419</v>
      </c>
      <c r="G116" s="37" t="n">
        <v>46161</v>
      </c>
      <c r="H116" s="35" t="n">
        <v>13695</v>
      </c>
      <c r="I116" s="35" t="s">
        <v>198</v>
      </c>
      <c r="J116" s="36" t="n">
        <v>2026</v>
      </c>
      <c r="K116" s="38" t="n">
        <v>21251.42</v>
      </c>
      <c r="L116" s="37" t="n">
        <v>46164</v>
      </c>
      <c r="M116" s="35" t="s">
        <v>187</v>
      </c>
      <c r="N116" s="35"/>
      <c r="O116" s="35" t="s">
        <v>188</v>
      </c>
      <c r="P116" s="35"/>
      <c r="Q116" s="37" t="n">
        <v>46168</v>
      </c>
      <c r="R116" s="35" t="s">
        <v>342</v>
      </c>
    </row>
    <row r="117" customFormat="false" ht="15" hidden="false" customHeight="false" outlineLevel="0" collapsed="false">
      <c r="A117" s="35" t="s">
        <v>219</v>
      </c>
      <c r="B117" s="35" t="s">
        <v>345</v>
      </c>
      <c r="C117" s="35" t="s">
        <v>184</v>
      </c>
      <c r="D117" s="35" t="s">
        <v>196</v>
      </c>
      <c r="E117" s="36" t="n">
        <v>40169</v>
      </c>
      <c r="F117" s="36" t="n">
        <v>10419</v>
      </c>
      <c r="G117" s="37" t="n">
        <v>46161</v>
      </c>
      <c r="H117" s="35" t="n">
        <v>13697</v>
      </c>
      <c r="I117" s="35" t="s">
        <v>198</v>
      </c>
      <c r="J117" s="36" t="n">
        <v>2026</v>
      </c>
      <c r="K117" s="38" t="n">
        <v>344.05</v>
      </c>
      <c r="L117" s="37" t="n">
        <v>46164</v>
      </c>
      <c r="M117" s="35" t="s">
        <v>187</v>
      </c>
      <c r="N117" s="35" t="n">
        <v>0.01675</v>
      </c>
      <c r="O117" s="35" t="s">
        <v>188</v>
      </c>
      <c r="P117" s="35"/>
      <c r="Q117" s="37" t="n">
        <v>46168</v>
      </c>
      <c r="R117" s="35" t="s">
        <v>342</v>
      </c>
    </row>
    <row r="118" customFormat="false" ht="15" hidden="false" customHeight="false" outlineLevel="0" collapsed="false">
      <c r="A118" s="35" t="s">
        <v>219</v>
      </c>
      <c r="B118" s="35" t="s">
        <v>340</v>
      </c>
      <c r="C118" s="35" t="s">
        <v>184</v>
      </c>
      <c r="D118" s="35" t="s">
        <v>196</v>
      </c>
      <c r="E118" s="36" t="n">
        <v>40169</v>
      </c>
      <c r="F118" s="36" t="n">
        <v>10418</v>
      </c>
      <c r="G118" s="37" t="n">
        <v>46163</v>
      </c>
      <c r="H118" s="35" t="n">
        <v>13704</v>
      </c>
      <c r="I118" s="35" t="s">
        <v>230</v>
      </c>
      <c r="J118" s="36" t="n">
        <v>2026</v>
      </c>
      <c r="K118" s="38" t="n">
        <v>37402.49</v>
      </c>
      <c r="L118" s="37" t="n">
        <v>46168</v>
      </c>
      <c r="M118" s="35" t="s">
        <v>187</v>
      </c>
      <c r="N118" s="35"/>
      <c r="O118" s="35" t="s">
        <v>188</v>
      </c>
      <c r="P118" s="35" t="s">
        <v>341</v>
      </c>
      <c r="Q118" s="37" t="n">
        <v>46168</v>
      </c>
      <c r="R118" s="35" t="s">
        <v>342</v>
      </c>
    </row>
    <row r="119" customFormat="false" ht="15" hidden="false" customHeight="false" outlineLevel="0" collapsed="false">
      <c r="A119" s="35" t="s">
        <v>219</v>
      </c>
      <c r="B119" s="35" t="s">
        <v>343</v>
      </c>
      <c r="C119" s="35" t="s">
        <v>184</v>
      </c>
      <c r="D119" s="35" t="s">
        <v>196</v>
      </c>
      <c r="E119" s="36" t="n">
        <v>40169</v>
      </c>
      <c r="F119" s="36" t="n">
        <v>10420</v>
      </c>
      <c r="G119" s="37" t="n">
        <v>46163</v>
      </c>
      <c r="H119" s="35" t="n">
        <v>13702</v>
      </c>
      <c r="I119" s="35" t="s">
        <v>230</v>
      </c>
      <c r="J119" s="36" t="n">
        <v>2026</v>
      </c>
      <c r="K119" s="38" t="n">
        <v>60</v>
      </c>
      <c r="L119" s="37" t="n">
        <v>46168</v>
      </c>
      <c r="M119" s="35" t="s">
        <v>344</v>
      </c>
      <c r="N119" s="35" t="n">
        <v>60</v>
      </c>
      <c r="O119" s="35" t="s">
        <v>188</v>
      </c>
      <c r="P119" s="35"/>
      <c r="Q119" s="37" t="n">
        <v>46168</v>
      </c>
      <c r="R119" s="35"/>
    </row>
    <row r="120" customFormat="false" ht="15" hidden="false" customHeight="false" outlineLevel="0" collapsed="false">
      <c r="A120" s="35" t="s">
        <v>219</v>
      </c>
      <c r="B120" s="35" t="s">
        <v>345</v>
      </c>
      <c r="C120" s="35" t="s">
        <v>184</v>
      </c>
      <c r="D120" s="35" t="s">
        <v>196</v>
      </c>
      <c r="E120" s="36" t="n">
        <v>40169</v>
      </c>
      <c r="F120" s="36" t="n">
        <v>10419</v>
      </c>
      <c r="G120" s="37" t="n">
        <v>46163</v>
      </c>
      <c r="H120" s="35" t="n">
        <v>13701</v>
      </c>
      <c r="I120" s="35" t="s">
        <v>230</v>
      </c>
      <c r="J120" s="36" t="n">
        <v>2026</v>
      </c>
      <c r="K120" s="38" t="n">
        <v>19992.87</v>
      </c>
      <c r="L120" s="37" t="n">
        <v>46168</v>
      </c>
      <c r="M120" s="35" t="s">
        <v>187</v>
      </c>
      <c r="N120" s="35"/>
      <c r="O120" s="35" t="s">
        <v>188</v>
      </c>
      <c r="P120" s="35"/>
      <c r="Q120" s="37" t="n">
        <v>46168</v>
      </c>
      <c r="R120" s="35" t="s">
        <v>342</v>
      </c>
    </row>
    <row r="121" customFormat="false" ht="15" hidden="false" customHeight="false" outlineLevel="0" collapsed="false">
      <c r="A121" s="35" t="s">
        <v>219</v>
      </c>
      <c r="B121" s="35" t="s">
        <v>340</v>
      </c>
      <c r="C121" s="35" t="s">
        <v>184</v>
      </c>
      <c r="D121" s="35" t="s">
        <v>196</v>
      </c>
      <c r="E121" s="36" t="n">
        <v>40169</v>
      </c>
      <c r="F121" s="36" t="n">
        <v>10418</v>
      </c>
      <c r="G121" s="37" t="n">
        <v>46163</v>
      </c>
      <c r="H121" s="35" t="n">
        <v>13706</v>
      </c>
      <c r="I121" s="35" t="s">
        <v>230</v>
      </c>
      <c r="J121" s="36" t="n">
        <v>2026</v>
      </c>
      <c r="K121" s="38" t="n">
        <v>33187.75</v>
      </c>
      <c r="L121" s="37" t="n">
        <v>46168</v>
      </c>
      <c r="M121" s="35" t="s">
        <v>187</v>
      </c>
      <c r="N121" s="35"/>
      <c r="O121" s="35" t="s">
        <v>188</v>
      </c>
      <c r="P121" s="35" t="s">
        <v>346</v>
      </c>
      <c r="Q121" s="37" t="n">
        <v>46168</v>
      </c>
      <c r="R121" s="35" t="s">
        <v>342</v>
      </c>
    </row>
    <row r="122" customFormat="false" ht="15" hidden="false" customHeight="false" outlineLevel="0" collapsed="false">
      <c r="A122" s="35" t="s">
        <v>219</v>
      </c>
      <c r="B122" s="35" t="s">
        <v>345</v>
      </c>
      <c r="C122" s="35" t="s">
        <v>184</v>
      </c>
      <c r="D122" s="35" t="s">
        <v>196</v>
      </c>
      <c r="E122" s="36" t="n">
        <v>40169</v>
      </c>
      <c r="F122" s="36" t="n">
        <v>10419</v>
      </c>
      <c r="G122" s="37" t="n">
        <v>46163</v>
      </c>
      <c r="H122" s="35" t="n">
        <v>13703</v>
      </c>
      <c r="I122" s="35" t="s">
        <v>230</v>
      </c>
      <c r="J122" s="36" t="n">
        <v>2026</v>
      </c>
      <c r="K122" s="38" t="n">
        <v>331.99</v>
      </c>
      <c r="L122" s="37" t="n">
        <v>46168</v>
      </c>
      <c r="M122" s="35" t="s">
        <v>187</v>
      </c>
      <c r="N122" s="35" t="n">
        <v>0.01675</v>
      </c>
      <c r="O122" s="35" t="s">
        <v>188</v>
      </c>
      <c r="P122" s="35"/>
      <c r="Q122" s="37" t="n">
        <v>46168</v>
      </c>
      <c r="R122" s="35" t="s">
        <v>342</v>
      </c>
    </row>
    <row r="123" customFormat="false" ht="15" hidden="false" customHeight="false" outlineLevel="0" collapsed="false">
      <c r="A123" s="35" t="s">
        <v>219</v>
      </c>
      <c r="B123" s="35" t="s">
        <v>345</v>
      </c>
      <c r="C123" s="35" t="s">
        <v>184</v>
      </c>
      <c r="D123" s="35" t="s">
        <v>196</v>
      </c>
      <c r="E123" s="36" t="n">
        <v>40169</v>
      </c>
      <c r="F123" s="36" t="n">
        <v>10419</v>
      </c>
      <c r="G123" s="37" t="n">
        <v>46163</v>
      </c>
      <c r="H123" s="35" t="n">
        <v>13705</v>
      </c>
      <c r="I123" s="35" t="s">
        <v>230</v>
      </c>
      <c r="J123" s="36" t="n">
        <v>2026</v>
      </c>
      <c r="K123" s="38" t="n">
        <v>7700.91</v>
      </c>
      <c r="L123" s="37" t="n">
        <v>46168</v>
      </c>
      <c r="M123" s="35" t="s">
        <v>187</v>
      </c>
      <c r="N123" s="35"/>
      <c r="O123" s="35" t="s">
        <v>188</v>
      </c>
      <c r="P123" s="35"/>
      <c r="Q123" s="37" t="n">
        <v>46168</v>
      </c>
      <c r="R123" s="35" t="s">
        <v>342</v>
      </c>
    </row>
    <row r="124" customFormat="false" ht="15" hidden="false" customHeight="false" outlineLevel="0" collapsed="false">
      <c r="A124" s="35" t="s">
        <v>194</v>
      </c>
      <c r="B124" s="35" t="s">
        <v>246</v>
      </c>
      <c r="C124" s="35" t="s">
        <v>184</v>
      </c>
      <c r="D124" s="35" t="s">
        <v>196</v>
      </c>
      <c r="E124" s="36" t="n">
        <v>33913</v>
      </c>
      <c r="F124" s="36" t="n">
        <v>7894</v>
      </c>
      <c r="G124" s="37" t="n">
        <v>46148</v>
      </c>
      <c r="H124" s="35" t="s">
        <v>350</v>
      </c>
      <c r="I124" s="35" t="s">
        <v>230</v>
      </c>
      <c r="J124" s="36" t="n">
        <v>2026</v>
      </c>
      <c r="K124" s="38" t="n">
        <v>9110.72</v>
      </c>
      <c r="L124" s="37" t="n">
        <v>46169</v>
      </c>
      <c r="M124" s="35" t="n">
        <v>0.04</v>
      </c>
      <c r="N124" s="35" t="n">
        <v>0.04</v>
      </c>
      <c r="O124" s="35" t="s">
        <v>188</v>
      </c>
      <c r="P124" s="35"/>
      <c r="Q124" s="37" t="n">
        <v>46171</v>
      </c>
      <c r="R124" s="35"/>
    </row>
    <row r="125" customFormat="false" ht="15" hidden="false" customHeight="false" outlineLevel="0" collapsed="false">
      <c r="A125" s="35" t="s">
        <v>194</v>
      </c>
      <c r="B125" s="35" t="s">
        <v>199</v>
      </c>
      <c r="C125" s="35" t="s">
        <v>184</v>
      </c>
      <c r="D125" s="35" t="s">
        <v>196</v>
      </c>
      <c r="E125" s="36" t="n">
        <v>33913</v>
      </c>
      <c r="F125" s="36" t="n">
        <v>7896</v>
      </c>
      <c r="G125" s="37" t="n">
        <v>46157</v>
      </c>
      <c r="H125" s="35" t="s">
        <v>351</v>
      </c>
      <c r="I125" s="35" t="s">
        <v>299</v>
      </c>
      <c r="J125" s="36" t="n">
        <v>2026</v>
      </c>
      <c r="K125" s="38" t="n">
        <v>8.19</v>
      </c>
      <c r="L125" s="37" t="n">
        <v>46169</v>
      </c>
      <c r="M125" s="35" t="s">
        <v>201</v>
      </c>
      <c r="N125" s="35" t="n">
        <v>0.22</v>
      </c>
      <c r="O125" s="35" t="s">
        <v>188</v>
      </c>
      <c r="P125" s="35" t="s">
        <v>352</v>
      </c>
      <c r="Q125" s="37" t="n">
        <v>46171</v>
      </c>
      <c r="R125" s="35"/>
    </row>
    <row r="126" customFormat="false" ht="15" hidden="false" customHeight="false" outlineLevel="0" collapsed="false">
      <c r="A126" s="35" t="s">
        <v>194</v>
      </c>
      <c r="B126" s="35" t="s">
        <v>195</v>
      </c>
      <c r="C126" s="35" t="s">
        <v>184</v>
      </c>
      <c r="D126" s="35" t="s">
        <v>196</v>
      </c>
      <c r="E126" s="36" t="n">
        <v>33913</v>
      </c>
      <c r="F126" s="36" t="n">
        <v>10410</v>
      </c>
      <c r="G126" s="37" t="n">
        <v>46157</v>
      </c>
      <c r="H126" s="35" t="s">
        <v>353</v>
      </c>
      <c r="I126" s="35" t="s">
        <v>299</v>
      </c>
      <c r="J126" s="36" t="n">
        <v>2026</v>
      </c>
      <c r="K126" s="38" t="n">
        <v>17393.56</v>
      </c>
      <c r="L126" s="37" t="n">
        <v>46169</v>
      </c>
      <c r="M126" s="35" t="n">
        <v>0.22</v>
      </c>
      <c r="N126" s="35" t="n">
        <v>0.22</v>
      </c>
      <c r="O126" s="35" t="s">
        <v>188</v>
      </c>
      <c r="P126" s="35"/>
      <c r="Q126" s="37" t="n">
        <v>46171</v>
      </c>
      <c r="R126" s="35"/>
    </row>
    <row r="127" customFormat="false" ht="15" hidden="false" customHeight="false" outlineLevel="0" collapsed="false">
      <c r="A127" s="35" t="s">
        <v>194</v>
      </c>
      <c r="B127" s="35" t="s">
        <v>206</v>
      </c>
      <c r="C127" s="35" t="s">
        <v>184</v>
      </c>
      <c r="D127" s="35" t="s">
        <v>196</v>
      </c>
      <c r="E127" s="36" t="n">
        <v>33913</v>
      </c>
      <c r="F127" s="36" t="n">
        <v>10407</v>
      </c>
      <c r="G127" s="37" t="n">
        <v>46157</v>
      </c>
      <c r="H127" s="35" t="s">
        <v>354</v>
      </c>
      <c r="I127" s="35" t="s">
        <v>299</v>
      </c>
      <c r="J127" s="36" t="n">
        <v>2026</v>
      </c>
      <c r="K127" s="38" t="n">
        <v>38613.37</v>
      </c>
      <c r="L127" s="37" t="n">
        <v>46169</v>
      </c>
      <c r="M127" s="35" t="n">
        <v>0.04</v>
      </c>
      <c r="N127" s="35" t="n">
        <v>0.04</v>
      </c>
      <c r="O127" s="35" t="s">
        <v>188</v>
      </c>
      <c r="P127" s="35"/>
      <c r="Q127" s="37" t="n">
        <v>46171</v>
      </c>
      <c r="R127" s="35" t="s">
        <v>208</v>
      </c>
    </row>
    <row r="128" customFormat="false" ht="15" hidden="false" customHeight="false" outlineLevel="0" collapsed="false">
      <c r="A128" s="35" t="s">
        <v>121</v>
      </c>
      <c r="B128" s="35" t="s">
        <v>126</v>
      </c>
      <c r="C128" s="35" t="s">
        <v>184</v>
      </c>
      <c r="D128" s="35" t="s">
        <v>258</v>
      </c>
      <c r="E128" s="36" t="n">
        <v>45857</v>
      </c>
      <c r="F128" s="36" t="n">
        <v>11172</v>
      </c>
      <c r="G128" s="37" t="n">
        <v>46149</v>
      </c>
      <c r="H128" s="35" t="n">
        <v>125795</v>
      </c>
      <c r="I128" s="35" t="s">
        <v>230</v>
      </c>
      <c r="J128" s="36" t="n">
        <v>2026</v>
      </c>
      <c r="K128" s="38" t="n">
        <v>86458.31</v>
      </c>
      <c r="L128" s="37" t="n">
        <v>46170</v>
      </c>
      <c r="M128" s="35" t="n">
        <v>0.2</v>
      </c>
      <c r="N128" s="35" t="n">
        <v>0.2</v>
      </c>
      <c r="O128" s="35" t="s">
        <v>188</v>
      </c>
      <c r="P128" s="35"/>
      <c r="Q128" s="37" t="n">
        <v>46170</v>
      </c>
      <c r="R128" s="35"/>
    </row>
    <row r="129" customFormat="false" ht="15" hidden="false" customHeight="false" outlineLevel="0" collapsed="false">
      <c r="A129" s="35" t="s">
        <v>121</v>
      </c>
      <c r="B129" s="35" t="s">
        <v>273</v>
      </c>
      <c r="C129" s="35" t="s">
        <v>184</v>
      </c>
      <c r="D129" s="35" t="s">
        <v>185</v>
      </c>
      <c r="E129" s="36" t="n">
        <v>45857</v>
      </c>
      <c r="F129" s="36" t="n">
        <v>10798</v>
      </c>
      <c r="G129" s="37" t="n">
        <v>46154</v>
      </c>
      <c r="H129" s="35" t="n">
        <v>125924</v>
      </c>
      <c r="I129" s="35" t="s">
        <v>230</v>
      </c>
      <c r="J129" s="36" t="n">
        <v>2026</v>
      </c>
      <c r="K129" s="38" t="n">
        <v>95832.75</v>
      </c>
      <c r="L129" s="37" t="n">
        <v>46170</v>
      </c>
      <c r="M129" s="35" t="n">
        <v>0.14</v>
      </c>
      <c r="N129" s="35" t="n">
        <v>0.14</v>
      </c>
      <c r="O129" s="35" t="s">
        <v>188</v>
      </c>
      <c r="P129" s="35"/>
      <c r="Q129" s="37" t="n">
        <v>46170</v>
      </c>
      <c r="R129" s="35"/>
    </row>
    <row r="130" customFormat="false" ht="15" hidden="false" customHeight="false" outlineLevel="0" collapsed="false">
      <c r="A130" s="35" t="s">
        <v>121</v>
      </c>
      <c r="B130" s="35" t="s">
        <v>270</v>
      </c>
      <c r="C130" s="35" t="s">
        <v>184</v>
      </c>
      <c r="D130" s="35" t="s">
        <v>185</v>
      </c>
      <c r="E130" s="36" t="n">
        <v>45857</v>
      </c>
      <c r="F130" s="36" t="n">
        <v>11172</v>
      </c>
      <c r="G130" s="37" t="n">
        <v>46154</v>
      </c>
      <c r="H130" s="35" t="n">
        <v>125925</v>
      </c>
      <c r="I130" s="35" t="s">
        <v>230</v>
      </c>
      <c r="J130" s="36" t="n">
        <v>2026</v>
      </c>
      <c r="K130" s="38" t="n">
        <v>48885.35</v>
      </c>
      <c r="L130" s="37" t="n">
        <v>46170</v>
      </c>
      <c r="M130" s="35" t="n">
        <v>0.095</v>
      </c>
      <c r="N130" s="35" t="n">
        <v>0.095</v>
      </c>
      <c r="O130" s="35" t="s">
        <v>188</v>
      </c>
      <c r="P130" s="35"/>
      <c r="Q130" s="37" t="n">
        <v>46170</v>
      </c>
      <c r="R130" s="35"/>
    </row>
    <row r="131" customFormat="false" ht="15" hidden="false" customHeight="false" outlineLevel="0" collapsed="false">
      <c r="A131" s="35" t="s">
        <v>194</v>
      </c>
      <c r="B131" s="35" t="s">
        <v>203</v>
      </c>
      <c r="C131" s="35" t="s">
        <v>184</v>
      </c>
      <c r="D131" s="35" t="s">
        <v>196</v>
      </c>
      <c r="E131" s="36" t="n">
        <v>33913</v>
      </c>
      <c r="F131" s="36" t="n">
        <v>7893</v>
      </c>
      <c r="G131" s="37" t="n">
        <v>46164</v>
      </c>
      <c r="H131" s="35" t="s">
        <v>355</v>
      </c>
      <c r="I131" s="35" t="s">
        <v>299</v>
      </c>
      <c r="J131" s="36" t="n">
        <v>2026</v>
      </c>
      <c r="K131" s="38" t="n">
        <v>43.7</v>
      </c>
      <c r="L131" s="37" t="n">
        <v>46171</v>
      </c>
      <c r="M131" s="35" t="n">
        <v>0.22</v>
      </c>
      <c r="N131" s="35" t="n">
        <v>0.25</v>
      </c>
      <c r="O131" s="35" t="s">
        <v>205</v>
      </c>
      <c r="P131" s="35" t="s">
        <v>356</v>
      </c>
      <c r="Q131" s="37" t="n">
        <v>46176</v>
      </c>
      <c r="R131" s="35"/>
    </row>
    <row r="132" customFormat="false" ht="15" hidden="false" customHeight="false" outlineLevel="0" collapsed="false">
      <c r="A132" s="35" t="s">
        <v>194</v>
      </c>
      <c r="B132" s="35" t="s">
        <v>195</v>
      </c>
      <c r="C132" s="35" t="s">
        <v>184</v>
      </c>
      <c r="D132" s="35" t="s">
        <v>196</v>
      </c>
      <c r="E132" s="36" t="n">
        <v>33913</v>
      </c>
      <c r="F132" s="36" t="n">
        <v>10410</v>
      </c>
      <c r="G132" s="37" t="n">
        <v>46164</v>
      </c>
      <c r="H132" s="35" t="s">
        <v>357</v>
      </c>
      <c r="I132" s="35" t="s">
        <v>299</v>
      </c>
      <c r="J132" s="36" t="n">
        <v>2026</v>
      </c>
      <c r="K132" s="38" t="n">
        <v>14109.96</v>
      </c>
      <c r="L132" s="37" t="n">
        <v>46171</v>
      </c>
      <c r="M132" s="35" t="n">
        <v>0.22</v>
      </c>
      <c r="N132" s="35" t="n">
        <v>0.22</v>
      </c>
      <c r="O132" s="35" t="s">
        <v>188</v>
      </c>
      <c r="P132" s="35"/>
      <c r="Q132" s="37" t="n">
        <v>46171</v>
      </c>
      <c r="R132" s="35"/>
    </row>
    <row r="133" customFormat="false" ht="15" hidden="false" customHeight="false" outlineLevel="0" collapsed="false">
      <c r="A133" s="35" t="s">
        <v>194</v>
      </c>
      <c r="B133" s="35" t="s">
        <v>206</v>
      </c>
      <c r="C133" s="35" t="s">
        <v>184</v>
      </c>
      <c r="D133" s="35" t="s">
        <v>196</v>
      </c>
      <c r="E133" s="36" t="n">
        <v>33913</v>
      </c>
      <c r="F133" s="36" t="n">
        <v>10407</v>
      </c>
      <c r="G133" s="37" t="n">
        <v>46164</v>
      </c>
      <c r="H133" s="35" t="s">
        <v>358</v>
      </c>
      <c r="I133" s="35" t="s">
        <v>299</v>
      </c>
      <c r="J133" s="36" t="n">
        <v>2026</v>
      </c>
      <c r="K133" s="38" t="n">
        <v>39009.86</v>
      </c>
      <c r="L133" s="37" t="n">
        <v>46171</v>
      </c>
      <c r="M133" s="35" t="n">
        <v>0.04</v>
      </c>
      <c r="N133" s="35" t="n">
        <v>0.04</v>
      </c>
      <c r="O133" s="35" t="s">
        <v>188</v>
      </c>
      <c r="P133" s="35"/>
      <c r="Q133" s="37" t="n">
        <v>46171</v>
      </c>
      <c r="R133" s="35" t="s">
        <v>208</v>
      </c>
    </row>
    <row r="134" customFormat="false" ht="15" hidden="false" customHeight="false" outlineLevel="0" collapsed="false">
      <c r="A134" s="35" t="s">
        <v>194</v>
      </c>
      <c r="B134" s="35" t="s">
        <v>199</v>
      </c>
      <c r="C134" s="35" t="s">
        <v>184</v>
      </c>
      <c r="D134" s="35" t="s">
        <v>196</v>
      </c>
      <c r="E134" s="36" t="n">
        <v>33913</v>
      </c>
      <c r="F134" s="36" t="n">
        <v>7896</v>
      </c>
      <c r="G134" s="37" t="n">
        <v>46164</v>
      </c>
      <c r="H134" s="35" t="s">
        <v>359</v>
      </c>
      <c r="I134" s="35" t="s">
        <v>299</v>
      </c>
      <c r="J134" s="36" t="n">
        <v>2026</v>
      </c>
      <c r="K134" s="38" t="n">
        <v>17</v>
      </c>
      <c r="L134" s="37" t="n">
        <v>46171</v>
      </c>
      <c r="M134" s="35" t="s">
        <v>201</v>
      </c>
      <c r="N134" s="35" t="n">
        <v>0.17</v>
      </c>
      <c r="O134" s="35" t="s">
        <v>188</v>
      </c>
      <c r="P134" s="35"/>
      <c r="Q134" s="37" t="n">
        <v>46171</v>
      </c>
      <c r="R134" s="35"/>
    </row>
    <row r="135" customFormat="false" ht="15" hidden="false" customHeight="false" outlineLevel="0" collapsed="false">
      <c r="A135" s="35" t="s">
        <v>219</v>
      </c>
      <c r="B135" s="35" t="s">
        <v>206</v>
      </c>
      <c r="C135" s="35" t="s">
        <v>184</v>
      </c>
      <c r="D135" s="35" t="s">
        <v>196</v>
      </c>
      <c r="E135" s="36" t="n">
        <v>40169</v>
      </c>
      <c r="F135" s="36" t="n">
        <v>10417</v>
      </c>
      <c r="G135" s="37" t="n">
        <v>46168</v>
      </c>
      <c r="H135" s="35" t="n">
        <v>13707</v>
      </c>
      <c r="I135" s="35" t="s">
        <v>299</v>
      </c>
      <c r="J135" s="36" t="n">
        <v>2026</v>
      </c>
      <c r="K135" s="38" t="n">
        <v>30753.63</v>
      </c>
      <c r="L135" s="37" t="n">
        <v>46171</v>
      </c>
      <c r="M135" s="35" t="n">
        <v>0.0375</v>
      </c>
      <c r="N135" s="35" t="n">
        <v>0.0375</v>
      </c>
      <c r="O135" s="35" t="s">
        <v>188</v>
      </c>
      <c r="P135" s="35"/>
      <c r="Q135" s="37" t="n">
        <v>46171</v>
      </c>
      <c r="R135" s="35"/>
    </row>
    <row r="136" customFormat="false" ht="15" hidden="false" customHeight="false" outlineLevel="0" collapsed="false">
      <c r="A136" s="35" t="s">
        <v>219</v>
      </c>
      <c r="B136" s="35" t="s">
        <v>220</v>
      </c>
      <c r="C136" s="35" t="s">
        <v>184</v>
      </c>
      <c r="D136" s="35" t="s">
        <v>196</v>
      </c>
      <c r="E136" s="36" t="n">
        <v>40169</v>
      </c>
      <c r="F136" s="36" t="n">
        <v>10415</v>
      </c>
      <c r="G136" s="37" t="n">
        <v>46168</v>
      </c>
      <c r="H136" s="35" t="s">
        <v>360</v>
      </c>
      <c r="I136" s="35" t="s">
        <v>299</v>
      </c>
      <c r="J136" s="36" t="n">
        <v>2026</v>
      </c>
      <c r="K136" s="38" t="n">
        <v>8076.04</v>
      </c>
      <c r="L136" s="37" t="n">
        <v>46174</v>
      </c>
      <c r="M136" s="35" t="n">
        <v>0.12</v>
      </c>
      <c r="N136" s="35" t="n">
        <v>0.12</v>
      </c>
      <c r="O136" s="35" t="s">
        <v>188</v>
      </c>
      <c r="P136" s="35"/>
      <c r="Q136" s="37" t="n">
        <v>46174</v>
      </c>
      <c r="R136" s="35" t="s">
        <v>222</v>
      </c>
    </row>
    <row r="137" customFormat="false" ht="15" hidden="false" customHeight="false" outlineLevel="0" collapsed="false">
      <c r="A137" s="35" t="s">
        <v>361</v>
      </c>
      <c r="B137" s="35" t="s">
        <v>362</v>
      </c>
      <c r="C137" s="35" t="s">
        <v>184</v>
      </c>
      <c r="D137" s="35" t="s">
        <v>196</v>
      </c>
      <c r="E137" s="36" t="n">
        <v>302</v>
      </c>
      <c r="F137" s="36" t="n">
        <v>7911</v>
      </c>
      <c r="G137" s="37" t="n">
        <v>46084</v>
      </c>
      <c r="H137" s="35" t="n">
        <v>552166</v>
      </c>
      <c r="I137" s="35" t="s">
        <v>191</v>
      </c>
      <c r="J137" s="36" t="n">
        <v>2026</v>
      </c>
      <c r="K137" s="38" t="n">
        <v>546.94</v>
      </c>
      <c r="L137" s="37" t="n">
        <v>46175</v>
      </c>
      <c r="M137" s="35" t="s">
        <v>187</v>
      </c>
      <c r="N137" s="35"/>
      <c r="O137" s="35" t="s">
        <v>188</v>
      </c>
      <c r="P137" s="35" t="s">
        <v>363</v>
      </c>
      <c r="Q137" s="37" t="n">
        <v>46178</v>
      </c>
      <c r="R137" s="35"/>
    </row>
    <row r="138" customFormat="false" ht="15" hidden="false" customHeight="false" outlineLevel="0" collapsed="false">
      <c r="A138" s="35" t="s">
        <v>232</v>
      </c>
      <c r="B138" s="35" t="s">
        <v>228</v>
      </c>
      <c r="C138" s="35" t="s">
        <v>210</v>
      </c>
      <c r="D138" s="35" t="n">
        <v>0</v>
      </c>
      <c r="E138" s="36" t="n">
        <v>69740</v>
      </c>
      <c r="F138" s="36" t="n">
        <v>8438</v>
      </c>
      <c r="G138" s="37" t="n">
        <v>46174</v>
      </c>
      <c r="H138" s="35" t="n">
        <v>8089</v>
      </c>
      <c r="I138" s="35" t="s">
        <v>364</v>
      </c>
      <c r="J138" s="36" t="n">
        <v>2026</v>
      </c>
      <c r="K138" s="38" t="n">
        <v>43775</v>
      </c>
      <c r="L138" s="37" t="n">
        <v>46175</v>
      </c>
      <c r="M138" s="35" t="n">
        <v>43775</v>
      </c>
      <c r="N138" s="35" t="n">
        <v>43775</v>
      </c>
      <c r="O138" s="35" t="s">
        <v>188</v>
      </c>
      <c r="P138" s="35"/>
      <c r="Q138" s="37" t="n">
        <v>46176</v>
      </c>
      <c r="R138" s="35"/>
    </row>
    <row r="139" customFormat="false" ht="15" hidden="false" customHeight="false" outlineLevel="0" collapsed="false">
      <c r="A139" s="35" t="s">
        <v>277</v>
      </c>
      <c r="B139" s="35" t="s">
        <v>278</v>
      </c>
      <c r="C139" s="35" t="s">
        <v>279</v>
      </c>
      <c r="D139" s="35" t="s">
        <v>280</v>
      </c>
      <c r="E139" s="36" t="n">
        <v>69663</v>
      </c>
      <c r="F139" s="36" t="n">
        <v>7927</v>
      </c>
      <c r="G139" s="37" t="n">
        <v>46156</v>
      </c>
      <c r="H139" s="35" t="n">
        <v>37019</v>
      </c>
      <c r="I139" s="35" t="s">
        <v>299</v>
      </c>
      <c r="J139" s="36" t="n">
        <v>2026</v>
      </c>
      <c r="K139" s="38" t="n">
        <v>9756.5</v>
      </c>
      <c r="L139" s="37" t="n">
        <v>46177</v>
      </c>
      <c r="M139" s="35" t="n">
        <v>9756.5</v>
      </c>
      <c r="N139" s="35" t="n">
        <v>9756.5</v>
      </c>
      <c r="O139" s="35" t="s">
        <v>188</v>
      </c>
      <c r="P139" s="35"/>
      <c r="Q139" s="37" t="n">
        <v>46178</v>
      </c>
      <c r="R139" s="35"/>
    </row>
    <row r="140" customFormat="false" ht="15" hidden="false" customHeight="false" outlineLevel="0" collapsed="false">
      <c r="A140" s="35" t="s">
        <v>194</v>
      </c>
      <c r="B140" s="35" t="s">
        <v>199</v>
      </c>
      <c r="C140" s="35" t="s">
        <v>184</v>
      </c>
      <c r="D140" s="35" t="s">
        <v>196</v>
      </c>
      <c r="E140" s="36" t="n">
        <v>33913</v>
      </c>
      <c r="F140" s="36" t="n">
        <v>7896</v>
      </c>
      <c r="G140" s="37" t="n">
        <v>46170</v>
      </c>
      <c r="H140" s="35" t="s">
        <v>365</v>
      </c>
      <c r="I140" s="35" t="s">
        <v>299</v>
      </c>
      <c r="J140" s="36" t="n">
        <v>2026</v>
      </c>
      <c r="K140" s="38" t="n">
        <v>22</v>
      </c>
      <c r="L140" s="37" t="n">
        <v>46177</v>
      </c>
      <c r="M140" s="35" t="s">
        <v>201</v>
      </c>
      <c r="N140" s="35" t="n">
        <v>0.22</v>
      </c>
      <c r="O140" s="35" t="s">
        <v>188</v>
      </c>
      <c r="P140" s="35"/>
      <c r="Q140" s="37" t="n">
        <v>46178</v>
      </c>
      <c r="R140" s="35"/>
    </row>
    <row r="141" customFormat="false" ht="15" hidden="false" customHeight="false" outlineLevel="0" collapsed="false">
      <c r="A141" s="35" t="s">
        <v>194</v>
      </c>
      <c r="B141" s="35" t="s">
        <v>195</v>
      </c>
      <c r="C141" s="35" t="s">
        <v>184</v>
      </c>
      <c r="D141" s="35" t="s">
        <v>196</v>
      </c>
      <c r="E141" s="36" t="n">
        <v>33913</v>
      </c>
      <c r="F141" s="36" t="n">
        <v>10410</v>
      </c>
      <c r="G141" s="37" t="n">
        <v>46170</v>
      </c>
      <c r="H141" s="35" t="s">
        <v>366</v>
      </c>
      <c r="I141" s="35" t="s">
        <v>299</v>
      </c>
      <c r="J141" s="36" t="n">
        <v>2026</v>
      </c>
      <c r="K141" s="38" t="n">
        <v>13306.41</v>
      </c>
      <c r="L141" s="37" t="n">
        <v>46177</v>
      </c>
      <c r="M141" s="35" t="n">
        <v>0.22</v>
      </c>
      <c r="N141" s="35" t="n">
        <v>0.22</v>
      </c>
      <c r="O141" s="35" t="s">
        <v>188</v>
      </c>
      <c r="P141" s="35"/>
      <c r="Q141" s="37" t="n">
        <v>46178</v>
      </c>
      <c r="R141" s="35"/>
    </row>
    <row r="142" customFormat="false" ht="15" hidden="false" customHeight="false" outlineLevel="0" collapsed="false">
      <c r="A142" s="35" t="s">
        <v>194</v>
      </c>
      <c r="B142" s="35" t="s">
        <v>206</v>
      </c>
      <c r="C142" s="35" t="s">
        <v>184</v>
      </c>
      <c r="D142" s="35" t="s">
        <v>196</v>
      </c>
      <c r="E142" s="36" t="n">
        <v>33913</v>
      </c>
      <c r="F142" s="36" t="n">
        <v>10407</v>
      </c>
      <c r="G142" s="37" t="n">
        <v>46170</v>
      </c>
      <c r="H142" s="35" t="s">
        <v>367</v>
      </c>
      <c r="I142" s="35" t="s">
        <v>299</v>
      </c>
      <c r="J142" s="36" t="n">
        <v>2026</v>
      </c>
      <c r="K142" s="38" t="n">
        <v>38412.26</v>
      </c>
      <c r="L142" s="37" t="n">
        <v>46177</v>
      </c>
      <c r="M142" s="35" t="n">
        <v>0.04</v>
      </c>
      <c r="N142" s="35" t="n">
        <v>0.04</v>
      </c>
      <c r="O142" s="35" t="s">
        <v>188</v>
      </c>
      <c r="P142" s="35"/>
      <c r="Q142" s="37" t="n">
        <v>46178</v>
      </c>
      <c r="R142" s="35" t="s">
        <v>208</v>
      </c>
    </row>
    <row r="143" customFormat="false" ht="15" hidden="false" customHeight="false" outlineLevel="0" collapsed="false">
      <c r="A143" s="35" t="s">
        <v>219</v>
      </c>
      <c r="B143" s="35" t="s">
        <v>206</v>
      </c>
      <c r="C143" s="35" t="s">
        <v>184</v>
      </c>
      <c r="D143" s="35" t="s">
        <v>196</v>
      </c>
      <c r="E143" s="36" t="n">
        <v>40169</v>
      </c>
      <c r="F143" s="36" t="n">
        <v>10417</v>
      </c>
      <c r="G143" s="37" t="n">
        <v>46173</v>
      </c>
      <c r="H143" s="35" t="n">
        <v>13708</v>
      </c>
      <c r="I143" s="35" t="s">
        <v>299</v>
      </c>
      <c r="J143" s="36" t="n">
        <v>2026</v>
      </c>
      <c r="K143" s="38" t="n">
        <v>36064.09</v>
      </c>
      <c r="L143" s="37" t="n">
        <v>46177</v>
      </c>
      <c r="M143" s="35" t="n">
        <v>0.0375</v>
      </c>
      <c r="N143" s="35" t="n">
        <v>0.0375</v>
      </c>
      <c r="O143" s="35" t="s">
        <v>188</v>
      </c>
      <c r="P143" s="35"/>
      <c r="Q143" s="37" t="n">
        <v>46178</v>
      </c>
      <c r="R143" s="35"/>
    </row>
    <row r="144" customFormat="false" ht="15" hidden="false" customHeight="false" outlineLevel="0" collapsed="false">
      <c r="A144" s="35" t="s">
        <v>237</v>
      </c>
      <c r="B144" s="35" t="s">
        <v>238</v>
      </c>
      <c r="C144" s="35" t="s">
        <v>184</v>
      </c>
      <c r="D144" s="35" t="s">
        <v>185</v>
      </c>
      <c r="E144" s="36" t="n">
        <v>44467</v>
      </c>
      <c r="F144" s="36" t="n">
        <v>10824</v>
      </c>
      <c r="G144" s="37" t="n">
        <v>46174</v>
      </c>
      <c r="H144" s="35" t="s">
        <v>368</v>
      </c>
      <c r="I144" s="35" t="s">
        <v>299</v>
      </c>
      <c r="J144" s="36" t="n">
        <v>2026</v>
      </c>
      <c r="K144" s="38" t="n">
        <v>110049.96</v>
      </c>
      <c r="L144" s="37" t="n">
        <v>46177</v>
      </c>
      <c r="M144" s="35" t="n">
        <v>0.05</v>
      </c>
      <c r="N144" s="35" t="n">
        <v>0.05</v>
      </c>
      <c r="O144" s="35" t="s">
        <v>188</v>
      </c>
      <c r="P144" s="35"/>
      <c r="Q144" s="37" t="n">
        <v>46181</v>
      </c>
      <c r="R144" s="35"/>
    </row>
    <row r="145" customFormat="false" ht="15" hidden="false" customHeight="false" outlineLevel="0" collapsed="false">
      <c r="A145" s="35" t="s">
        <v>219</v>
      </c>
      <c r="B145" s="35" t="s">
        <v>220</v>
      </c>
      <c r="C145" s="35" t="s">
        <v>184</v>
      </c>
      <c r="D145" s="35" t="s">
        <v>196</v>
      </c>
      <c r="E145" s="36" t="n">
        <v>40169</v>
      </c>
      <c r="F145" s="36" t="n">
        <v>10415</v>
      </c>
      <c r="G145" s="37" t="n">
        <v>46175</v>
      </c>
      <c r="H145" s="35" t="s">
        <v>369</v>
      </c>
      <c r="I145" s="35" t="s">
        <v>299</v>
      </c>
      <c r="J145" s="36" t="n">
        <v>2026</v>
      </c>
      <c r="K145" s="38" t="n">
        <v>9300.87</v>
      </c>
      <c r="L145" s="37" t="n">
        <v>46178</v>
      </c>
      <c r="M145" s="35" t="n">
        <v>0.12</v>
      </c>
      <c r="N145" s="35" t="n">
        <v>0.12</v>
      </c>
      <c r="O145" s="35" t="s">
        <v>188</v>
      </c>
      <c r="P145" s="35"/>
      <c r="Q145" s="37" t="n">
        <v>46178</v>
      </c>
      <c r="R145" s="35" t="s">
        <v>222</v>
      </c>
    </row>
    <row r="146" customFormat="false" ht="15" hidden="false" customHeight="false" outlineLevel="0" collapsed="false">
      <c r="A146" s="35" t="s">
        <v>233</v>
      </c>
      <c r="B146" s="35" t="s">
        <v>234</v>
      </c>
      <c r="C146" s="35" t="s">
        <v>184</v>
      </c>
      <c r="D146" s="35" t="s">
        <v>196</v>
      </c>
      <c r="E146" s="36" t="n">
        <v>57104</v>
      </c>
      <c r="F146" s="36" t="n">
        <v>7910</v>
      </c>
      <c r="G146" s="37" t="n">
        <v>46174</v>
      </c>
      <c r="H146" s="35" t="n">
        <v>6202600560</v>
      </c>
      <c r="I146" s="35" t="s">
        <v>299</v>
      </c>
      <c r="J146" s="36" t="n">
        <v>2026</v>
      </c>
      <c r="K146" s="38" t="n">
        <v>4046.23</v>
      </c>
      <c r="L146" s="37" t="n">
        <v>46181</v>
      </c>
      <c r="M146" s="35" t="s">
        <v>187</v>
      </c>
      <c r="N146" s="35"/>
      <c r="O146" s="35" t="s">
        <v>188</v>
      </c>
      <c r="P146" s="35"/>
      <c r="Q146" s="37" t="n">
        <v>46181</v>
      </c>
      <c r="R146" s="35"/>
    </row>
    <row r="147" customFormat="false" ht="15" hidden="false" customHeight="false" outlineLevel="0" collapsed="false">
      <c r="A147" s="35" t="s">
        <v>121</v>
      </c>
      <c r="B147" s="35" t="s">
        <v>235</v>
      </c>
      <c r="C147" s="35" t="s">
        <v>213</v>
      </c>
      <c r="D147" s="35" t="s">
        <v>227</v>
      </c>
      <c r="E147" s="36" t="n">
        <v>45857</v>
      </c>
      <c r="F147" s="36" t="n">
        <v>8659</v>
      </c>
      <c r="G147" s="37" t="n">
        <v>46174</v>
      </c>
      <c r="H147" s="35" t="n">
        <v>4019029</v>
      </c>
      <c r="I147" s="35" t="s">
        <v>299</v>
      </c>
      <c r="J147" s="36" t="n">
        <v>2026</v>
      </c>
      <c r="K147" s="38" t="n">
        <v>38791.46</v>
      </c>
      <c r="L147" s="37" t="n">
        <v>46183</v>
      </c>
      <c r="M147" s="35" t="n">
        <v>0.24</v>
      </c>
      <c r="N147" s="35" t="n">
        <v>0.24</v>
      </c>
      <c r="O147" s="35" t="s">
        <v>188</v>
      </c>
      <c r="P147" s="35"/>
      <c r="Q147" s="37" t="n">
        <v>46183</v>
      </c>
      <c r="R147" s="35"/>
    </row>
    <row r="148" customFormat="false" ht="15" hidden="false" customHeight="false" outlineLevel="0" collapsed="false">
      <c r="A148" s="35" t="s">
        <v>121</v>
      </c>
      <c r="B148" s="35" t="s">
        <v>226</v>
      </c>
      <c r="C148" s="35" t="s">
        <v>213</v>
      </c>
      <c r="D148" s="35" t="s">
        <v>227</v>
      </c>
      <c r="E148" s="36" t="n">
        <v>45857</v>
      </c>
      <c r="F148" s="36" t="n">
        <v>8658</v>
      </c>
      <c r="G148" s="37" t="n">
        <v>46174</v>
      </c>
      <c r="H148" s="35" t="n">
        <v>5020019</v>
      </c>
      <c r="I148" s="35" t="s">
        <v>299</v>
      </c>
      <c r="J148" s="36" t="n">
        <v>2026</v>
      </c>
      <c r="K148" s="38" t="n">
        <v>16222.01</v>
      </c>
      <c r="L148" s="37" t="n">
        <v>46183</v>
      </c>
      <c r="M148" s="35" t="n">
        <v>0.26</v>
      </c>
      <c r="N148" s="35" t="n">
        <v>0.26</v>
      </c>
      <c r="O148" s="35" t="s">
        <v>188</v>
      </c>
      <c r="P148" s="35"/>
      <c r="Q148" s="37" t="n">
        <v>46183</v>
      </c>
      <c r="R148" s="35"/>
    </row>
    <row r="149" customFormat="false" ht="15" hidden="false" customHeight="false" outlineLevel="0" collapsed="false">
      <c r="A149" s="35" t="s">
        <v>121</v>
      </c>
      <c r="B149" s="35" t="s">
        <v>226</v>
      </c>
      <c r="C149" s="35" t="s">
        <v>213</v>
      </c>
      <c r="D149" s="35" t="s">
        <v>227</v>
      </c>
      <c r="E149" s="36" t="n">
        <v>45857</v>
      </c>
      <c r="F149" s="36" t="n">
        <v>8658</v>
      </c>
      <c r="G149" s="37" t="n">
        <v>46174</v>
      </c>
      <c r="H149" s="35" t="n">
        <v>6018013</v>
      </c>
      <c r="I149" s="35" t="s">
        <v>299</v>
      </c>
      <c r="J149" s="36" t="n">
        <v>2026</v>
      </c>
      <c r="K149" s="38" t="n">
        <v>1888.03</v>
      </c>
      <c r="L149" s="37" t="n">
        <v>46183</v>
      </c>
      <c r="M149" s="35" t="n">
        <v>0.26</v>
      </c>
      <c r="N149" s="35" t="n">
        <v>0.26</v>
      </c>
      <c r="O149" s="35" t="s">
        <v>188</v>
      </c>
      <c r="P149" s="35"/>
      <c r="Q149" s="37" t="n">
        <v>46183</v>
      </c>
      <c r="R149" s="35"/>
    </row>
    <row r="150" customFormat="false" ht="15" hidden="false" customHeight="false" outlineLevel="0" collapsed="false">
      <c r="A150" s="35" t="s">
        <v>194</v>
      </c>
      <c r="B150" s="35" t="s">
        <v>223</v>
      </c>
      <c r="C150" s="35" t="s">
        <v>184</v>
      </c>
      <c r="D150" s="35" t="s">
        <v>196</v>
      </c>
      <c r="E150" s="36" t="n">
        <v>33913</v>
      </c>
      <c r="F150" s="36" t="n">
        <v>10407</v>
      </c>
      <c r="G150" s="37" t="n">
        <v>46176</v>
      </c>
      <c r="H150" s="35" t="s">
        <v>370</v>
      </c>
      <c r="I150" s="35" t="s">
        <v>299</v>
      </c>
      <c r="J150" s="36" t="n">
        <v>2026</v>
      </c>
      <c r="K150" s="38" t="n">
        <v>28561.4</v>
      </c>
      <c r="L150" s="37" t="n">
        <v>46183</v>
      </c>
      <c r="M150" s="35" t="s">
        <v>245</v>
      </c>
      <c r="N150" s="35" t="n">
        <v>35</v>
      </c>
      <c r="O150" s="35" t="s">
        <v>188</v>
      </c>
      <c r="P150" s="35" t="s">
        <v>371</v>
      </c>
      <c r="Q150" s="37" t="n">
        <v>46188</v>
      </c>
      <c r="R150" s="35"/>
    </row>
    <row r="151" customFormat="false" ht="15" hidden="false" customHeight="false" outlineLevel="0" collapsed="false">
      <c r="A151" s="35" t="s">
        <v>164</v>
      </c>
      <c r="B151" s="35" t="s">
        <v>263</v>
      </c>
      <c r="C151" s="35" t="s">
        <v>193</v>
      </c>
      <c r="D151" s="35" t="s">
        <v>264</v>
      </c>
      <c r="E151" s="36" t="n">
        <v>46597</v>
      </c>
      <c r="F151" s="36" t="n">
        <v>10833</v>
      </c>
      <c r="G151" s="37" t="n">
        <v>46181</v>
      </c>
      <c r="H151" s="35" t="n">
        <v>3675598</v>
      </c>
      <c r="I151" s="35" t="s">
        <v>364</v>
      </c>
      <c r="J151" s="36" t="n">
        <v>2026</v>
      </c>
      <c r="K151" s="38" t="n">
        <v>27727.2</v>
      </c>
      <c r="L151" s="37" t="n">
        <v>46183</v>
      </c>
      <c r="M151" s="35" t="n">
        <v>27727.5</v>
      </c>
      <c r="N151" s="35" t="n">
        <v>27727.2</v>
      </c>
      <c r="O151" s="35" t="s">
        <v>188</v>
      </c>
      <c r="P151" s="35"/>
      <c r="Q151" s="37" t="n">
        <v>46183</v>
      </c>
      <c r="R151" s="35"/>
    </row>
    <row r="152" customFormat="false" ht="15" hidden="false" customHeight="false" outlineLevel="0" collapsed="false">
      <c r="A152" s="35" t="s">
        <v>164</v>
      </c>
      <c r="B152" s="35" t="s">
        <v>209</v>
      </c>
      <c r="C152" s="35" t="s">
        <v>184</v>
      </c>
      <c r="D152" s="35" t="s">
        <v>372</v>
      </c>
      <c r="E152" s="36" t="n">
        <v>46597</v>
      </c>
      <c r="F152" s="36" t="n">
        <v>11053</v>
      </c>
      <c r="G152" s="37" t="n">
        <v>46147</v>
      </c>
      <c r="H152" s="35" t="n">
        <v>3644815</v>
      </c>
      <c r="I152" s="35" t="s">
        <v>230</v>
      </c>
      <c r="J152" s="36" t="n">
        <v>2026</v>
      </c>
      <c r="K152" s="38" t="n">
        <v>134554.86</v>
      </c>
      <c r="L152" s="37" t="n">
        <v>46184</v>
      </c>
      <c r="M152" s="35" t="n">
        <v>119350.55</v>
      </c>
      <c r="N152" s="35"/>
      <c r="O152" s="35" t="s">
        <v>205</v>
      </c>
      <c r="P152" s="35"/>
      <c r="Q152" s="37" t="n">
        <v>46189</v>
      </c>
      <c r="R152" s="35" t="s">
        <v>373</v>
      </c>
    </row>
    <row r="153" customFormat="false" ht="15" hidden="false" customHeight="false" outlineLevel="0" collapsed="false">
      <c r="A153" s="35" t="s">
        <v>164</v>
      </c>
      <c r="B153" s="35" t="s">
        <v>263</v>
      </c>
      <c r="C153" s="35" t="s">
        <v>193</v>
      </c>
      <c r="D153" s="35" t="s">
        <v>264</v>
      </c>
      <c r="E153" s="36" t="n">
        <v>46597</v>
      </c>
      <c r="F153" s="36" t="n">
        <v>10833</v>
      </c>
      <c r="G153" s="37" t="n">
        <v>46150</v>
      </c>
      <c r="H153" s="35" t="n">
        <v>3654188</v>
      </c>
      <c r="I153" s="35" t="s">
        <v>299</v>
      </c>
      <c r="J153" s="36" t="n">
        <v>2026</v>
      </c>
      <c r="K153" s="38" t="n">
        <v>27727.2</v>
      </c>
      <c r="L153" s="37" t="n">
        <v>46184</v>
      </c>
      <c r="M153" s="35" t="n">
        <v>27727.5</v>
      </c>
      <c r="N153" s="35"/>
      <c r="O153" s="35" t="s">
        <v>188</v>
      </c>
      <c r="P153" s="35"/>
      <c r="Q153" s="37" t="n">
        <v>46188</v>
      </c>
      <c r="R153" s="35"/>
    </row>
    <row r="154" customFormat="false" ht="15" hidden="false" customHeight="false" outlineLevel="0" collapsed="false">
      <c r="A154" s="35" t="s">
        <v>374</v>
      </c>
      <c r="B154" s="35" t="s">
        <v>375</v>
      </c>
      <c r="C154" s="35" t="s">
        <v>213</v>
      </c>
      <c r="D154" s="35" t="s">
        <v>376</v>
      </c>
      <c r="E154" s="36" t="n">
        <v>45238</v>
      </c>
      <c r="F154" s="36" t="n">
        <v>11217</v>
      </c>
      <c r="G154" s="37" t="n">
        <v>46153</v>
      </c>
      <c r="H154" s="35" t="s">
        <v>377</v>
      </c>
      <c r="I154" s="35" t="s">
        <v>299</v>
      </c>
      <c r="J154" s="36" t="n">
        <v>2026</v>
      </c>
      <c r="K154" s="38" t="n">
        <v>83205</v>
      </c>
      <c r="L154" s="37" t="n">
        <v>46184</v>
      </c>
      <c r="M154" s="35" t="s">
        <v>378</v>
      </c>
      <c r="N154" s="35"/>
      <c r="O154" s="35" t="s">
        <v>188</v>
      </c>
      <c r="P154" s="35" t="s">
        <v>379</v>
      </c>
      <c r="Q154" s="37" t="n">
        <v>46190</v>
      </c>
      <c r="R154" s="35"/>
    </row>
    <row r="155" customFormat="false" ht="15" hidden="false" customHeight="false" outlineLevel="0" collapsed="false">
      <c r="A155" s="35" t="s">
        <v>182</v>
      </c>
      <c r="B155" s="35" t="s">
        <v>183</v>
      </c>
      <c r="C155" s="35" t="s">
        <v>184</v>
      </c>
      <c r="D155" s="35" t="s">
        <v>185</v>
      </c>
      <c r="E155" s="36" t="n">
        <v>74708</v>
      </c>
      <c r="F155" s="36" t="n">
        <v>10118</v>
      </c>
      <c r="G155" s="37" t="n">
        <v>46173</v>
      </c>
      <c r="H155" s="35" t="n">
        <v>1337</v>
      </c>
      <c r="I155" s="35" t="s">
        <v>299</v>
      </c>
      <c r="J155" s="36" t="n">
        <v>2026</v>
      </c>
      <c r="K155" s="38" t="n">
        <v>166113.3</v>
      </c>
      <c r="L155" s="37" t="n">
        <v>46184</v>
      </c>
      <c r="M155" s="35" t="s">
        <v>187</v>
      </c>
      <c r="N155" s="35" t="n">
        <v>0.0845</v>
      </c>
      <c r="O155" s="35" t="s">
        <v>188</v>
      </c>
      <c r="P155" s="35"/>
      <c r="Q155" s="37" t="n">
        <v>46184</v>
      </c>
      <c r="R155" s="35" t="s">
        <v>190</v>
      </c>
    </row>
    <row r="156" customFormat="false" ht="15" hidden="false" customHeight="false" outlineLevel="0" collapsed="false">
      <c r="A156" s="35" t="s">
        <v>108</v>
      </c>
      <c r="B156" s="35" t="s">
        <v>292</v>
      </c>
      <c r="C156" s="35" t="s">
        <v>184</v>
      </c>
      <c r="D156" s="35" t="s">
        <v>258</v>
      </c>
      <c r="E156" s="36" t="n">
        <v>75456</v>
      </c>
      <c r="F156" s="36" t="n">
        <v>10200</v>
      </c>
      <c r="G156" s="37" t="n">
        <v>46173</v>
      </c>
      <c r="H156" s="35" t="s">
        <v>380</v>
      </c>
      <c r="I156" s="35" t="s">
        <v>299</v>
      </c>
      <c r="J156" s="36" t="n">
        <v>2026</v>
      </c>
      <c r="K156" s="38" t="n">
        <v>676575.89</v>
      </c>
      <c r="L156" s="37" t="n">
        <v>46184</v>
      </c>
      <c r="M156" s="35" t="n">
        <v>0.079</v>
      </c>
      <c r="N156" s="35"/>
      <c r="O156" s="35" t="s">
        <v>188</v>
      </c>
      <c r="P156" s="35"/>
      <c r="Q156" s="37" t="n">
        <v>46190</v>
      </c>
      <c r="R156" s="35"/>
    </row>
    <row r="157" customFormat="false" ht="15" hidden="false" customHeight="false" outlineLevel="0" collapsed="false">
      <c r="A157" s="35" t="s">
        <v>108</v>
      </c>
      <c r="B157" s="35" t="s">
        <v>119</v>
      </c>
      <c r="C157" s="35" t="s">
        <v>184</v>
      </c>
      <c r="D157" s="35" t="s">
        <v>185</v>
      </c>
      <c r="E157" s="36" t="n">
        <v>75456</v>
      </c>
      <c r="F157" s="36" t="n">
        <v>10200</v>
      </c>
      <c r="G157" s="37" t="n">
        <v>46173</v>
      </c>
      <c r="H157" s="35" t="s">
        <v>381</v>
      </c>
      <c r="I157" s="35" t="s">
        <v>299</v>
      </c>
      <c r="J157" s="36" t="n">
        <v>2026</v>
      </c>
      <c r="K157" s="38" t="n">
        <v>86151.16</v>
      </c>
      <c r="L157" s="37" t="n">
        <v>46184</v>
      </c>
      <c r="M157" s="35" t="n">
        <v>0.109</v>
      </c>
      <c r="N157" s="35"/>
      <c r="O157" s="35" t="s">
        <v>188</v>
      </c>
      <c r="P157" s="35"/>
      <c r="Q157" s="37" t="n">
        <v>46190</v>
      </c>
      <c r="R157" s="35"/>
    </row>
    <row r="158" customFormat="false" ht="15" hidden="false" customHeight="false" outlineLevel="0" collapsed="false">
      <c r="A158" s="35" t="s">
        <v>219</v>
      </c>
      <c r="B158" s="35" t="s">
        <v>223</v>
      </c>
      <c r="C158" s="35" t="s">
        <v>184</v>
      </c>
      <c r="D158" s="35" t="s">
        <v>196</v>
      </c>
      <c r="E158" s="36" t="n">
        <v>40169</v>
      </c>
      <c r="F158" s="36" t="n">
        <v>10417</v>
      </c>
      <c r="G158" s="37" t="n">
        <v>46173</v>
      </c>
      <c r="H158" s="35" t="n">
        <v>13738</v>
      </c>
      <c r="I158" s="35" t="s">
        <v>299</v>
      </c>
      <c r="J158" s="36" t="n">
        <v>2026</v>
      </c>
      <c r="K158" s="38" t="n">
        <v>11200</v>
      </c>
      <c r="L158" s="37" t="n">
        <v>46184</v>
      </c>
      <c r="M158" s="35" t="s">
        <v>224</v>
      </c>
      <c r="N158" s="35" t="s">
        <v>324</v>
      </c>
      <c r="O158" s="35" t="s">
        <v>188</v>
      </c>
      <c r="P158" s="35" t="s">
        <v>382</v>
      </c>
      <c r="Q158" s="37" t="n">
        <v>46188</v>
      </c>
      <c r="R158" s="35"/>
    </row>
    <row r="159" customFormat="false" ht="15" hidden="false" customHeight="false" outlineLevel="0" collapsed="false">
      <c r="A159" s="35" t="s">
        <v>219</v>
      </c>
      <c r="B159" s="35" t="s">
        <v>206</v>
      </c>
      <c r="C159" s="35" t="s">
        <v>184</v>
      </c>
      <c r="D159" s="35" t="s">
        <v>196</v>
      </c>
      <c r="E159" s="36" t="n">
        <v>40169</v>
      </c>
      <c r="F159" s="36" t="n">
        <v>10417</v>
      </c>
      <c r="G159" s="37" t="n">
        <v>46173</v>
      </c>
      <c r="H159" s="35" t="n">
        <v>13739</v>
      </c>
      <c r="I159" s="35" t="s">
        <v>299</v>
      </c>
      <c r="J159" s="36" t="n">
        <v>2026</v>
      </c>
      <c r="K159" s="38" t="n">
        <v>4802.45</v>
      </c>
      <c r="L159" s="37" t="n">
        <v>46184</v>
      </c>
      <c r="M159" s="35" t="n">
        <v>0.0375</v>
      </c>
      <c r="N159" s="35" t="n">
        <v>0.375</v>
      </c>
      <c r="O159" s="35" t="s">
        <v>188</v>
      </c>
      <c r="P159" s="35"/>
      <c r="Q159" s="37" t="n">
        <v>46188</v>
      </c>
      <c r="R159" s="35"/>
    </row>
    <row r="160" customFormat="false" ht="15" hidden="false" customHeight="false" outlineLevel="0" collapsed="false">
      <c r="A160" s="35" t="s">
        <v>127</v>
      </c>
      <c r="B160" s="35" t="s">
        <v>228</v>
      </c>
      <c r="C160" s="35" t="s">
        <v>229</v>
      </c>
      <c r="D160" s="35" t="s">
        <v>210</v>
      </c>
      <c r="E160" s="36" t="n">
        <v>69911</v>
      </c>
      <c r="F160" s="36" t="n">
        <v>10138</v>
      </c>
      <c r="G160" s="37" t="n">
        <v>46174</v>
      </c>
      <c r="H160" s="35" t="n">
        <v>420</v>
      </c>
      <c r="I160" s="35" t="s">
        <v>299</v>
      </c>
      <c r="J160" s="36" t="n">
        <v>2026</v>
      </c>
      <c r="K160" s="38" t="n">
        <v>2500</v>
      </c>
      <c r="L160" s="37" t="n">
        <v>46184</v>
      </c>
      <c r="M160" s="35" t="n">
        <v>19684.5</v>
      </c>
      <c r="N160" s="35" t="n">
        <v>2500</v>
      </c>
      <c r="O160" s="35" t="s">
        <v>188</v>
      </c>
      <c r="P160" s="35" t="s">
        <v>383</v>
      </c>
      <c r="Q160" s="37" t="n">
        <v>46184</v>
      </c>
      <c r="R160" s="35"/>
    </row>
    <row r="161" customFormat="false" ht="15" hidden="false" customHeight="false" outlineLevel="0" collapsed="false">
      <c r="A161" s="35" t="s">
        <v>127</v>
      </c>
      <c r="B161" s="35" t="s">
        <v>228</v>
      </c>
      <c r="C161" s="35" t="s">
        <v>229</v>
      </c>
      <c r="D161" s="35" t="s">
        <v>210</v>
      </c>
      <c r="E161" s="36" t="n">
        <v>69911</v>
      </c>
      <c r="F161" s="36" t="n">
        <v>10138</v>
      </c>
      <c r="G161" s="37" t="n">
        <v>46174</v>
      </c>
      <c r="H161" s="35" t="n">
        <v>419</v>
      </c>
      <c r="I161" s="35" t="s">
        <v>299</v>
      </c>
      <c r="J161" s="36" t="n">
        <v>2026</v>
      </c>
      <c r="K161" s="38" t="n">
        <v>19684.5</v>
      </c>
      <c r="L161" s="37" t="n">
        <v>46184</v>
      </c>
      <c r="M161" s="35" t="n">
        <v>19684.5</v>
      </c>
      <c r="N161" s="35" t="n">
        <v>19684.5</v>
      </c>
      <c r="O161" s="35" t="s">
        <v>188</v>
      </c>
      <c r="P161" s="35"/>
      <c r="Q161" s="37" t="n">
        <v>46184</v>
      </c>
      <c r="R161" s="35"/>
    </row>
    <row r="162" customFormat="false" ht="15" hidden="false" customHeight="false" outlineLevel="0" collapsed="false">
      <c r="A162" s="35" t="s">
        <v>194</v>
      </c>
      <c r="B162" s="35" t="s">
        <v>199</v>
      </c>
      <c r="C162" s="35" t="s">
        <v>184</v>
      </c>
      <c r="D162" s="35" t="s">
        <v>196</v>
      </c>
      <c r="E162" s="36" t="n">
        <v>33913</v>
      </c>
      <c r="F162" s="36" t="n">
        <v>7896</v>
      </c>
      <c r="G162" s="37" t="n">
        <v>46177</v>
      </c>
      <c r="H162" s="35" t="s">
        <v>384</v>
      </c>
      <c r="I162" s="35" t="s">
        <v>299</v>
      </c>
      <c r="J162" s="36" t="n">
        <v>2026</v>
      </c>
      <c r="K162" s="38" t="n">
        <v>11.7</v>
      </c>
      <c r="L162" s="37" t="n">
        <v>46184</v>
      </c>
      <c r="M162" s="35" t="s">
        <v>201</v>
      </c>
      <c r="N162" s="35" t="s">
        <v>385</v>
      </c>
      <c r="O162" s="35" t="s">
        <v>188</v>
      </c>
      <c r="P162" s="35"/>
      <c r="Q162" s="37" t="n">
        <v>46188</v>
      </c>
      <c r="R162" s="35"/>
    </row>
    <row r="163" customFormat="false" ht="15" hidden="false" customHeight="false" outlineLevel="0" collapsed="false">
      <c r="A163" s="35" t="s">
        <v>194</v>
      </c>
      <c r="B163" s="35" t="s">
        <v>195</v>
      </c>
      <c r="C163" s="35" t="s">
        <v>184</v>
      </c>
      <c r="D163" s="35" t="s">
        <v>196</v>
      </c>
      <c r="E163" s="36" t="n">
        <v>33913</v>
      </c>
      <c r="F163" s="36" t="n">
        <v>10410</v>
      </c>
      <c r="G163" s="37" t="n">
        <v>46177</v>
      </c>
      <c r="H163" s="35" t="s">
        <v>386</v>
      </c>
      <c r="I163" s="35" t="s">
        <v>299</v>
      </c>
      <c r="J163" s="36" t="n">
        <v>2026</v>
      </c>
      <c r="K163" s="38" t="n">
        <v>24067.02</v>
      </c>
      <c r="L163" s="37" t="n">
        <v>46184</v>
      </c>
      <c r="M163" s="35" t="n">
        <v>0.22</v>
      </c>
      <c r="N163" s="35" t="n">
        <v>0.22</v>
      </c>
      <c r="O163" s="35" t="s">
        <v>188</v>
      </c>
      <c r="P163" s="35"/>
      <c r="Q163" s="37" t="n">
        <v>46188</v>
      </c>
      <c r="R163" s="35"/>
    </row>
    <row r="164" customFormat="false" ht="15" hidden="false" customHeight="false" outlineLevel="0" collapsed="false">
      <c r="A164" s="35" t="s">
        <v>194</v>
      </c>
      <c r="B164" s="35" t="s">
        <v>206</v>
      </c>
      <c r="C164" s="35" t="s">
        <v>184</v>
      </c>
      <c r="D164" s="35" t="s">
        <v>196</v>
      </c>
      <c r="E164" s="36" t="n">
        <v>33913</v>
      </c>
      <c r="F164" s="36" t="n">
        <v>10407</v>
      </c>
      <c r="G164" s="37" t="n">
        <v>46177</v>
      </c>
      <c r="H164" s="35" t="s">
        <v>387</v>
      </c>
      <c r="I164" s="35" t="s">
        <v>299</v>
      </c>
      <c r="J164" s="36" t="n">
        <v>2026</v>
      </c>
      <c r="K164" s="38" t="n">
        <v>36880.73</v>
      </c>
      <c r="L164" s="37" t="n">
        <v>46184</v>
      </c>
      <c r="M164" s="35" t="n">
        <v>0.04</v>
      </c>
      <c r="N164" s="35" t="n">
        <v>0.04</v>
      </c>
      <c r="O164" s="35" t="s">
        <v>188</v>
      </c>
      <c r="P164" s="35"/>
      <c r="Q164" s="37" t="n">
        <v>46188</v>
      </c>
      <c r="R164" s="35" t="s">
        <v>208</v>
      </c>
    </row>
    <row r="165" customFormat="false" ht="15" hidden="false" customHeight="false" outlineLevel="0" collapsed="false">
      <c r="A165" s="35" t="s">
        <v>194</v>
      </c>
      <c r="B165" s="35" t="s">
        <v>199</v>
      </c>
      <c r="C165" s="35" t="s">
        <v>184</v>
      </c>
      <c r="D165" s="35" t="s">
        <v>196</v>
      </c>
      <c r="E165" s="36" t="n">
        <v>33913</v>
      </c>
      <c r="F165" s="36" t="n">
        <v>7896</v>
      </c>
      <c r="G165" s="37" t="n">
        <v>46177</v>
      </c>
      <c r="H165" s="35" t="s">
        <v>388</v>
      </c>
      <c r="I165" s="35" t="s">
        <v>299</v>
      </c>
      <c r="J165" s="36" t="n">
        <v>2026</v>
      </c>
      <c r="K165" s="38" t="n">
        <v>5.1</v>
      </c>
      <c r="L165" s="37" t="n">
        <v>46184</v>
      </c>
      <c r="M165" s="35" t="s">
        <v>201</v>
      </c>
      <c r="N165" s="35" t="n">
        <v>0.17</v>
      </c>
      <c r="O165" s="35" t="s">
        <v>188</v>
      </c>
      <c r="P165" s="35"/>
      <c r="Q165" s="37" t="n">
        <v>46188</v>
      </c>
      <c r="R165" s="35"/>
    </row>
    <row r="166" customFormat="false" ht="15" hidden="false" customHeight="false" outlineLevel="0" collapsed="false">
      <c r="A166" s="35" t="s">
        <v>194</v>
      </c>
      <c r="B166" s="35" t="s">
        <v>246</v>
      </c>
      <c r="C166" s="35" t="s">
        <v>184</v>
      </c>
      <c r="D166" s="35" t="s">
        <v>196</v>
      </c>
      <c r="E166" s="36" t="n">
        <v>33913</v>
      </c>
      <c r="F166" s="36" t="n">
        <v>7894</v>
      </c>
      <c r="G166" s="37" t="n">
        <v>46177</v>
      </c>
      <c r="H166" s="35" t="s">
        <v>389</v>
      </c>
      <c r="I166" s="35" t="s">
        <v>299</v>
      </c>
      <c r="J166" s="36" t="n">
        <v>2026</v>
      </c>
      <c r="K166" s="38" t="n">
        <v>18016.36</v>
      </c>
      <c r="L166" s="37" t="n">
        <v>46184</v>
      </c>
      <c r="M166" s="35" t="n">
        <v>0.04</v>
      </c>
      <c r="N166" s="35" t="n">
        <v>0.04</v>
      </c>
      <c r="O166" s="35" t="s">
        <v>188</v>
      </c>
      <c r="P166" s="35"/>
      <c r="Q166" s="37" t="n">
        <v>46188</v>
      </c>
      <c r="R166" s="35"/>
    </row>
    <row r="167" customFormat="false" ht="15" hidden="false" customHeight="false" outlineLevel="0" collapsed="false">
      <c r="A167" s="35" t="s">
        <v>164</v>
      </c>
      <c r="B167" s="35" t="s">
        <v>209</v>
      </c>
      <c r="C167" s="35" t="s">
        <v>184</v>
      </c>
      <c r="D167" s="35" t="s">
        <v>372</v>
      </c>
      <c r="E167" s="36" t="n">
        <v>46597</v>
      </c>
      <c r="F167" s="36" t="n">
        <v>11053</v>
      </c>
      <c r="G167" s="37" t="n">
        <v>46183</v>
      </c>
      <c r="H167" s="35" t="n">
        <v>3666591</v>
      </c>
      <c r="I167" s="35" t="s">
        <v>299</v>
      </c>
      <c r="J167" s="36" t="n">
        <v>2026</v>
      </c>
      <c r="K167" s="38" t="n">
        <v>106898.15</v>
      </c>
      <c r="L167" s="37" t="n">
        <v>46184</v>
      </c>
      <c r="M167" s="35" t="n">
        <v>119350.55</v>
      </c>
      <c r="N167" s="35"/>
      <c r="O167" s="35" t="s">
        <v>205</v>
      </c>
      <c r="P167" s="35"/>
      <c r="Q167" s="37" t="n">
        <v>46189</v>
      </c>
      <c r="R167" s="35" t="s">
        <v>373</v>
      </c>
    </row>
    <row r="168" customFormat="false" ht="15" hidden="false" customHeight="false" outlineLevel="0" collapsed="false">
      <c r="A168" s="35" t="s">
        <v>320</v>
      </c>
      <c r="B168" s="35" t="s">
        <v>321</v>
      </c>
      <c r="C168" s="35" t="s">
        <v>213</v>
      </c>
      <c r="D168" s="35" t="s">
        <v>322</v>
      </c>
      <c r="E168" s="36" t="n">
        <v>26853</v>
      </c>
      <c r="F168" s="36" t="n">
        <v>11023</v>
      </c>
      <c r="G168" s="37" t="n">
        <v>46170</v>
      </c>
      <c r="H168" s="35" t="s">
        <v>390</v>
      </c>
      <c r="I168" s="35" t="s">
        <v>299</v>
      </c>
      <c r="J168" s="36" t="n">
        <v>2026</v>
      </c>
      <c r="K168" s="38" t="n">
        <v>13247.5</v>
      </c>
      <c r="L168" s="37" t="n">
        <v>46185</v>
      </c>
      <c r="M168" s="35" t="n">
        <v>12000</v>
      </c>
      <c r="N168" s="35"/>
      <c r="O168" s="35" t="s">
        <v>188</v>
      </c>
      <c r="P168" s="35" t="s">
        <v>391</v>
      </c>
      <c r="Q168" s="37" t="n">
        <v>46189</v>
      </c>
      <c r="R168" s="35"/>
    </row>
    <row r="169" customFormat="false" ht="15" hidden="false" customHeight="false" outlineLevel="0" collapsed="false">
      <c r="A169" s="35" t="s">
        <v>219</v>
      </c>
      <c r="B169" s="35" t="s">
        <v>206</v>
      </c>
      <c r="C169" s="35" t="s">
        <v>184</v>
      </c>
      <c r="D169" s="35" t="s">
        <v>196</v>
      </c>
      <c r="E169" s="36" t="n">
        <v>40169</v>
      </c>
      <c r="F169" s="36" t="n">
        <v>10417</v>
      </c>
      <c r="G169" s="37" t="n">
        <v>46181</v>
      </c>
      <c r="H169" s="35" t="n">
        <v>13743</v>
      </c>
      <c r="I169" s="35" t="s">
        <v>364</v>
      </c>
      <c r="J169" s="36" t="n">
        <v>2026</v>
      </c>
      <c r="K169" s="38" t="n">
        <v>31420.79</v>
      </c>
      <c r="L169" s="37" t="n">
        <v>46185</v>
      </c>
      <c r="M169" s="35" t="n">
        <v>0.0375</v>
      </c>
      <c r="N169" s="35" t="n">
        <v>0.0375</v>
      </c>
      <c r="O169" s="35" t="s">
        <v>188</v>
      </c>
      <c r="P169" s="35"/>
      <c r="Q169" s="37" t="n">
        <v>46188</v>
      </c>
      <c r="R169" s="35"/>
    </row>
    <row r="170" customFormat="false" ht="15" hidden="false" customHeight="false" outlineLevel="0" collapsed="false">
      <c r="A170" s="35" t="s">
        <v>219</v>
      </c>
      <c r="B170" s="35" t="s">
        <v>220</v>
      </c>
      <c r="C170" s="35" t="s">
        <v>184</v>
      </c>
      <c r="D170" s="35" t="s">
        <v>196</v>
      </c>
      <c r="E170" s="36" t="n">
        <v>40169</v>
      </c>
      <c r="F170" s="36" t="n">
        <v>10415</v>
      </c>
      <c r="G170" s="37" t="n">
        <v>46182</v>
      </c>
      <c r="H170" s="35" t="s">
        <v>392</v>
      </c>
      <c r="I170" s="35" t="s">
        <v>364</v>
      </c>
      <c r="J170" s="36" t="n">
        <v>2026</v>
      </c>
      <c r="K170" s="38" t="n">
        <v>7131.95</v>
      </c>
      <c r="L170" s="37" t="n">
        <v>46185</v>
      </c>
      <c r="M170" s="35" t="n">
        <v>0.12</v>
      </c>
      <c r="N170" s="35" t="n">
        <v>0.12</v>
      </c>
      <c r="O170" s="35" t="s">
        <v>188</v>
      </c>
      <c r="P170" s="35"/>
      <c r="Q170" s="37" t="n">
        <v>46188</v>
      </c>
      <c r="R170" s="35" t="s">
        <v>222</v>
      </c>
    </row>
    <row r="171" customFormat="false" ht="15" hidden="false" customHeight="false" outlineLevel="0" collapsed="false">
      <c r="A171" s="35" t="s">
        <v>248</v>
      </c>
      <c r="B171" s="35" t="s">
        <v>249</v>
      </c>
      <c r="C171" s="35" t="s">
        <v>184</v>
      </c>
      <c r="D171" s="35" t="s">
        <v>196</v>
      </c>
      <c r="E171" s="36" t="n">
        <v>67555</v>
      </c>
      <c r="F171" s="36" t="n">
        <v>10423</v>
      </c>
      <c r="G171" s="37" t="n">
        <v>46179</v>
      </c>
      <c r="H171" s="35" t="s">
        <v>393</v>
      </c>
      <c r="I171" s="35" t="s">
        <v>299</v>
      </c>
      <c r="J171" s="36" t="n">
        <v>2026</v>
      </c>
      <c r="K171" s="38" t="n">
        <v>9111.67</v>
      </c>
      <c r="L171" s="37" t="n">
        <v>46188</v>
      </c>
      <c r="M171" s="35" t="n">
        <v>9012.86</v>
      </c>
      <c r="N171" s="35" t="n">
        <v>9111.67</v>
      </c>
      <c r="O171" s="35" t="s">
        <v>188</v>
      </c>
      <c r="P171" s="35" t="s">
        <v>394</v>
      </c>
      <c r="Q171" s="37" t="n">
        <v>46188</v>
      </c>
      <c r="R171" s="35"/>
    </row>
    <row r="172" customFormat="false" ht="15" hidden="false" customHeight="false" outlineLevel="0" collapsed="false">
      <c r="A172" s="35" t="s">
        <v>248</v>
      </c>
      <c r="B172" s="35" t="s">
        <v>255</v>
      </c>
      <c r="C172" s="35" t="s">
        <v>184</v>
      </c>
      <c r="D172" s="35" t="s">
        <v>196</v>
      </c>
      <c r="E172" s="36" t="n">
        <v>67555</v>
      </c>
      <c r="F172" s="36" t="n">
        <v>10424</v>
      </c>
      <c r="G172" s="37" t="n">
        <v>46179</v>
      </c>
      <c r="H172" s="35" t="s">
        <v>395</v>
      </c>
      <c r="I172" s="35" t="s">
        <v>299</v>
      </c>
      <c r="J172" s="36" t="n">
        <v>2026</v>
      </c>
      <c r="K172" s="38" t="n">
        <v>11769.02</v>
      </c>
      <c r="L172" s="37" t="n">
        <v>46188</v>
      </c>
      <c r="M172" s="35" t="n">
        <v>11769.02</v>
      </c>
      <c r="N172" s="35" t="n">
        <v>11769.02</v>
      </c>
      <c r="O172" s="35" t="s">
        <v>188</v>
      </c>
      <c r="P172" s="35"/>
      <c r="Q172" s="37" t="n">
        <v>46188</v>
      </c>
      <c r="R172" s="35"/>
    </row>
    <row r="173" customFormat="false" ht="15" hidden="false" customHeight="false" outlineLevel="0" collapsed="false">
      <c r="A173" s="35" t="s">
        <v>144</v>
      </c>
      <c r="B173" s="35" t="s">
        <v>212</v>
      </c>
      <c r="C173" s="35" t="s">
        <v>213</v>
      </c>
      <c r="D173" s="35" t="s">
        <v>214</v>
      </c>
      <c r="E173" s="36" t="n">
        <v>60823</v>
      </c>
      <c r="F173" s="36" t="n">
        <v>10406</v>
      </c>
      <c r="G173" s="37" t="n">
        <v>46173</v>
      </c>
      <c r="H173" s="35" t="s">
        <v>396</v>
      </c>
      <c r="I173" s="35" t="s">
        <v>299</v>
      </c>
      <c r="J173" s="36" t="n">
        <v>2026</v>
      </c>
      <c r="K173" s="38" t="n">
        <v>388.78</v>
      </c>
      <c r="L173" s="37" t="n">
        <v>46190</v>
      </c>
      <c r="M173" s="35" t="s">
        <v>187</v>
      </c>
      <c r="N173" s="35"/>
      <c r="O173" s="35" t="s">
        <v>188</v>
      </c>
      <c r="P173" s="35"/>
      <c r="Q173" s="37" t="n">
        <v>46190</v>
      </c>
      <c r="R173" s="35"/>
    </row>
    <row r="174" customFormat="false" ht="15" hidden="false" customHeight="false" outlineLevel="0" collapsed="false">
      <c r="A174" s="35" t="s">
        <v>144</v>
      </c>
      <c r="B174" s="35" t="s">
        <v>212</v>
      </c>
      <c r="C174" s="35" t="s">
        <v>213</v>
      </c>
      <c r="D174" s="35" t="s">
        <v>214</v>
      </c>
      <c r="E174" s="36" t="n">
        <v>60823</v>
      </c>
      <c r="F174" s="36" t="n">
        <v>10406</v>
      </c>
      <c r="G174" s="37" t="n">
        <v>46173</v>
      </c>
      <c r="H174" s="35" t="s">
        <v>397</v>
      </c>
      <c r="I174" s="35" t="s">
        <v>299</v>
      </c>
      <c r="J174" s="36" t="n">
        <v>2026</v>
      </c>
      <c r="K174" s="38" t="n">
        <v>367.08</v>
      </c>
      <c r="L174" s="37" t="n">
        <v>46190</v>
      </c>
      <c r="M174" s="35" t="s">
        <v>187</v>
      </c>
      <c r="N174" s="35"/>
      <c r="O174" s="35" t="s">
        <v>188</v>
      </c>
      <c r="P174" s="35"/>
      <c r="Q174" s="37" t="n">
        <v>46190</v>
      </c>
      <c r="R174" s="35"/>
    </row>
    <row r="175" customFormat="false" ht="15" hidden="false" customHeight="false" outlineLevel="0" collapsed="false">
      <c r="A175" s="35" t="s">
        <v>361</v>
      </c>
      <c r="B175" s="35" t="s">
        <v>362</v>
      </c>
      <c r="C175" s="35" t="s">
        <v>184</v>
      </c>
      <c r="D175" s="35" t="s">
        <v>196</v>
      </c>
      <c r="E175" s="36" t="n">
        <v>302</v>
      </c>
      <c r="F175" s="36" t="n">
        <v>7911</v>
      </c>
      <c r="G175" s="37" t="n">
        <v>46175</v>
      </c>
      <c r="H175" s="35" t="n">
        <v>558942</v>
      </c>
      <c r="I175" s="35" t="s">
        <v>299</v>
      </c>
      <c r="J175" s="36" t="n">
        <v>2026</v>
      </c>
      <c r="K175" s="38" t="n">
        <v>6241</v>
      </c>
      <c r="L175" s="37" t="n">
        <v>46190</v>
      </c>
      <c r="M175" s="35" t="s">
        <v>187</v>
      </c>
      <c r="N175" s="35"/>
      <c r="O175" s="35" t="s">
        <v>188</v>
      </c>
      <c r="P175" s="35" t="s">
        <v>398</v>
      </c>
      <c r="Q175" s="37" t="n">
        <v>46192</v>
      </c>
      <c r="R175" s="35"/>
    </row>
    <row r="176" customFormat="false" ht="15" hidden="false" customHeight="false" outlineLevel="0" collapsed="false">
      <c r="A176" s="35" t="s">
        <v>147</v>
      </c>
      <c r="B176" s="35" t="s">
        <v>259</v>
      </c>
      <c r="C176" s="35" t="s">
        <v>260</v>
      </c>
      <c r="D176" s="35" t="s">
        <v>261</v>
      </c>
      <c r="E176" s="36" t="n">
        <v>22104</v>
      </c>
      <c r="F176" s="36" t="n">
        <v>11587</v>
      </c>
      <c r="G176" s="37" t="n">
        <v>46181</v>
      </c>
      <c r="H176" s="35" t="n">
        <v>400018209</v>
      </c>
      <c r="I176" s="35" t="s">
        <v>299</v>
      </c>
      <c r="J176" s="36" t="n">
        <v>2026</v>
      </c>
      <c r="K176" s="38" t="n">
        <v>12950</v>
      </c>
      <c r="L176" s="37" t="n">
        <v>46190</v>
      </c>
      <c r="M176" s="35" t="n">
        <v>12950</v>
      </c>
      <c r="N176" s="35" t="n">
        <v>12950</v>
      </c>
      <c r="O176" s="35" t="s">
        <v>188</v>
      </c>
      <c r="P176" s="35"/>
      <c r="Q176" s="37" t="n">
        <v>46190</v>
      </c>
      <c r="R176" s="35"/>
    </row>
    <row r="177" customFormat="false" ht="15" hidden="false" customHeight="false" outlineLevel="0" collapsed="false">
      <c r="A177" s="35" t="s">
        <v>399</v>
      </c>
      <c r="B177" s="35" t="s">
        <v>400</v>
      </c>
      <c r="C177" s="35" t="s">
        <v>184</v>
      </c>
      <c r="D177" s="35" t="s">
        <v>258</v>
      </c>
      <c r="E177" s="36" t="n">
        <v>38996</v>
      </c>
      <c r="F177" s="36" t="n">
        <v>10479</v>
      </c>
      <c r="G177" s="37" t="n">
        <v>46173</v>
      </c>
      <c r="H177" s="35" t="s">
        <v>401</v>
      </c>
      <c r="I177" s="35" t="s">
        <v>299</v>
      </c>
      <c r="J177" s="36" t="n">
        <v>2026</v>
      </c>
      <c r="K177" s="38" t="n">
        <v>11500</v>
      </c>
      <c r="L177" s="37" t="n">
        <v>46191</v>
      </c>
      <c r="M177" s="35" t="n">
        <v>11500</v>
      </c>
      <c r="N177" s="35"/>
      <c r="O177" s="35" t="s">
        <v>188</v>
      </c>
      <c r="P177" s="35"/>
      <c r="Q177" s="37" t="n">
        <v>46195</v>
      </c>
      <c r="R177" s="35"/>
    </row>
    <row r="178" customFormat="false" ht="15" hidden="false" customHeight="false" outlineLevel="0" collapsed="false">
      <c r="A178" s="35" t="s">
        <v>399</v>
      </c>
      <c r="B178" s="35" t="s">
        <v>402</v>
      </c>
      <c r="C178" s="35" t="s">
        <v>184</v>
      </c>
      <c r="D178" s="35" t="s">
        <v>258</v>
      </c>
      <c r="E178" s="36" t="n">
        <v>38996</v>
      </c>
      <c r="F178" s="36" t="n">
        <v>10479</v>
      </c>
      <c r="G178" s="37" t="n">
        <v>46173</v>
      </c>
      <c r="H178" s="35" t="s">
        <v>403</v>
      </c>
      <c r="I178" s="35" t="s">
        <v>299</v>
      </c>
      <c r="J178" s="36" t="n">
        <v>2026</v>
      </c>
      <c r="K178" s="38" t="n">
        <v>439.88</v>
      </c>
      <c r="L178" s="37" t="n">
        <v>46191</v>
      </c>
      <c r="M178" s="35" t="n">
        <v>0.1</v>
      </c>
      <c r="N178" s="35" t="n">
        <v>0.1</v>
      </c>
      <c r="O178" s="35" t="s">
        <v>188</v>
      </c>
      <c r="P178" s="35"/>
      <c r="Q178" s="37" t="n">
        <v>46195</v>
      </c>
      <c r="R178" s="35"/>
    </row>
    <row r="179" customFormat="false" ht="15" hidden="false" customHeight="false" outlineLevel="0" collapsed="false">
      <c r="A179" s="35" t="s">
        <v>135</v>
      </c>
      <c r="B179" s="35" t="s">
        <v>209</v>
      </c>
      <c r="C179" s="35" t="s">
        <v>184</v>
      </c>
      <c r="D179" s="35" t="s">
        <v>210</v>
      </c>
      <c r="E179" s="36" t="n">
        <v>32522</v>
      </c>
      <c r="F179" s="36" t="n">
        <v>10473</v>
      </c>
      <c r="G179" s="37" t="n">
        <v>46173</v>
      </c>
      <c r="H179" s="35" t="s">
        <v>404</v>
      </c>
      <c r="I179" s="35" t="s">
        <v>299</v>
      </c>
      <c r="J179" s="36" t="n">
        <v>2026</v>
      </c>
      <c r="K179" s="38" t="n">
        <v>163831.63</v>
      </c>
      <c r="L179" s="37" t="n">
        <v>46191</v>
      </c>
      <c r="M179" s="35" t="s">
        <v>187</v>
      </c>
      <c r="N179" s="35"/>
      <c r="O179" s="35"/>
      <c r="P179" s="35"/>
      <c r="Q179" s="35"/>
      <c r="R179" s="35"/>
    </row>
    <row r="180" customFormat="false" ht="15" hidden="false" customHeight="false" outlineLevel="0" collapsed="false">
      <c r="A180" s="35" t="s">
        <v>121</v>
      </c>
      <c r="B180" s="35" t="s">
        <v>126</v>
      </c>
      <c r="C180" s="35" t="s">
        <v>184</v>
      </c>
      <c r="D180" s="35" t="s">
        <v>258</v>
      </c>
      <c r="E180" s="36" t="n">
        <v>45857</v>
      </c>
      <c r="F180" s="36" t="n">
        <v>11172</v>
      </c>
      <c r="G180" s="37" t="n">
        <v>46178</v>
      </c>
      <c r="H180" s="35" t="n">
        <v>127005</v>
      </c>
      <c r="I180" s="35" t="s">
        <v>299</v>
      </c>
      <c r="J180" s="36" t="n">
        <v>2026</v>
      </c>
      <c r="K180" s="38" t="n">
        <v>133675.54</v>
      </c>
      <c r="L180" s="37" t="n">
        <v>46191</v>
      </c>
      <c r="M180" s="35" t="n">
        <v>0.2</v>
      </c>
      <c r="N180" s="35" t="n">
        <v>0.2</v>
      </c>
      <c r="O180" s="35" t="s">
        <v>188</v>
      </c>
      <c r="P180" s="35" t="s">
        <v>405</v>
      </c>
      <c r="Q180" s="37" t="n">
        <v>46191</v>
      </c>
      <c r="R180" s="35"/>
    </row>
    <row r="181" customFormat="false" ht="15" hidden="false" customHeight="false" outlineLevel="0" collapsed="false">
      <c r="A181" s="35" t="s">
        <v>121</v>
      </c>
      <c r="B181" s="35" t="s">
        <v>257</v>
      </c>
      <c r="C181" s="35" t="s">
        <v>184</v>
      </c>
      <c r="D181" s="35" t="s">
        <v>185</v>
      </c>
      <c r="E181" s="36" t="n">
        <v>45857</v>
      </c>
      <c r="F181" s="36" t="n">
        <v>11172</v>
      </c>
      <c r="G181" s="37" t="n">
        <v>46181</v>
      </c>
      <c r="H181" s="35" t="n">
        <v>127250</v>
      </c>
      <c r="I181" s="35" t="s">
        <v>299</v>
      </c>
      <c r="J181" s="36" t="n">
        <v>2026</v>
      </c>
      <c r="K181" s="38" t="n">
        <v>29509.68</v>
      </c>
      <c r="L181" s="37" t="n">
        <v>46191</v>
      </c>
      <c r="M181" s="35" t="n">
        <v>0.25</v>
      </c>
      <c r="N181" s="35" t="n">
        <v>0.25</v>
      </c>
      <c r="O181" s="35" t="s">
        <v>188</v>
      </c>
      <c r="P181" s="35"/>
      <c r="Q181" s="37" t="n">
        <v>46191</v>
      </c>
      <c r="R181" s="35"/>
    </row>
    <row r="182" customFormat="false" ht="15" hidden="false" customHeight="false" outlineLevel="0" collapsed="false">
      <c r="A182" s="35" t="s">
        <v>121</v>
      </c>
      <c r="B182" s="35" t="s">
        <v>271</v>
      </c>
      <c r="C182" s="35" t="s">
        <v>184</v>
      </c>
      <c r="D182" s="35" t="s">
        <v>185</v>
      </c>
      <c r="E182" s="36" t="n">
        <v>45857</v>
      </c>
      <c r="F182" s="36" t="n">
        <v>10798</v>
      </c>
      <c r="G182" s="37" t="n">
        <v>46184</v>
      </c>
      <c r="H182" s="35" t="n">
        <v>127398</v>
      </c>
      <c r="I182" s="35" t="s">
        <v>299</v>
      </c>
      <c r="J182" s="36" t="n">
        <v>2026</v>
      </c>
      <c r="K182" s="38" t="n">
        <v>17000</v>
      </c>
      <c r="L182" s="37" t="n">
        <v>46191</v>
      </c>
      <c r="M182" s="35" t="s">
        <v>272</v>
      </c>
      <c r="N182" s="35" t="n">
        <v>125</v>
      </c>
      <c r="O182" s="35" t="s">
        <v>188</v>
      </c>
      <c r="P182" s="35"/>
      <c r="Q182" s="37" t="n">
        <v>46191</v>
      </c>
      <c r="R182" s="35"/>
    </row>
    <row r="183" customFormat="false" ht="15" hidden="false" customHeight="false" outlineLevel="0" collapsed="false">
      <c r="A183" s="35" t="s">
        <v>121</v>
      </c>
      <c r="B183" s="35" t="s">
        <v>270</v>
      </c>
      <c r="C183" s="35" t="s">
        <v>184</v>
      </c>
      <c r="D183" s="35" t="s">
        <v>185</v>
      </c>
      <c r="E183" s="36" t="n">
        <v>45857</v>
      </c>
      <c r="F183" s="36" t="n">
        <v>11172</v>
      </c>
      <c r="G183" s="37" t="n">
        <v>46184</v>
      </c>
      <c r="H183" s="35" t="n">
        <v>127400</v>
      </c>
      <c r="I183" s="35" t="s">
        <v>299</v>
      </c>
      <c r="J183" s="36" t="n">
        <v>2026</v>
      </c>
      <c r="K183" s="38" t="n">
        <v>24787.03</v>
      </c>
      <c r="L183" s="37" t="n">
        <v>46191</v>
      </c>
      <c r="M183" s="35" t="n">
        <v>0.095</v>
      </c>
      <c r="N183" s="35" t="n">
        <v>0.095</v>
      </c>
      <c r="O183" s="35" t="s">
        <v>188</v>
      </c>
      <c r="P183" s="35"/>
      <c r="Q183" s="37" t="n">
        <v>46191</v>
      </c>
      <c r="R183" s="35"/>
    </row>
    <row r="184" customFormat="false" ht="15" hidden="false" customHeight="false" outlineLevel="0" collapsed="false">
      <c r="A184" s="35" t="s">
        <v>194</v>
      </c>
      <c r="B184" s="35" t="s">
        <v>199</v>
      </c>
      <c r="C184" s="35" t="s">
        <v>184</v>
      </c>
      <c r="D184" s="35" t="s">
        <v>196</v>
      </c>
      <c r="E184" s="36" t="n">
        <v>33913</v>
      </c>
      <c r="F184" s="36" t="n">
        <v>7896</v>
      </c>
      <c r="G184" s="37" t="n">
        <v>46185</v>
      </c>
      <c r="H184" s="35" t="s">
        <v>406</v>
      </c>
      <c r="I184" s="35" t="s">
        <v>299</v>
      </c>
      <c r="J184" s="36" t="n">
        <v>2026</v>
      </c>
      <c r="K184" s="38" t="n">
        <v>34.94</v>
      </c>
      <c r="L184" s="37" t="n">
        <v>46192</v>
      </c>
      <c r="M184" s="35" t="s">
        <v>201</v>
      </c>
      <c r="N184" s="35" t="s">
        <v>385</v>
      </c>
      <c r="O184" s="35" t="s">
        <v>188</v>
      </c>
      <c r="P184" s="35"/>
      <c r="Q184" s="37" t="n">
        <v>46192</v>
      </c>
      <c r="R184" s="35"/>
    </row>
    <row r="185" customFormat="false" ht="15" hidden="false" customHeight="false" outlineLevel="0" collapsed="false">
      <c r="A185" s="35" t="s">
        <v>194</v>
      </c>
      <c r="B185" s="35" t="s">
        <v>195</v>
      </c>
      <c r="C185" s="35" t="s">
        <v>184</v>
      </c>
      <c r="D185" s="35" t="s">
        <v>196</v>
      </c>
      <c r="E185" s="36" t="n">
        <v>33913</v>
      </c>
      <c r="F185" s="36" t="n">
        <v>10410</v>
      </c>
      <c r="G185" s="37" t="n">
        <v>46185</v>
      </c>
      <c r="H185" s="35" t="s">
        <v>407</v>
      </c>
      <c r="I185" s="35" t="s">
        <v>364</v>
      </c>
      <c r="J185" s="36" t="n">
        <v>2026</v>
      </c>
      <c r="K185" s="38" t="n">
        <v>17287.72</v>
      </c>
      <c r="L185" s="37" t="n">
        <v>46192</v>
      </c>
      <c r="M185" s="35" t="n">
        <v>0.22</v>
      </c>
      <c r="N185" s="35" t="n">
        <v>0.22</v>
      </c>
      <c r="O185" s="35" t="s">
        <v>188</v>
      </c>
      <c r="P185" s="35"/>
      <c r="Q185" s="37" t="n">
        <v>46192</v>
      </c>
      <c r="R185" s="35"/>
    </row>
    <row r="186" customFormat="false" ht="15" hidden="false" customHeight="false" outlineLevel="0" collapsed="false">
      <c r="A186" s="35" t="s">
        <v>194</v>
      </c>
      <c r="B186" s="35" t="s">
        <v>206</v>
      </c>
      <c r="C186" s="35" t="s">
        <v>184</v>
      </c>
      <c r="D186" s="35" t="s">
        <v>196</v>
      </c>
      <c r="E186" s="36" t="n">
        <v>33913</v>
      </c>
      <c r="F186" s="36" t="n">
        <v>10407</v>
      </c>
      <c r="G186" s="37" t="n">
        <v>46185</v>
      </c>
      <c r="H186" s="35" t="s">
        <v>408</v>
      </c>
      <c r="I186" s="35" t="s">
        <v>364</v>
      </c>
      <c r="J186" s="36" t="n">
        <v>2026</v>
      </c>
      <c r="K186" s="38" t="n">
        <v>39485.35</v>
      </c>
      <c r="L186" s="37" t="n">
        <v>46192</v>
      </c>
      <c r="M186" s="35" t="n">
        <v>0.04</v>
      </c>
      <c r="N186" s="35" t="n">
        <v>0.04</v>
      </c>
      <c r="O186" s="35" t="s">
        <v>188</v>
      </c>
      <c r="P186" s="35"/>
      <c r="Q186" s="37" t="n">
        <v>46192</v>
      </c>
      <c r="R186" s="35" t="s">
        <v>208</v>
      </c>
    </row>
    <row r="187" customFormat="false" ht="15" hidden="false" customHeight="false" outlineLevel="0" collapsed="false">
      <c r="A187" s="35" t="s">
        <v>219</v>
      </c>
      <c r="B187" s="35" t="s">
        <v>206</v>
      </c>
      <c r="C187" s="35" t="s">
        <v>184</v>
      </c>
      <c r="D187" s="35" t="s">
        <v>196</v>
      </c>
      <c r="E187" s="36" t="n">
        <v>40169</v>
      </c>
      <c r="F187" s="36" t="n">
        <v>10417</v>
      </c>
      <c r="G187" s="37" t="n">
        <v>46188</v>
      </c>
      <c r="H187" s="35" t="n">
        <v>13744</v>
      </c>
      <c r="I187" s="35" t="s">
        <v>364</v>
      </c>
      <c r="J187" s="36" t="n">
        <v>2026</v>
      </c>
      <c r="K187" s="38" t="n">
        <v>32249.31</v>
      </c>
      <c r="L187" s="37" t="n">
        <v>46195</v>
      </c>
      <c r="M187" s="35" t="n">
        <v>0.0375</v>
      </c>
      <c r="N187" s="35" t="n">
        <v>0.375</v>
      </c>
      <c r="O187" s="35" t="s">
        <v>188</v>
      </c>
      <c r="P187" s="35" t="s">
        <v>409</v>
      </c>
      <c r="Q187" s="37" t="n">
        <v>46196</v>
      </c>
      <c r="R187" s="35"/>
    </row>
    <row r="188" customFormat="false" ht="15" hidden="false" customHeight="false" outlineLevel="0" collapsed="false">
      <c r="A188" s="35" t="s">
        <v>219</v>
      </c>
      <c r="B188" s="35" t="s">
        <v>220</v>
      </c>
      <c r="C188" s="35" t="s">
        <v>184</v>
      </c>
      <c r="D188" s="35" t="s">
        <v>196</v>
      </c>
      <c r="E188" s="36" t="n">
        <v>40169</v>
      </c>
      <c r="F188" s="36" t="n">
        <v>10415</v>
      </c>
      <c r="G188" s="37" t="n">
        <v>46189</v>
      </c>
      <c r="H188" s="35" t="s">
        <v>410</v>
      </c>
      <c r="I188" s="35" t="s">
        <v>364</v>
      </c>
      <c r="J188" s="36" t="n">
        <v>2026</v>
      </c>
      <c r="K188" s="38" t="n">
        <v>13598.23</v>
      </c>
      <c r="L188" s="37" t="n">
        <v>46195</v>
      </c>
      <c r="M188" s="35" t="n">
        <v>0.12</v>
      </c>
      <c r="N188" s="35" t="n">
        <v>0.12</v>
      </c>
      <c r="O188" s="35" t="s">
        <v>188</v>
      </c>
      <c r="P188" s="35"/>
      <c r="Q188" s="37" t="n">
        <v>46196</v>
      </c>
      <c r="R188" s="35" t="s">
        <v>222</v>
      </c>
    </row>
    <row r="189" customFormat="false" ht="15" hidden="false" customHeight="false" outlineLevel="0" collapsed="false">
      <c r="A189" s="35" t="s">
        <v>219</v>
      </c>
      <c r="B189" s="35" t="s">
        <v>345</v>
      </c>
      <c r="C189" s="35" t="s">
        <v>184</v>
      </c>
      <c r="D189" s="35" t="s">
        <v>196</v>
      </c>
      <c r="E189" s="36" t="n">
        <v>40169</v>
      </c>
      <c r="F189" s="36" t="n">
        <v>10419</v>
      </c>
      <c r="G189" s="37" t="n">
        <v>46191</v>
      </c>
      <c r="H189" s="35" t="n">
        <v>13751</v>
      </c>
      <c r="I189" s="35" t="s">
        <v>364</v>
      </c>
      <c r="J189" s="36" t="n">
        <v>2026</v>
      </c>
      <c r="K189" s="38" t="n">
        <v>6205.42</v>
      </c>
      <c r="L189" s="37" t="n">
        <v>46195</v>
      </c>
      <c r="M189" s="35" t="s">
        <v>187</v>
      </c>
      <c r="N189" s="35"/>
      <c r="O189" s="35" t="s">
        <v>188</v>
      </c>
      <c r="P189" s="35"/>
      <c r="Q189" s="37" t="n">
        <v>46202</v>
      </c>
      <c r="R189" s="35" t="s">
        <v>342</v>
      </c>
    </row>
    <row r="190" customFormat="false" ht="15" hidden="false" customHeight="false" outlineLevel="0" collapsed="false">
      <c r="A190" s="35" t="s">
        <v>219</v>
      </c>
      <c r="B190" s="35" t="s">
        <v>345</v>
      </c>
      <c r="C190" s="35" t="s">
        <v>184</v>
      </c>
      <c r="D190" s="35" t="s">
        <v>196</v>
      </c>
      <c r="E190" s="36" t="n">
        <v>40169</v>
      </c>
      <c r="F190" s="36" t="n">
        <v>10419</v>
      </c>
      <c r="G190" s="37" t="n">
        <v>46191</v>
      </c>
      <c r="H190" s="35" t="n">
        <v>13747</v>
      </c>
      <c r="I190" s="35" t="s">
        <v>299</v>
      </c>
      <c r="J190" s="36" t="n">
        <v>2026</v>
      </c>
      <c r="K190" s="38" t="n">
        <v>305.69</v>
      </c>
      <c r="L190" s="37" t="n">
        <v>46195</v>
      </c>
      <c r="M190" s="35" t="s">
        <v>187</v>
      </c>
      <c r="N190" s="35"/>
      <c r="O190" s="35" t="s">
        <v>188</v>
      </c>
      <c r="P190" s="35"/>
      <c r="Q190" s="37" t="n">
        <v>46202</v>
      </c>
      <c r="R190" s="35" t="s">
        <v>342</v>
      </c>
    </row>
    <row r="191" customFormat="false" ht="15" hidden="false" customHeight="false" outlineLevel="0" collapsed="false">
      <c r="A191" s="35" t="s">
        <v>219</v>
      </c>
      <c r="B191" s="35" t="s">
        <v>340</v>
      </c>
      <c r="C191" s="35" t="s">
        <v>184</v>
      </c>
      <c r="D191" s="35" t="s">
        <v>196</v>
      </c>
      <c r="E191" s="36" t="n">
        <v>40169</v>
      </c>
      <c r="F191" s="36" t="n">
        <v>10418</v>
      </c>
      <c r="G191" s="37" t="n">
        <v>46191</v>
      </c>
      <c r="H191" s="35" t="n">
        <v>13452</v>
      </c>
      <c r="I191" s="35" t="s">
        <v>364</v>
      </c>
      <c r="J191" s="36" t="n">
        <v>2026</v>
      </c>
      <c r="K191" s="38" t="n">
        <v>27325.83</v>
      </c>
      <c r="L191" s="37" t="n">
        <v>46195</v>
      </c>
      <c r="M191" s="35" t="s">
        <v>187</v>
      </c>
      <c r="N191" s="35"/>
      <c r="O191" s="35" t="s">
        <v>188</v>
      </c>
      <c r="P191" s="35"/>
      <c r="Q191" s="37" t="n">
        <v>46202</v>
      </c>
      <c r="R191" s="35" t="s">
        <v>342</v>
      </c>
    </row>
    <row r="192" customFormat="false" ht="15" hidden="false" customHeight="false" outlineLevel="0" collapsed="false">
      <c r="A192" s="35" t="s">
        <v>219</v>
      </c>
      <c r="B192" s="35" t="s">
        <v>345</v>
      </c>
      <c r="C192" s="35" t="s">
        <v>184</v>
      </c>
      <c r="D192" s="35" t="s">
        <v>196</v>
      </c>
      <c r="E192" s="36" t="n">
        <v>40169</v>
      </c>
      <c r="F192" s="36" t="n">
        <v>10419</v>
      </c>
      <c r="G192" s="37" t="n">
        <v>46191</v>
      </c>
      <c r="H192" s="35" t="n">
        <v>13745</v>
      </c>
      <c r="I192" s="35" t="s">
        <v>299</v>
      </c>
      <c r="J192" s="36" t="n">
        <v>2026</v>
      </c>
      <c r="K192" s="38" t="n">
        <v>20060.71</v>
      </c>
      <c r="L192" s="37" t="n">
        <v>46195</v>
      </c>
      <c r="M192" s="35" t="s">
        <v>187</v>
      </c>
      <c r="N192" s="35"/>
      <c r="O192" s="35" t="s">
        <v>188</v>
      </c>
      <c r="P192" s="35"/>
      <c r="Q192" s="37" t="n">
        <v>46202</v>
      </c>
      <c r="R192" s="35" t="s">
        <v>342</v>
      </c>
    </row>
    <row r="193" customFormat="false" ht="15" hidden="false" customHeight="false" outlineLevel="0" collapsed="false">
      <c r="A193" s="35" t="s">
        <v>219</v>
      </c>
      <c r="B193" s="35" t="s">
        <v>343</v>
      </c>
      <c r="C193" s="35" t="s">
        <v>184</v>
      </c>
      <c r="D193" s="35" t="s">
        <v>196</v>
      </c>
      <c r="E193" s="36" t="n">
        <v>40169</v>
      </c>
      <c r="F193" s="36" t="n">
        <v>10420</v>
      </c>
      <c r="G193" s="37" t="n">
        <v>46191</v>
      </c>
      <c r="H193" s="35" t="n">
        <v>13746</v>
      </c>
      <c r="I193" s="35" t="s">
        <v>364</v>
      </c>
      <c r="J193" s="36" t="n">
        <v>2026</v>
      </c>
      <c r="K193" s="38" t="n">
        <v>60</v>
      </c>
      <c r="L193" s="37" t="n">
        <v>46195</v>
      </c>
      <c r="M193" s="35" t="s">
        <v>344</v>
      </c>
      <c r="N193" s="35"/>
      <c r="O193" s="35" t="s">
        <v>188</v>
      </c>
      <c r="P193" s="35"/>
      <c r="Q193" s="37" t="n">
        <v>46202</v>
      </c>
      <c r="R193" s="35"/>
    </row>
    <row r="194" customFormat="false" ht="15" hidden="false" customHeight="false" outlineLevel="0" collapsed="false">
      <c r="A194" s="35" t="s">
        <v>219</v>
      </c>
      <c r="B194" s="35" t="s">
        <v>345</v>
      </c>
      <c r="C194" s="35" t="s">
        <v>184</v>
      </c>
      <c r="D194" s="35" t="s">
        <v>196</v>
      </c>
      <c r="E194" s="36" t="n">
        <v>40169</v>
      </c>
      <c r="F194" s="36" t="n">
        <v>10419</v>
      </c>
      <c r="G194" s="37" t="n">
        <v>46191</v>
      </c>
      <c r="H194" s="35" t="n">
        <v>13748</v>
      </c>
      <c r="I194" s="35" t="s">
        <v>299</v>
      </c>
      <c r="J194" s="36" t="n">
        <v>2026</v>
      </c>
      <c r="K194" s="38" t="n">
        <v>660</v>
      </c>
      <c r="L194" s="37" t="n">
        <v>46195</v>
      </c>
      <c r="M194" s="35" t="s">
        <v>187</v>
      </c>
      <c r="N194" s="35"/>
      <c r="O194" s="35" t="s">
        <v>188</v>
      </c>
      <c r="P194" s="35"/>
      <c r="Q194" s="37" t="n">
        <v>46202</v>
      </c>
      <c r="R194" s="35" t="s">
        <v>342</v>
      </c>
    </row>
    <row r="195" customFormat="false" ht="15" hidden="false" customHeight="false" outlineLevel="0" collapsed="false">
      <c r="A195" s="35" t="s">
        <v>219</v>
      </c>
      <c r="B195" s="35" t="s">
        <v>345</v>
      </c>
      <c r="C195" s="35" t="s">
        <v>184</v>
      </c>
      <c r="D195" s="35" t="s">
        <v>196</v>
      </c>
      <c r="E195" s="36" t="n">
        <v>40169</v>
      </c>
      <c r="F195" s="36" t="n">
        <v>10419</v>
      </c>
      <c r="G195" s="37" t="n">
        <v>46191</v>
      </c>
      <c r="H195" s="35" t="n">
        <v>13749</v>
      </c>
      <c r="I195" s="35" t="s">
        <v>364</v>
      </c>
      <c r="J195" s="36" t="n">
        <v>2026</v>
      </c>
      <c r="K195" s="38" t="n">
        <v>4000</v>
      </c>
      <c r="L195" s="37" t="n">
        <v>46195</v>
      </c>
      <c r="M195" s="35" t="s">
        <v>187</v>
      </c>
      <c r="N195" s="35"/>
      <c r="O195" s="35" t="s">
        <v>188</v>
      </c>
      <c r="P195" s="35"/>
      <c r="Q195" s="37" t="n">
        <v>46202</v>
      </c>
      <c r="R195" s="35" t="s">
        <v>342</v>
      </c>
    </row>
    <row r="196" customFormat="false" ht="15" hidden="false" customHeight="false" outlineLevel="0" collapsed="false">
      <c r="A196" s="35" t="s">
        <v>219</v>
      </c>
      <c r="B196" s="35" t="s">
        <v>340</v>
      </c>
      <c r="C196" s="35" t="s">
        <v>184</v>
      </c>
      <c r="D196" s="35" t="s">
        <v>196</v>
      </c>
      <c r="E196" s="36" t="n">
        <v>40169</v>
      </c>
      <c r="F196" s="36" t="n">
        <v>10418</v>
      </c>
      <c r="G196" s="37" t="n">
        <v>46191</v>
      </c>
      <c r="H196" s="35" t="n">
        <v>13750</v>
      </c>
      <c r="I196" s="35" t="s">
        <v>364</v>
      </c>
      <c r="J196" s="36" t="n">
        <v>2026</v>
      </c>
      <c r="K196" s="38" t="n">
        <v>37468.45</v>
      </c>
      <c r="L196" s="37" t="n">
        <v>46195</v>
      </c>
      <c r="M196" s="35" t="s">
        <v>187</v>
      </c>
      <c r="N196" s="35"/>
      <c r="O196" s="35" t="s">
        <v>188</v>
      </c>
      <c r="P196" s="35"/>
      <c r="Q196" s="37" t="n">
        <v>46202</v>
      </c>
      <c r="R196" s="35" t="s">
        <v>342</v>
      </c>
    </row>
    <row r="197" customFormat="false" ht="15" hidden="false" customHeight="false" outlineLevel="0" collapsed="false">
      <c r="A197" s="35" t="s">
        <v>194</v>
      </c>
      <c r="B197" s="35" t="s">
        <v>199</v>
      </c>
      <c r="C197" s="35" t="s">
        <v>184</v>
      </c>
      <c r="D197" s="35" t="s">
        <v>196</v>
      </c>
      <c r="E197" s="36" t="n">
        <v>33913</v>
      </c>
      <c r="F197" s="36" t="n">
        <v>7896</v>
      </c>
      <c r="G197" s="37" t="n">
        <v>46191</v>
      </c>
      <c r="H197" s="35" t="s">
        <v>411</v>
      </c>
      <c r="I197" s="35" t="s">
        <v>364</v>
      </c>
      <c r="J197" s="36" t="n">
        <v>2026</v>
      </c>
      <c r="K197" s="38" t="n">
        <v>53</v>
      </c>
      <c r="L197" s="37" t="n">
        <v>46198</v>
      </c>
      <c r="M197" s="35" t="s">
        <v>201</v>
      </c>
      <c r="N197" s="35" t="s">
        <v>385</v>
      </c>
      <c r="O197" s="35" t="s">
        <v>188</v>
      </c>
      <c r="P197" s="35"/>
      <c r="Q197" s="37" t="n">
        <v>46202</v>
      </c>
      <c r="R197" s="35"/>
    </row>
    <row r="198" customFormat="false" ht="15" hidden="false" customHeight="false" outlineLevel="0" collapsed="false">
      <c r="A198" s="35" t="s">
        <v>194</v>
      </c>
      <c r="B198" s="35" t="s">
        <v>195</v>
      </c>
      <c r="C198" s="35" t="s">
        <v>184</v>
      </c>
      <c r="D198" s="35" t="s">
        <v>196</v>
      </c>
      <c r="E198" s="36" t="n">
        <v>33913</v>
      </c>
      <c r="F198" s="36" t="n">
        <v>10410</v>
      </c>
      <c r="G198" s="37" t="n">
        <v>46191</v>
      </c>
      <c r="H198" s="35" t="n">
        <v>101061226</v>
      </c>
      <c r="I198" s="35" t="s">
        <v>364</v>
      </c>
      <c r="J198" s="36" t="n">
        <v>2026</v>
      </c>
      <c r="K198" s="38" t="n">
        <v>17281.96</v>
      </c>
      <c r="L198" s="37" t="n">
        <v>46198</v>
      </c>
      <c r="M198" s="35" t="n">
        <v>0.22</v>
      </c>
      <c r="N198" s="35" t="n">
        <v>0.22</v>
      </c>
      <c r="O198" s="35" t="s">
        <v>188</v>
      </c>
      <c r="P198" s="35"/>
      <c r="Q198" s="37" t="n">
        <v>46202</v>
      </c>
      <c r="R198" s="35"/>
    </row>
    <row r="199" customFormat="false" ht="15" hidden="false" customHeight="false" outlineLevel="0" collapsed="false">
      <c r="A199" s="35" t="s">
        <v>194</v>
      </c>
      <c r="B199" s="35" t="s">
        <v>206</v>
      </c>
      <c r="C199" s="35" t="s">
        <v>184</v>
      </c>
      <c r="D199" s="35" t="s">
        <v>196</v>
      </c>
      <c r="E199" s="36" t="n">
        <v>33913</v>
      </c>
      <c r="F199" s="36" t="n">
        <v>10407</v>
      </c>
      <c r="G199" s="37" t="n">
        <v>46191</v>
      </c>
      <c r="H199" s="35" t="s">
        <v>412</v>
      </c>
      <c r="I199" s="35" t="s">
        <v>364</v>
      </c>
      <c r="J199" s="36" t="n">
        <v>2026</v>
      </c>
      <c r="K199" s="38" t="n">
        <v>36397.95</v>
      </c>
      <c r="L199" s="37" t="n">
        <v>46198</v>
      </c>
      <c r="M199" s="35" t="n">
        <v>0.04</v>
      </c>
      <c r="N199" s="35" t="n">
        <v>0.04</v>
      </c>
      <c r="O199" s="35" t="s">
        <v>188</v>
      </c>
      <c r="P199" s="35"/>
      <c r="Q199" s="37" t="n">
        <v>46202</v>
      </c>
      <c r="R199" s="35" t="s">
        <v>208</v>
      </c>
    </row>
    <row r="200" customFormat="false" ht="15" hidden="false" customHeight="false" outlineLevel="0" collapsed="false">
      <c r="A200" s="35" t="s">
        <v>219</v>
      </c>
      <c r="B200" s="35" t="s">
        <v>206</v>
      </c>
      <c r="C200" s="35" t="s">
        <v>184</v>
      </c>
      <c r="D200" s="35" t="s">
        <v>196</v>
      </c>
      <c r="E200" s="36" t="n">
        <v>40169</v>
      </c>
      <c r="F200" s="36" t="n">
        <v>10417</v>
      </c>
      <c r="G200" s="37" t="n">
        <v>46195</v>
      </c>
      <c r="H200" s="35" t="n">
        <v>13753</v>
      </c>
      <c r="I200" s="35" t="s">
        <v>364</v>
      </c>
      <c r="J200" s="36" t="n">
        <v>2026</v>
      </c>
      <c r="K200" s="38" t="n">
        <v>42618.69</v>
      </c>
      <c r="L200" s="37" t="n">
        <v>46209</v>
      </c>
      <c r="M200" s="35" t="n">
        <v>0.0375</v>
      </c>
      <c r="N200" s="35" t="n">
        <v>0.0375</v>
      </c>
      <c r="O200" s="35" t="s">
        <v>188</v>
      </c>
      <c r="P200" s="35"/>
      <c r="Q200" s="37" t="n">
        <v>46209</v>
      </c>
      <c r="R200" s="35"/>
    </row>
    <row r="201" customFormat="false" ht="15" hidden="false" customHeight="false" outlineLevel="0" collapsed="false">
      <c r="A201" s="35" t="s">
        <v>219</v>
      </c>
      <c r="B201" s="35" t="s">
        <v>220</v>
      </c>
      <c r="C201" s="35" t="s">
        <v>184</v>
      </c>
      <c r="D201" s="35" t="s">
        <v>196</v>
      </c>
      <c r="E201" s="36" t="n">
        <v>40169</v>
      </c>
      <c r="F201" s="36" t="n">
        <v>10415</v>
      </c>
      <c r="G201" s="37" t="n">
        <v>46196</v>
      </c>
      <c r="H201" s="35" t="s">
        <v>413</v>
      </c>
      <c r="I201" s="35" t="s">
        <v>364</v>
      </c>
      <c r="J201" s="36" t="n">
        <v>2026</v>
      </c>
      <c r="K201" s="38" t="n">
        <v>9460.05</v>
      </c>
      <c r="L201" s="37" t="n">
        <v>46209</v>
      </c>
      <c r="M201" s="35" t="n">
        <v>0.12</v>
      </c>
      <c r="N201" s="35" t="n">
        <v>0.12</v>
      </c>
      <c r="O201" s="35" t="s">
        <v>188</v>
      </c>
      <c r="P201" s="35"/>
      <c r="Q201" s="37" t="n">
        <v>46209</v>
      </c>
      <c r="R201" s="35" t="s">
        <v>222</v>
      </c>
    </row>
    <row r="202" customFormat="false" ht="15" hidden="false" customHeight="false" outlineLevel="0" collapsed="false">
      <c r="A202" s="35" t="s">
        <v>374</v>
      </c>
      <c r="B202" s="35" t="s">
        <v>414</v>
      </c>
      <c r="C202" s="35" t="s">
        <v>213</v>
      </c>
      <c r="D202" s="35" t="s">
        <v>227</v>
      </c>
      <c r="E202" s="36" t="n">
        <v>45238</v>
      </c>
      <c r="F202" s="36" t="n">
        <v>11217</v>
      </c>
      <c r="G202" s="37" t="n">
        <v>46197</v>
      </c>
      <c r="H202" s="35" t="s">
        <v>415</v>
      </c>
      <c r="I202" s="35" t="s">
        <v>364</v>
      </c>
      <c r="J202" s="36" t="n">
        <v>2026</v>
      </c>
      <c r="K202" s="38" t="n">
        <v>176666</v>
      </c>
      <c r="L202" s="37" t="n">
        <v>46209</v>
      </c>
      <c r="M202" s="35" t="s">
        <v>378</v>
      </c>
      <c r="N202" s="35"/>
      <c r="O202" s="35" t="s">
        <v>188</v>
      </c>
      <c r="P202" s="35" t="s">
        <v>416</v>
      </c>
      <c r="Q202" s="37" t="n">
        <v>46209</v>
      </c>
      <c r="R202" s="35"/>
    </row>
    <row r="203" customFormat="false" ht="15" hidden="false" customHeight="false" outlineLevel="0" collapsed="false">
      <c r="A203" s="35" t="s">
        <v>374</v>
      </c>
      <c r="B203" s="35" t="s">
        <v>414</v>
      </c>
      <c r="C203" s="35" t="s">
        <v>213</v>
      </c>
      <c r="D203" s="35" t="s">
        <v>227</v>
      </c>
      <c r="E203" s="36" t="n">
        <v>45238</v>
      </c>
      <c r="F203" s="36" t="n">
        <v>11217</v>
      </c>
      <c r="G203" s="37" t="n">
        <v>46197</v>
      </c>
      <c r="H203" s="35" t="s">
        <v>417</v>
      </c>
      <c r="I203" s="35" t="s">
        <v>364</v>
      </c>
      <c r="J203" s="36" t="n">
        <v>2026</v>
      </c>
      <c r="K203" s="38" t="n">
        <v>89010.25</v>
      </c>
      <c r="L203" s="37" t="n">
        <v>46209</v>
      </c>
      <c r="M203" s="35" t="s">
        <v>378</v>
      </c>
      <c r="N203" s="35"/>
      <c r="O203" s="35" t="s">
        <v>188</v>
      </c>
      <c r="P203" s="35" t="s">
        <v>418</v>
      </c>
      <c r="Q203" s="37" t="n">
        <v>46209</v>
      </c>
      <c r="R203" s="35"/>
    </row>
    <row r="204" customFormat="false" ht="15" hidden="false" customHeight="false" outlineLevel="0" collapsed="false">
      <c r="A204" s="35" t="s">
        <v>237</v>
      </c>
      <c r="B204" s="35" t="s">
        <v>238</v>
      </c>
      <c r="C204" s="35" t="s">
        <v>184</v>
      </c>
      <c r="D204" s="35" t="s">
        <v>185</v>
      </c>
      <c r="E204" s="36" t="n">
        <v>44467</v>
      </c>
      <c r="F204" s="36" t="n">
        <v>10824</v>
      </c>
      <c r="G204" s="37" t="n">
        <v>46204</v>
      </c>
      <c r="H204" s="35" t="s">
        <v>419</v>
      </c>
      <c r="I204" s="35" t="s">
        <v>364</v>
      </c>
      <c r="J204" s="36" t="n">
        <v>2026</v>
      </c>
      <c r="K204" s="38" t="n">
        <v>137208.3</v>
      </c>
      <c r="L204" s="37" t="n">
        <v>46209</v>
      </c>
      <c r="M204" s="35" t="n">
        <v>0.05</v>
      </c>
      <c r="N204" s="35" t="n">
        <v>0.04999</v>
      </c>
      <c r="O204" s="35" t="s">
        <v>188</v>
      </c>
      <c r="P204" s="35"/>
      <c r="Q204" s="37" t="n">
        <v>46209</v>
      </c>
      <c r="R204" s="35"/>
    </row>
    <row r="205" customFormat="false" ht="15" hidden="false" customHeight="false" outlineLevel="0" collapsed="false">
      <c r="A205" s="35" t="s">
        <v>277</v>
      </c>
      <c r="B205" s="35" t="s">
        <v>278</v>
      </c>
      <c r="C205" s="35" t="s">
        <v>279</v>
      </c>
      <c r="D205" s="35" t="s">
        <v>280</v>
      </c>
      <c r="E205" s="36" t="n">
        <v>69663</v>
      </c>
      <c r="F205" s="36" t="n">
        <v>7927</v>
      </c>
      <c r="G205" s="37" t="n">
        <v>46187</v>
      </c>
      <c r="H205" s="35" t="n">
        <v>37020</v>
      </c>
      <c r="I205" s="35" t="s">
        <v>364</v>
      </c>
      <c r="J205" s="36" t="n">
        <v>2026</v>
      </c>
      <c r="K205" s="38" t="n">
        <v>9756.5</v>
      </c>
      <c r="L205" s="37" t="n">
        <v>46210</v>
      </c>
      <c r="M205" s="35" t="n">
        <v>9756.5</v>
      </c>
      <c r="N205" s="35" t="n">
        <v>9756.5</v>
      </c>
      <c r="O205" s="35" t="s">
        <v>188</v>
      </c>
      <c r="P205" s="35"/>
      <c r="Q205" s="37" t="n">
        <v>46210</v>
      </c>
      <c r="R205" s="35"/>
    </row>
    <row r="206" customFormat="false" ht="15" hidden="false" customHeight="false" outlineLevel="0" collapsed="false">
      <c r="A206" s="35" t="s">
        <v>182</v>
      </c>
      <c r="B206" s="35" t="s">
        <v>183</v>
      </c>
      <c r="C206" s="35" t="s">
        <v>184</v>
      </c>
      <c r="D206" s="35" t="s">
        <v>185</v>
      </c>
      <c r="E206" s="36" t="n">
        <v>74708</v>
      </c>
      <c r="F206" s="36" t="n">
        <v>10118</v>
      </c>
      <c r="G206" s="37" t="n">
        <v>46203</v>
      </c>
      <c r="H206" s="35" t="n">
        <v>1362</v>
      </c>
      <c r="I206" s="35" t="s">
        <v>364</v>
      </c>
      <c r="J206" s="36" t="n">
        <v>2026</v>
      </c>
      <c r="K206" s="38" t="n">
        <v>109300.96</v>
      </c>
      <c r="L206" s="37" t="n">
        <v>46210</v>
      </c>
      <c r="M206" s="35" t="s">
        <v>187</v>
      </c>
      <c r="N206" s="35"/>
      <c r="O206" s="35" t="s">
        <v>188</v>
      </c>
      <c r="P206" s="35"/>
      <c r="Q206" s="37" t="n">
        <v>46210</v>
      </c>
      <c r="R206" s="35" t="s">
        <v>190</v>
      </c>
    </row>
    <row r="207" customFormat="false" ht="15" hidden="false" customHeight="false" outlineLevel="0" collapsed="false">
      <c r="A207" s="35" t="s">
        <v>320</v>
      </c>
      <c r="B207" s="35" t="s">
        <v>321</v>
      </c>
      <c r="C207" s="35" t="s">
        <v>213</v>
      </c>
      <c r="D207" s="35" t="s">
        <v>322</v>
      </c>
      <c r="E207" s="36" t="n">
        <v>26853</v>
      </c>
      <c r="F207" s="36" t="n">
        <v>11023</v>
      </c>
      <c r="G207" s="37" t="n">
        <v>46200</v>
      </c>
      <c r="H207" s="35" t="s">
        <v>420</v>
      </c>
      <c r="I207" s="35" t="s">
        <v>364</v>
      </c>
      <c r="J207" s="36" t="n">
        <v>2026</v>
      </c>
      <c r="K207" s="38" t="n">
        <v>14385</v>
      </c>
      <c r="L207" s="37" t="n">
        <v>46212</v>
      </c>
      <c r="M207" s="35" t="n">
        <v>12000</v>
      </c>
      <c r="N207" s="35"/>
      <c r="O207" s="35" t="s">
        <v>188</v>
      </c>
      <c r="P207" s="35" t="s">
        <v>421</v>
      </c>
      <c r="Q207" s="37" t="n">
        <v>46212</v>
      </c>
      <c r="R207" s="35"/>
    </row>
    <row r="208" customFormat="false" ht="15" hidden="false" customHeight="false" outlineLevel="0" collapsed="false">
      <c r="A208" s="35" t="s">
        <v>194</v>
      </c>
      <c r="B208" s="35" t="s">
        <v>203</v>
      </c>
      <c r="C208" s="35" t="s">
        <v>184</v>
      </c>
      <c r="D208" s="35" t="s">
        <v>196</v>
      </c>
      <c r="E208" s="36" t="n">
        <v>33913</v>
      </c>
      <c r="F208" s="36" t="n">
        <v>7893</v>
      </c>
      <c r="G208" s="37" t="n">
        <v>46198</v>
      </c>
      <c r="H208" s="35" t="s">
        <v>422</v>
      </c>
      <c r="I208" s="35" t="s">
        <v>364</v>
      </c>
      <c r="J208" s="36" t="n">
        <v>2026</v>
      </c>
      <c r="K208" s="38" t="n">
        <v>0.99</v>
      </c>
      <c r="L208" s="37" t="n">
        <v>46213</v>
      </c>
      <c r="M208" s="35" t="n">
        <v>0.22</v>
      </c>
      <c r="N208" s="35" t="n">
        <v>0.22</v>
      </c>
      <c r="O208" s="35" t="s">
        <v>188</v>
      </c>
      <c r="P208" s="35" t="s">
        <v>423</v>
      </c>
      <c r="Q208" s="37" t="n">
        <v>46213</v>
      </c>
      <c r="R208" s="35"/>
    </row>
    <row r="209" customFormat="false" ht="15" hidden="false" customHeight="false" outlineLevel="0" collapsed="false">
      <c r="A209" s="35" t="s">
        <v>194</v>
      </c>
      <c r="B209" s="35" t="s">
        <v>195</v>
      </c>
      <c r="C209" s="35" t="s">
        <v>184</v>
      </c>
      <c r="D209" s="35" t="s">
        <v>196</v>
      </c>
      <c r="E209" s="36" t="n">
        <v>33913</v>
      </c>
      <c r="F209" s="36" t="n">
        <v>10410</v>
      </c>
      <c r="G209" s="37" t="n">
        <v>46198</v>
      </c>
      <c r="H209" s="35" t="s">
        <v>424</v>
      </c>
      <c r="I209" s="35" t="s">
        <v>364</v>
      </c>
      <c r="J209" s="36" t="n">
        <v>2026</v>
      </c>
      <c r="K209" s="38" t="n">
        <v>13059.56</v>
      </c>
      <c r="L209" s="37" t="n">
        <v>46213</v>
      </c>
      <c r="M209" s="35" t="n">
        <v>0.22</v>
      </c>
      <c r="N209" s="35" t="n">
        <v>0.22</v>
      </c>
      <c r="O209" s="35" t="s">
        <v>188</v>
      </c>
      <c r="P209" s="35"/>
      <c r="Q209" s="37" t="n">
        <v>46213</v>
      </c>
      <c r="R209" s="35"/>
    </row>
    <row r="210" customFormat="false" ht="15" hidden="false" customHeight="false" outlineLevel="0" collapsed="false">
      <c r="A210" s="35" t="s">
        <v>194</v>
      </c>
      <c r="B210" s="35" t="s">
        <v>206</v>
      </c>
      <c r="C210" s="35" t="s">
        <v>184</v>
      </c>
      <c r="D210" s="35" t="s">
        <v>196</v>
      </c>
      <c r="E210" s="36" t="n">
        <v>33913</v>
      </c>
      <c r="F210" s="36" t="n">
        <v>10407</v>
      </c>
      <c r="G210" s="37" t="n">
        <v>46198</v>
      </c>
      <c r="H210" s="35" t="s">
        <v>425</v>
      </c>
      <c r="I210" s="35" t="s">
        <v>364</v>
      </c>
      <c r="J210" s="36" t="n">
        <v>2026</v>
      </c>
      <c r="K210" s="38" t="n">
        <v>40137.06</v>
      </c>
      <c r="L210" s="37" t="n">
        <v>46213</v>
      </c>
      <c r="M210" s="35" t="n">
        <v>0.04</v>
      </c>
      <c r="N210" s="35" t="n">
        <v>0.04</v>
      </c>
      <c r="O210" s="35" t="s">
        <v>188</v>
      </c>
      <c r="P210" s="35"/>
      <c r="Q210" s="37" t="n">
        <v>46213</v>
      </c>
      <c r="R210" s="35" t="s">
        <v>208</v>
      </c>
    </row>
    <row r="211" customFormat="false" ht="15" hidden="false" customHeight="false" outlineLevel="0" collapsed="false">
      <c r="A211" s="35" t="s">
        <v>219</v>
      </c>
      <c r="B211" s="35" t="s">
        <v>206</v>
      </c>
      <c r="C211" s="35" t="s">
        <v>184</v>
      </c>
      <c r="D211" s="35" t="s">
        <v>196</v>
      </c>
      <c r="E211" s="36" t="n">
        <v>40169</v>
      </c>
      <c r="F211" s="36" t="n">
        <v>10417</v>
      </c>
      <c r="G211" s="37" t="n">
        <v>46202</v>
      </c>
      <c r="H211" s="35" t="n">
        <v>13754</v>
      </c>
      <c r="I211" s="35" t="s">
        <v>364</v>
      </c>
      <c r="J211" s="36" t="n">
        <v>2026</v>
      </c>
      <c r="K211" s="38" t="n">
        <v>30227.55</v>
      </c>
      <c r="L211" s="37" t="n">
        <v>46213</v>
      </c>
      <c r="M211" s="35" t="n">
        <v>0.0375</v>
      </c>
      <c r="N211" s="35" t="n">
        <v>0.0375</v>
      </c>
      <c r="O211" s="35" t="s">
        <v>188</v>
      </c>
      <c r="P211" s="35"/>
      <c r="Q211" s="37" t="n">
        <v>46213</v>
      </c>
      <c r="R211" s="35"/>
    </row>
    <row r="212" customFormat="false" ht="15" hidden="false" customHeight="false" outlineLevel="0" collapsed="false">
      <c r="A212" s="35" t="s">
        <v>219</v>
      </c>
      <c r="B212" s="35" t="s">
        <v>220</v>
      </c>
      <c r="C212" s="35" t="s">
        <v>184</v>
      </c>
      <c r="D212" s="35" t="s">
        <v>196</v>
      </c>
      <c r="E212" s="36" t="n">
        <v>40169</v>
      </c>
      <c r="F212" s="36" t="n">
        <v>10415</v>
      </c>
      <c r="G212" s="37" t="n">
        <v>46203</v>
      </c>
      <c r="H212" s="35" t="s">
        <v>426</v>
      </c>
      <c r="I212" s="35" t="s">
        <v>364</v>
      </c>
      <c r="J212" s="36" t="n">
        <v>2026</v>
      </c>
      <c r="K212" s="38" t="n">
        <v>3346.4</v>
      </c>
      <c r="L212" s="37" t="n">
        <v>46213</v>
      </c>
      <c r="M212" s="35" t="n">
        <v>0.12</v>
      </c>
      <c r="N212" s="35" t="n">
        <v>0.12</v>
      </c>
      <c r="O212" s="35" t="s">
        <v>188</v>
      </c>
      <c r="P212" s="35"/>
      <c r="Q212" s="37" t="n">
        <v>46213</v>
      </c>
      <c r="R212" s="35" t="s">
        <v>222</v>
      </c>
    </row>
    <row r="213" customFormat="false" ht="15" hidden="false" customHeight="false" outlineLevel="0" collapsed="false">
      <c r="A213" s="35" t="s">
        <v>233</v>
      </c>
      <c r="B213" s="35" t="s">
        <v>234</v>
      </c>
      <c r="C213" s="35" t="s">
        <v>184</v>
      </c>
      <c r="D213" s="35" t="s">
        <v>196</v>
      </c>
      <c r="E213" s="36" t="n">
        <v>57104</v>
      </c>
      <c r="F213" s="36" t="n">
        <v>7910</v>
      </c>
      <c r="G213" s="37" t="n">
        <v>46204</v>
      </c>
      <c r="H213" s="35" t="n">
        <v>7202600560</v>
      </c>
      <c r="I213" s="35" t="s">
        <v>427</v>
      </c>
      <c r="J213" s="36" t="n">
        <v>2026</v>
      </c>
      <c r="K213" s="38" t="n">
        <v>65.86</v>
      </c>
      <c r="L213" s="37" t="n">
        <v>46213</v>
      </c>
      <c r="M213" s="35" t="s">
        <v>187</v>
      </c>
      <c r="N213" s="35"/>
      <c r="O213" s="35" t="s">
        <v>188</v>
      </c>
      <c r="P213" s="35"/>
      <c r="Q213" s="37" t="n">
        <v>46213</v>
      </c>
      <c r="R213" s="35"/>
    </row>
    <row r="214" customFormat="false" ht="15" hidden="false" customHeight="false" outlineLevel="0" collapsed="false">
      <c r="A214" s="35" t="s">
        <v>232</v>
      </c>
      <c r="B214" s="35" t="s">
        <v>228</v>
      </c>
      <c r="C214" s="35" t="s">
        <v>210</v>
      </c>
      <c r="D214" s="35" t="n">
        <v>0</v>
      </c>
      <c r="E214" s="36" t="n">
        <v>69740</v>
      </c>
      <c r="F214" s="36" t="n">
        <v>8438</v>
      </c>
      <c r="G214" s="37" t="n">
        <v>46204</v>
      </c>
      <c r="H214" s="35" t="n">
        <v>8198</v>
      </c>
      <c r="I214" s="35" t="s">
        <v>427</v>
      </c>
      <c r="J214" s="36" t="n">
        <v>2026</v>
      </c>
      <c r="K214" s="38" t="n">
        <v>43775</v>
      </c>
      <c r="L214" s="37" t="n">
        <v>46213</v>
      </c>
      <c r="M214" s="35" t="n">
        <v>43775</v>
      </c>
      <c r="N214" s="35" t="n">
        <v>43775</v>
      </c>
      <c r="O214" s="35" t="s">
        <v>188</v>
      </c>
      <c r="P214" s="35"/>
      <c r="Q214" s="37" t="n">
        <v>46213</v>
      </c>
      <c r="R214" s="35"/>
    </row>
    <row r="215" customFormat="false" ht="15" hidden="false" customHeight="false" outlineLevel="0" collapsed="false">
      <c r="A215" s="35" t="s">
        <v>219</v>
      </c>
      <c r="B215" s="35" t="s">
        <v>206</v>
      </c>
      <c r="C215" s="35" t="s">
        <v>184</v>
      </c>
      <c r="D215" s="35" t="s">
        <v>196</v>
      </c>
      <c r="E215" s="36" t="n">
        <v>40169</v>
      </c>
      <c r="F215" s="36" t="n">
        <v>10417</v>
      </c>
      <c r="G215" s="37" t="n">
        <v>46209</v>
      </c>
      <c r="H215" s="35" t="n">
        <v>13756</v>
      </c>
      <c r="I215" s="35" t="s">
        <v>427</v>
      </c>
      <c r="J215" s="36" t="n">
        <v>2026</v>
      </c>
      <c r="K215" s="38" t="n">
        <v>27929.98</v>
      </c>
      <c r="L215" s="37" t="n">
        <v>46213</v>
      </c>
      <c r="M215" s="35" t="n">
        <v>0.0375</v>
      </c>
      <c r="N215" s="35" t="n">
        <v>0.0375</v>
      </c>
      <c r="O215" s="35" t="s">
        <v>188</v>
      </c>
      <c r="P215" s="35"/>
      <c r="Q215" s="37" t="n">
        <v>46213</v>
      </c>
      <c r="R215" s="35"/>
    </row>
    <row r="216" customFormat="false" ht="15" hidden="false" customHeight="false" outlineLevel="0" collapsed="false">
      <c r="A216" s="35" t="s">
        <v>219</v>
      </c>
      <c r="B216" s="35" t="s">
        <v>223</v>
      </c>
      <c r="C216" s="35" t="s">
        <v>184</v>
      </c>
      <c r="D216" s="35" t="s">
        <v>196</v>
      </c>
      <c r="E216" s="36" t="n">
        <v>40169</v>
      </c>
      <c r="F216" s="36" t="n">
        <v>10417</v>
      </c>
      <c r="G216" s="37" t="n">
        <v>46203</v>
      </c>
      <c r="H216" s="35" t="n">
        <v>13777</v>
      </c>
      <c r="I216" s="35" t="s">
        <v>364</v>
      </c>
      <c r="J216" s="36" t="n">
        <v>2026</v>
      </c>
      <c r="K216" s="38" t="n">
        <v>12320</v>
      </c>
      <c r="L216" s="37" t="n">
        <v>46216</v>
      </c>
      <c r="M216" s="35" t="s">
        <v>224</v>
      </c>
      <c r="N216" s="35" t="n">
        <v>35</v>
      </c>
      <c r="O216" s="35" t="s">
        <v>188</v>
      </c>
      <c r="P216" s="35"/>
      <c r="Q216" s="37" t="n">
        <v>46216</v>
      </c>
      <c r="R216" s="35"/>
    </row>
    <row r="217" customFormat="false" ht="15" hidden="false" customHeight="false" outlineLevel="0" collapsed="false">
      <c r="A217" s="35" t="s">
        <v>219</v>
      </c>
      <c r="B217" s="35" t="s">
        <v>206</v>
      </c>
      <c r="C217" s="35" t="s">
        <v>184</v>
      </c>
      <c r="D217" s="35" t="s">
        <v>196</v>
      </c>
      <c r="E217" s="36" t="n">
        <v>40169</v>
      </c>
      <c r="F217" s="36" t="n">
        <v>10417</v>
      </c>
      <c r="G217" s="37" t="n">
        <v>46203</v>
      </c>
      <c r="H217" s="35" t="n">
        <v>13778</v>
      </c>
      <c r="I217" s="35" t="s">
        <v>364</v>
      </c>
      <c r="J217" s="36" t="n">
        <v>2026</v>
      </c>
      <c r="K217" s="38" t="n">
        <v>4961.67</v>
      </c>
      <c r="L217" s="37" t="n">
        <v>46216</v>
      </c>
      <c r="M217" s="35" t="n">
        <v>0.0375</v>
      </c>
      <c r="N217" s="35" t="n">
        <v>0.0375</v>
      </c>
      <c r="O217" s="35" t="s">
        <v>188</v>
      </c>
      <c r="P217" s="35"/>
      <c r="Q217" s="37" t="n">
        <v>46216</v>
      </c>
      <c r="R217" s="35"/>
    </row>
    <row r="218" customFormat="false" ht="15" hidden="false" customHeight="false" outlineLevel="0" collapsed="false">
      <c r="A218" s="35" t="s">
        <v>194</v>
      </c>
      <c r="B218" s="35" t="s">
        <v>195</v>
      </c>
      <c r="C218" s="35" t="s">
        <v>184</v>
      </c>
      <c r="D218" s="35" t="s">
        <v>196</v>
      </c>
      <c r="E218" s="36" t="n">
        <v>33913</v>
      </c>
      <c r="F218" s="36" t="n">
        <v>10410</v>
      </c>
      <c r="G218" s="37" t="n">
        <v>46204</v>
      </c>
      <c r="H218" s="35" t="s">
        <v>428</v>
      </c>
      <c r="I218" s="35" t="s">
        <v>427</v>
      </c>
      <c r="J218" s="36" t="n">
        <v>2026</v>
      </c>
      <c r="K218" s="38" t="n">
        <v>21.99</v>
      </c>
      <c r="L218" s="37" t="n">
        <v>46216</v>
      </c>
      <c r="M218" s="35" t="n">
        <v>0.22</v>
      </c>
      <c r="N218" s="35" t="n">
        <v>0.22</v>
      </c>
      <c r="O218" s="35" t="s">
        <v>188</v>
      </c>
      <c r="P218" s="35"/>
      <c r="Q218" s="37" t="n">
        <v>46216</v>
      </c>
      <c r="R218" s="35"/>
    </row>
    <row r="219" customFormat="false" ht="15" hidden="false" customHeight="false" outlineLevel="0" collapsed="false">
      <c r="A219" s="35" t="s">
        <v>194</v>
      </c>
      <c r="B219" s="35" t="s">
        <v>195</v>
      </c>
      <c r="C219" s="35" t="s">
        <v>184</v>
      </c>
      <c r="D219" s="35" t="s">
        <v>196</v>
      </c>
      <c r="E219" s="36" t="n">
        <v>33913</v>
      </c>
      <c r="F219" s="36" t="n">
        <v>10410</v>
      </c>
      <c r="G219" s="37" t="n">
        <v>46204</v>
      </c>
      <c r="H219" s="35" t="s">
        <v>429</v>
      </c>
      <c r="I219" s="35" t="s">
        <v>427</v>
      </c>
      <c r="J219" s="36" t="n">
        <v>2026</v>
      </c>
      <c r="K219" s="38" t="n">
        <v>11011.39</v>
      </c>
      <c r="L219" s="37" t="n">
        <v>46216</v>
      </c>
      <c r="M219" s="35" t="n">
        <v>0.22</v>
      </c>
      <c r="N219" s="35" t="n">
        <v>0.22</v>
      </c>
      <c r="O219" s="35" t="s">
        <v>188</v>
      </c>
      <c r="P219" s="35"/>
      <c r="Q219" s="37" t="n">
        <v>46216</v>
      </c>
      <c r="R219" s="35"/>
    </row>
    <row r="220" customFormat="false" ht="15" hidden="false" customHeight="false" outlineLevel="0" collapsed="false">
      <c r="A220" s="35" t="s">
        <v>194</v>
      </c>
      <c r="B220" s="35" t="s">
        <v>206</v>
      </c>
      <c r="C220" s="35" t="s">
        <v>184</v>
      </c>
      <c r="D220" s="35" t="s">
        <v>196</v>
      </c>
      <c r="E220" s="36" t="n">
        <v>33913</v>
      </c>
      <c r="F220" s="36" t="n">
        <v>10407</v>
      </c>
      <c r="G220" s="37" t="n">
        <v>46204</v>
      </c>
      <c r="H220" s="35" t="s">
        <v>430</v>
      </c>
      <c r="I220" s="35" t="s">
        <v>364</v>
      </c>
      <c r="J220" s="36" t="n">
        <v>2026</v>
      </c>
      <c r="K220" s="38" t="n">
        <v>45631.51</v>
      </c>
      <c r="L220" s="37" t="n">
        <v>46216</v>
      </c>
      <c r="M220" s="35" t="n">
        <v>0.04</v>
      </c>
      <c r="N220" s="35" t="n">
        <v>0.04</v>
      </c>
      <c r="O220" s="35" t="s">
        <v>188</v>
      </c>
      <c r="P220" s="35"/>
      <c r="Q220" s="37" t="n">
        <v>46216</v>
      </c>
      <c r="R220" s="35" t="s">
        <v>208</v>
      </c>
    </row>
    <row r="221" customFormat="false" ht="15" hidden="false" customHeight="false" outlineLevel="0" collapsed="false">
      <c r="A221" s="35" t="s">
        <v>194</v>
      </c>
      <c r="B221" s="35" t="s">
        <v>223</v>
      </c>
      <c r="C221" s="35" t="s">
        <v>184</v>
      </c>
      <c r="D221" s="35" t="s">
        <v>196</v>
      </c>
      <c r="E221" s="36" t="n">
        <v>33913</v>
      </c>
      <c r="F221" s="36" t="n">
        <v>10407</v>
      </c>
      <c r="G221" s="37" t="n">
        <v>46204</v>
      </c>
      <c r="H221" s="35" t="s">
        <v>431</v>
      </c>
      <c r="I221" s="35" t="s">
        <v>427</v>
      </c>
      <c r="J221" s="36" t="n">
        <v>2026</v>
      </c>
      <c r="K221" s="38" t="n">
        <v>32617.55</v>
      </c>
      <c r="L221" s="37" t="n">
        <v>46216</v>
      </c>
      <c r="M221" s="35" t="s">
        <v>245</v>
      </c>
      <c r="N221" s="35" t="n">
        <v>35</v>
      </c>
      <c r="O221" s="35" t="s">
        <v>188</v>
      </c>
      <c r="P221" s="35"/>
      <c r="Q221" s="37" t="n">
        <v>46216</v>
      </c>
      <c r="R221" s="35"/>
    </row>
    <row r="222" customFormat="false" ht="15" hidden="false" customHeight="false" outlineLevel="0" collapsed="false">
      <c r="A222" s="35" t="s">
        <v>219</v>
      </c>
      <c r="B222" s="35" t="s">
        <v>220</v>
      </c>
      <c r="C222" s="35" t="s">
        <v>184</v>
      </c>
      <c r="D222" s="35" t="s">
        <v>196</v>
      </c>
      <c r="E222" s="36" t="n">
        <v>40169</v>
      </c>
      <c r="F222" s="36" t="n">
        <v>10415</v>
      </c>
      <c r="G222" s="37" t="n">
        <v>46210</v>
      </c>
      <c r="H222" s="35" t="s">
        <v>432</v>
      </c>
      <c r="I222" s="35" t="s">
        <v>427</v>
      </c>
      <c r="J222" s="36" t="n">
        <v>2026</v>
      </c>
      <c r="K222" s="38" t="n">
        <v>28038.15</v>
      </c>
      <c r="L222" s="37" t="n">
        <v>46216</v>
      </c>
      <c r="M222" s="35" t="n">
        <v>0.12</v>
      </c>
      <c r="N222" s="35" t="n">
        <v>0.12</v>
      </c>
      <c r="O222" s="35" t="s">
        <v>188</v>
      </c>
      <c r="P222" s="35"/>
      <c r="Q222" s="37" t="n">
        <v>46216</v>
      </c>
      <c r="R222" s="35" t="s">
        <v>222</v>
      </c>
    </row>
    <row r="223" customFormat="false" ht="15" hidden="false" customHeight="false" outlineLevel="0" collapsed="false">
      <c r="A223" s="35" t="s">
        <v>164</v>
      </c>
      <c r="B223" s="35" t="s">
        <v>263</v>
      </c>
      <c r="C223" s="35" t="s">
        <v>193</v>
      </c>
      <c r="D223" s="35" t="s">
        <v>264</v>
      </c>
      <c r="E223" s="36" t="n">
        <v>46597</v>
      </c>
      <c r="F223" s="36" t="n">
        <v>10833</v>
      </c>
      <c r="G223" s="37" t="n">
        <v>46211</v>
      </c>
      <c r="H223" s="35" t="n">
        <v>3698142</v>
      </c>
      <c r="I223" s="35" t="s">
        <v>427</v>
      </c>
      <c r="J223" s="36" t="n">
        <v>2026</v>
      </c>
      <c r="K223" s="38" t="n">
        <v>27727.2</v>
      </c>
      <c r="L223" s="37" t="n">
        <v>46216</v>
      </c>
      <c r="M223" s="35" t="n">
        <v>27727.5</v>
      </c>
      <c r="N223" s="35" t="n">
        <v>27727.5</v>
      </c>
      <c r="O223" s="35" t="s">
        <v>188</v>
      </c>
      <c r="P223" s="35"/>
      <c r="Q223" s="37" t="n">
        <v>46216</v>
      </c>
      <c r="R223" s="35"/>
    </row>
    <row r="224" customFormat="false" ht="15" hidden="false" customHeight="false" outlineLevel="0" collapsed="false">
      <c r="A224" s="35" t="s">
        <v>108</v>
      </c>
      <c r="B224" s="35" t="s">
        <v>292</v>
      </c>
      <c r="C224" s="35" t="s">
        <v>184</v>
      </c>
      <c r="D224" s="35" t="s">
        <v>258</v>
      </c>
      <c r="E224" s="36" t="n">
        <v>75456</v>
      </c>
      <c r="F224" s="36" t="n">
        <v>10200</v>
      </c>
      <c r="G224" s="37" t="n">
        <v>46203</v>
      </c>
      <c r="H224" s="35" t="s">
        <v>433</v>
      </c>
      <c r="I224" s="35" t="s">
        <v>364</v>
      </c>
      <c r="J224" s="36" t="n">
        <v>2026</v>
      </c>
      <c r="K224" s="38" t="n">
        <v>861816.37</v>
      </c>
      <c r="L224" s="37" t="n">
        <v>46217</v>
      </c>
      <c r="M224" s="35" t="n">
        <v>0.079</v>
      </c>
      <c r="N224" s="35" t="n">
        <v>0.079</v>
      </c>
      <c r="O224" s="35" t="s">
        <v>188</v>
      </c>
      <c r="P224" s="35"/>
      <c r="Q224" s="37" t="n">
        <v>46218</v>
      </c>
      <c r="R224" s="35"/>
    </row>
    <row r="225" customFormat="false" ht="15" hidden="false" customHeight="false" outlineLevel="0" collapsed="false">
      <c r="A225" s="35" t="s">
        <v>108</v>
      </c>
      <c r="B225" s="35" t="s">
        <v>119</v>
      </c>
      <c r="C225" s="35" t="s">
        <v>184</v>
      </c>
      <c r="D225" s="35" t="s">
        <v>185</v>
      </c>
      <c r="E225" s="36" t="n">
        <v>75456</v>
      </c>
      <c r="F225" s="36" t="n">
        <v>10200</v>
      </c>
      <c r="G225" s="37" t="n">
        <v>46203</v>
      </c>
      <c r="H225" s="35" t="s">
        <v>434</v>
      </c>
      <c r="I225" s="35" t="s">
        <v>364</v>
      </c>
      <c r="J225" s="36" t="n">
        <v>2026</v>
      </c>
      <c r="K225" s="38" t="n">
        <v>70951.84</v>
      </c>
      <c r="L225" s="37" t="n">
        <v>46217</v>
      </c>
      <c r="M225" s="35" t="n">
        <v>0.109</v>
      </c>
      <c r="N225" s="35" t="n">
        <v>0.109</v>
      </c>
      <c r="O225" s="35" t="s">
        <v>188</v>
      </c>
      <c r="P225" s="35"/>
      <c r="Q225" s="37" t="n">
        <v>46218</v>
      </c>
      <c r="R225" s="35"/>
    </row>
    <row r="226" customFormat="false" ht="15" hidden="false" customHeight="false" outlineLevel="0" collapsed="false">
      <c r="A226" s="35" t="s">
        <v>164</v>
      </c>
      <c r="B226" s="35" t="s">
        <v>209</v>
      </c>
      <c r="C226" s="35" t="s">
        <v>184</v>
      </c>
      <c r="D226" s="35" t="s">
        <v>372</v>
      </c>
      <c r="E226" s="36" t="n">
        <v>46597</v>
      </c>
      <c r="F226" s="36" t="n">
        <v>11053</v>
      </c>
      <c r="G226" s="37" t="n">
        <v>46216</v>
      </c>
      <c r="H226" s="35" t="n">
        <v>3688525</v>
      </c>
      <c r="I226" s="35" t="s">
        <v>364</v>
      </c>
      <c r="J226" s="36" t="n">
        <v>2026</v>
      </c>
      <c r="K226" s="38" t="n">
        <v>125852.62</v>
      </c>
      <c r="L226" s="37" t="n">
        <v>46217</v>
      </c>
      <c r="M226" s="35" t="n">
        <v>119350.55</v>
      </c>
      <c r="N226" s="35"/>
      <c r="O226" s="35" t="s">
        <v>205</v>
      </c>
      <c r="P226" s="35" t="s">
        <v>435</v>
      </c>
      <c r="Q226" s="37" t="n">
        <v>46218</v>
      </c>
      <c r="R226" s="35" t="s">
        <v>373</v>
      </c>
    </row>
    <row r="227" customFormat="false" ht="15" hidden="false" customHeight="false" outlineLevel="0" collapsed="false">
      <c r="A227" s="35" t="s">
        <v>147</v>
      </c>
      <c r="B227" s="35" t="s">
        <v>148</v>
      </c>
      <c r="C227" s="35" t="s">
        <v>213</v>
      </c>
      <c r="D227" s="35" t="s">
        <v>227</v>
      </c>
      <c r="E227" s="36" t="n">
        <v>22104</v>
      </c>
      <c r="F227" s="36" t="n">
        <v>10782</v>
      </c>
      <c r="G227" s="37" t="n">
        <v>46149</v>
      </c>
      <c r="H227" s="35" t="n">
        <v>400018033</v>
      </c>
      <c r="I227" s="35" t="s">
        <v>230</v>
      </c>
      <c r="J227" s="36" t="n">
        <v>2026</v>
      </c>
      <c r="K227" s="38" t="n">
        <v>129493.92</v>
      </c>
      <c r="L227" s="37" t="n">
        <v>46218</v>
      </c>
      <c r="M227" s="35" t="s">
        <v>187</v>
      </c>
      <c r="N227" s="35"/>
      <c r="O227" s="35" t="s">
        <v>188</v>
      </c>
      <c r="P227" s="35" t="s">
        <v>436</v>
      </c>
      <c r="Q227" s="37" t="n">
        <v>46219</v>
      </c>
      <c r="R227" s="35" t="s">
        <v>265</v>
      </c>
    </row>
    <row r="228" customFormat="false" ht="15" hidden="false" customHeight="false" outlineLevel="0" collapsed="false">
      <c r="A228" s="35" t="s">
        <v>147</v>
      </c>
      <c r="B228" s="35" t="s">
        <v>192</v>
      </c>
      <c r="C228" s="35" t="s">
        <v>193</v>
      </c>
      <c r="D228" s="35" t="n">
        <v>0</v>
      </c>
      <c r="E228" s="36" t="n">
        <v>22104</v>
      </c>
      <c r="F228" s="36" t="n">
        <v>10783</v>
      </c>
      <c r="G228" s="37" t="n">
        <v>46169</v>
      </c>
      <c r="H228" s="35" t="n">
        <v>100104994</v>
      </c>
      <c r="I228" s="35" t="s">
        <v>230</v>
      </c>
      <c r="J228" s="36" t="n">
        <v>2026</v>
      </c>
      <c r="K228" s="38" t="n">
        <v>35248.77</v>
      </c>
      <c r="L228" s="37" t="n">
        <v>46218</v>
      </c>
      <c r="M228" s="35" t="n">
        <v>34125</v>
      </c>
      <c r="N228" s="35"/>
      <c r="O228" s="35" t="s">
        <v>188</v>
      </c>
      <c r="P228" s="35"/>
      <c r="Q228" s="37" t="n">
        <v>46219</v>
      </c>
      <c r="R228" s="35"/>
    </row>
    <row r="229" customFormat="false" ht="15" hidden="false" customHeight="false" outlineLevel="0" collapsed="false">
      <c r="A229" s="35" t="s">
        <v>147</v>
      </c>
      <c r="B229" s="35" t="s">
        <v>148</v>
      </c>
      <c r="C229" s="35" t="s">
        <v>213</v>
      </c>
      <c r="D229" s="35" t="s">
        <v>227</v>
      </c>
      <c r="E229" s="36" t="n">
        <v>22104</v>
      </c>
      <c r="F229" s="36" t="n">
        <v>10782</v>
      </c>
      <c r="G229" s="37" t="n">
        <v>46185</v>
      </c>
      <c r="H229" s="35" t="n">
        <v>400018262</v>
      </c>
      <c r="I229" s="35" t="s">
        <v>299</v>
      </c>
      <c r="J229" s="36" t="n">
        <v>2026</v>
      </c>
      <c r="K229" s="38" t="n">
        <v>141573.77</v>
      </c>
      <c r="L229" s="37" t="n">
        <v>46218</v>
      </c>
      <c r="M229" s="35" t="s">
        <v>187</v>
      </c>
      <c r="N229" s="35"/>
      <c r="O229" s="35" t="s">
        <v>188</v>
      </c>
      <c r="P229" s="35"/>
      <c r="Q229" s="37" t="n">
        <v>46219</v>
      </c>
      <c r="R229" s="35" t="s">
        <v>265</v>
      </c>
    </row>
    <row r="230" customFormat="false" ht="15" hidden="false" customHeight="false" outlineLevel="0" collapsed="false">
      <c r="A230" s="35" t="s">
        <v>147</v>
      </c>
      <c r="B230" s="35" t="s">
        <v>192</v>
      </c>
      <c r="C230" s="35" t="s">
        <v>193</v>
      </c>
      <c r="D230" s="35" t="n">
        <v>0</v>
      </c>
      <c r="E230" s="36" t="n">
        <v>22104</v>
      </c>
      <c r="F230" s="36" t="n">
        <v>10783</v>
      </c>
      <c r="G230" s="37" t="n">
        <v>46191</v>
      </c>
      <c r="H230" s="35" t="n">
        <v>100105450</v>
      </c>
      <c r="I230" s="35" t="s">
        <v>299</v>
      </c>
      <c r="J230" s="36" t="n">
        <v>2026</v>
      </c>
      <c r="K230" s="38" t="n">
        <v>35317.59</v>
      </c>
      <c r="L230" s="37" t="n">
        <v>46218</v>
      </c>
      <c r="M230" s="35" t="n">
        <v>34125</v>
      </c>
      <c r="N230" s="35"/>
      <c r="O230" s="35" t="s">
        <v>188</v>
      </c>
      <c r="P230" s="35"/>
      <c r="Q230" s="37" t="n">
        <v>46219</v>
      </c>
      <c r="R230" s="35"/>
    </row>
    <row r="231" customFormat="false" ht="15" hidden="false" customHeight="false" outlineLevel="0" collapsed="false">
      <c r="A231" s="35" t="s">
        <v>121</v>
      </c>
      <c r="B231" s="35" t="s">
        <v>235</v>
      </c>
      <c r="C231" s="35" t="s">
        <v>213</v>
      </c>
      <c r="D231" s="35" t="s">
        <v>227</v>
      </c>
      <c r="E231" s="36" t="n">
        <v>45857</v>
      </c>
      <c r="F231" s="36" t="n">
        <v>8659</v>
      </c>
      <c r="G231" s="37" t="n">
        <v>46204</v>
      </c>
      <c r="H231" s="35" t="n">
        <v>4025034</v>
      </c>
      <c r="I231" s="35" t="s">
        <v>364</v>
      </c>
      <c r="J231" s="36" t="n">
        <v>2026</v>
      </c>
      <c r="K231" s="38" t="n">
        <v>21720.49</v>
      </c>
      <c r="L231" s="37" t="n">
        <v>46218</v>
      </c>
      <c r="M231" s="35" t="n">
        <v>0.24</v>
      </c>
      <c r="N231" s="35" t="n">
        <v>0.24</v>
      </c>
      <c r="O231" s="35" t="s">
        <v>188</v>
      </c>
      <c r="P231" s="35"/>
      <c r="Q231" s="37" t="n">
        <v>46219</v>
      </c>
      <c r="R231" s="35"/>
    </row>
    <row r="232" customFormat="false" ht="15" hidden="false" customHeight="false" outlineLevel="0" collapsed="false">
      <c r="A232" s="35" t="s">
        <v>147</v>
      </c>
      <c r="B232" s="35" t="s">
        <v>259</v>
      </c>
      <c r="C232" s="35" t="s">
        <v>260</v>
      </c>
      <c r="D232" s="35" t="s">
        <v>261</v>
      </c>
      <c r="E232" s="36" t="n">
        <v>22104</v>
      </c>
      <c r="F232" s="36" t="n">
        <v>11587</v>
      </c>
      <c r="G232" s="37" t="n">
        <v>46210</v>
      </c>
      <c r="H232" s="35" t="n">
        <v>400018245</v>
      </c>
      <c r="I232" s="35" t="s">
        <v>364</v>
      </c>
      <c r="J232" s="36" t="n">
        <v>2026</v>
      </c>
      <c r="K232" s="38" t="n">
        <v>12950</v>
      </c>
      <c r="L232" s="37" t="n">
        <v>46218</v>
      </c>
      <c r="M232" s="35" t="n">
        <v>12950</v>
      </c>
      <c r="N232" s="35" t="n">
        <v>12950</v>
      </c>
      <c r="O232" s="35" t="s">
        <v>188</v>
      </c>
      <c r="P232" s="35"/>
      <c r="Q232" s="37" t="n">
        <v>46219</v>
      </c>
      <c r="R232" s="35"/>
    </row>
    <row r="233" customFormat="false" ht="15" hidden="false" customHeight="false" outlineLevel="0" collapsed="false">
      <c r="A233" s="35" t="s">
        <v>121</v>
      </c>
      <c r="B233" s="35" t="s">
        <v>257</v>
      </c>
      <c r="C233" s="35" t="s">
        <v>184</v>
      </c>
      <c r="D233" s="35" t="s">
        <v>185</v>
      </c>
      <c r="E233" s="36" t="n">
        <v>45857</v>
      </c>
      <c r="F233" s="36" t="n">
        <v>11172</v>
      </c>
      <c r="G233" s="37" t="n">
        <v>46211</v>
      </c>
      <c r="H233" s="35" t="n">
        <v>128541</v>
      </c>
      <c r="I233" s="35" t="s">
        <v>364</v>
      </c>
      <c r="J233" s="36" t="n">
        <v>2026</v>
      </c>
      <c r="K233" s="38" t="n">
        <v>40965.07</v>
      </c>
      <c r="L233" s="37" t="n">
        <v>46218</v>
      </c>
      <c r="M233" s="35" t="n">
        <v>0.25</v>
      </c>
      <c r="N233" s="35" t="n">
        <v>0.25</v>
      </c>
      <c r="O233" s="35" t="s">
        <v>188</v>
      </c>
      <c r="P233" s="35"/>
      <c r="Q233" s="37" t="n">
        <v>46219</v>
      </c>
      <c r="R233" s="35"/>
    </row>
    <row r="234" customFormat="false" ht="15" hidden="false" customHeight="false" outlineLevel="0" collapsed="false">
      <c r="A234" s="35" t="s">
        <v>121</v>
      </c>
      <c r="B234" s="35" t="s">
        <v>126</v>
      </c>
      <c r="C234" s="35" t="s">
        <v>184</v>
      </c>
      <c r="D234" s="35" t="s">
        <v>258</v>
      </c>
      <c r="E234" s="36" t="n">
        <v>45857</v>
      </c>
      <c r="F234" s="36" t="n">
        <v>11172</v>
      </c>
      <c r="G234" s="37" t="n">
        <v>46211</v>
      </c>
      <c r="H234" s="35" t="n">
        <v>128540</v>
      </c>
      <c r="I234" s="35" t="s">
        <v>364</v>
      </c>
      <c r="J234" s="36" t="n">
        <v>2026</v>
      </c>
      <c r="K234" s="38" t="n">
        <v>140847.84</v>
      </c>
      <c r="L234" s="37" t="n">
        <v>46218</v>
      </c>
      <c r="M234" s="35" t="n">
        <v>0.2</v>
      </c>
      <c r="N234" s="35" t="n">
        <v>0.2</v>
      </c>
      <c r="O234" s="35" t="s">
        <v>188</v>
      </c>
      <c r="P234" s="35"/>
      <c r="Q234" s="37" t="n">
        <v>46219</v>
      </c>
      <c r="R234" s="35"/>
    </row>
    <row r="235" customFormat="false" ht="15" hidden="false" customHeight="false" outlineLevel="0" collapsed="false">
      <c r="A235" s="35" t="s">
        <v>121</v>
      </c>
      <c r="B235" s="35" t="s">
        <v>270</v>
      </c>
      <c r="C235" s="35" t="s">
        <v>184</v>
      </c>
      <c r="D235" s="35" t="s">
        <v>185</v>
      </c>
      <c r="E235" s="36" t="n">
        <v>45857</v>
      </c>
      <c r="F235" s="36" t="n">
        <v>11172</v>
      </c>
      <c r="G235" s="37" t="n">
        <v>46213</v>
      </c>
      <c r="H235" s="35" t="n">
        <v>128904</v>
      </c>
      <c r="I235" s="35" t="s">
        <v>364</v>
      </c>
      <c r="J235" s="36" t="n">
        <v>2026</v>
      </c>
      <c r="K235" s="38" t="n">
        <v>28534.45</v>
      </c>
      <c r="L235" s="37" t="n">
        <v>46218</v>
      </c>
      <c r="M235" s="35" t="n">
        <v>0.095</v>
      </c>
      <c r="N235" s="35" t="n">
        <v>0.095</v>
      </c>
      <c r="O235" s="35" t="s">
        <v>188</v>
      </c>
      <c r="P235" s="35"/>
      <c r="Q235" s="37" t="n">
        <v>46219</v>
      </c>
      <c r="R235" s="35"/>
    </row>
    <row r="236" customFormat="false" ht="15" hidden="false" customHeight="false" outlineLevel="0" collapsed="false">
      <c r="A236" s="35" t="s">
        <v>121</v>
      </c>
      <c r="B236" s="35" t="s">
        <v>271</v>
      </c>
      <c r="C236" s="35" t="s">
        <v>184</v>
      </c>
      <c r="D236" s="35" t="s">
        <v>185</v>
      </c>
      <c r="E236" s="36" t="n">
        <v>45857</v>
      </c>
      <c r="F236" s="36" t="n">
        <v>10798</v>
      </c>
      <c r="G236" s="37" t="n">
        <v>46213</v>
      </c>
      <c r="H236" s="35" t="n">
        <v>128902</v>
      </c>
      <c r="I236" s="35" t="s">
        <v>364</v>
      </c>
      <c r="J236" s="36" t="n">
        <v>2026</v>
      </c>
      <c r="K236" s="38" t="n">
        <v>20750</v>
      </c>
      <c r="L236" s="37" t="n">
        <v>46218</v>
      </c>
      <c r="M236" s="35" t="s">
        <v>272</v>
      </c>
      <c r="N236" s="35" t="n">
        <v>125</v>
      </c>
      <c r="O236" s="35" t="s">
        <v>188</v>
      </c>
      <c r="P236" s="35"/>
      <c r="Q236" s="37" t="n">
        <v>46219</v>
      </c>
      <c r="R236" s="35"/>
    </row>
    <row r="237" customFormat="false" ht="15" hidden="false" customHeight="false" outlineLevel="0" collapsed="false">
      <c r="A237" s="35" t="s">
        <v>121</v>
      </c>
      <c r="B237" s="35" t="s">
        <v>273</v>
      </c>
      <c r="C237" s="35" t="s">
        <v>184</v>
      </c>
      <c r="D237" s="35" t="s">
        <v>185</v>
      </c>
      <c r="E237" s="36" t="n">
        <v>45857</v>
      </c>
      <c r="F237" s="36" t="n">
        <v>10798</v>
      </c>
      <c r="G237" s="37" t="n">
        <v>46213</v>
      </c>
      <c r="H237" s="35" t="n">
        <v>128903</v>
      </c>
      <c r="I237" s="35" t="s">
        <v>364</v>
      </c>
      <c r="J237" s="36" t="n">
        <v>2026</v>
      </c>
      <c r="K237" s="38" t="n">
        <v>46201.06</v>
      </c>
      <c r="L237" s="37" t="n">
        <v>46218</v>
      </c>
      <c r="M237" s="35" t="n">
        <v>0.14</v>
      </c>
      <c r="N237" s="35" t="n">
        <v>0.14</v>
      </c>
      <c r="O237" s="35" t="s">
        <v>188</v>
      </c>
      <c r="P237" s="35"/>
      <c r="Q237" s="37" t="n">
        <v>46219</v>
      </c>
      <c r="R237" s="35"/>
    </row>
    <row r="238" customFormat="false" ht="15" hidden="false" customHeight="false" outlineLevel="0" collapsed="false">
      <c r="A238" s="35" t="s">
        <v>121</v>
      </c>
      <c r="B238" s="35" t="s">
        <v>226</v>
      </c>
      <c r="C238" s="35" t="s">
        <v>213</v>
      </c>
      <c r="D238" s="35" t="s">
        <v>227</v>
      </c>
      <c r="E238" s="36" t="n">
        <v>45857</v>
      </c>
      <c r="F238" s="36" t="n">
        <v>8658</v>
      </c>
      <c r="G238" s="37" t="n">
        <v>46209</v>
      </c>
      <c r="H238" s="35" t="n">
        <v>6021024</v>
      </c>
      <c r="I238" s="35" t="s">
        <v>364</v>
      </c>
      <c r="J238" s="36" t="n">
        <v>2026</v>
      </c>
      <c r="K238" s="38" t="n">
        <v>1696.1</v>
      </c>
      <c r="L238" s="37" t="n">
        <v>46219</v>
      </c>
      <c r="M238" s="35" t="n">
        <v>0.26</v>
      </c>
      <c r="N238" s="35" t="n">
        <v>0.26</v>
      </c>
      <c r="O238" s="35" t="s">
        <v>188</v>
      </c>
      <c r="P238" s="35"/>
      <c r="Q238" s="37" t="n">
        <v>46219</v>
      </c>
      <c r="R238" s="35"/>
    </row>
    <row r="239" customFormat="false" ht="15" hidden="false" customHeight="false" outlineLevel="0" collapsed="false">
      <c r="A239" s="35" t="s">
        <v>121</v>
      </c>
      <c r="B239" s="35" t="s">
        <v>226</v>
      </c>
      <c r="C239" s="35" t="s">
        <v>213</v>
      </c>
      <c r="D239" s="35" t="s">
        <v>227</v>
      </c>
      <c r="E239" s="36" t="n">
        <v>45857</v>
      </c>
      <c r="F239" s="36" t="n">
        <v>8658</v>
      </c>
      <c r="G239" s="37" t="n">
        <v>46209</v>
      </c>
      <c r="H239" s="35" t="n">
        <v>5023049</v>
      </c>
      <c r="I239" s="35" t="s">
        <v>364</v>
      </c>
      <c r="J239" s="36" t="n">
        <v>2026</v>
      </c>
      <c r="K239" s="38" t="n">
        <v>7109.68</v>
      </c>
      <c r="L239" s="37" t="n">
        <v>46219</v>
      </c>
      <c r="M239" s="35" t="n">
        <v>0.26</v>
      </c>
      <c r="N239" s="35" t="n">
        <v>0.26</v>
      </c>
      <c r="O239" s="35" t="s">
        <v>188</v>
      </c>
      <c r="P239" s="35"/>
      <c r="Q239" s="37" t="n">
        <v>46219</v>
      </c>
      <c r="R239" s="35"/>
    </row>
    <row r="240" customFormat="false" ht="15" hidden="false" customHeight="false" outlineLevel="0" collapsed="false">
      <c r="A240" s="35" t="s">
        <v>135</v>
      </c>
      <c r="B240" s="35" t="s">
        <v>209</v>
      </c>
      <c r="C240" s="35" t="s">
        <v>184</v>
      </c>
      <c r="D240" s="35" t="s">
        <v>210</v>
      </c>
      <c r="E240" s="36" t="n">
        <v>32522</v>
      </c>
      <c r="F240" s="36" t="n">
        <v>10473</v>
      </c>
      <c r="G240" s="37" t="n">
        <v>46203</v>
      </c>
      <c r="H240" s="35" t="s">
        <v>437</v>
      </c>
      <c r="I240" s="35" t="s">
        <v>364</v>
      </c>
      <c r="J240" s="36" t="n">
        <v>2026</v>
      </c>
      <c r="K240" s="38" t="n">
        <v>164160.43</v>
      </c>
      <c r="L240" s="37" t="n">
        <v>46220</v>
      </c>
      <c r="M240" s="35" t="s">
        <v>187</v>
      </c>
      <c r="N240" s="35"/>
      <c r="O240" s="35" t="s">
        <v>205</v>
      </c>
      <c r="P240" s="35" t="s">
        <v>438</v>
      </c>
      <c r="Q240" s="37" t="n">
        <v>46224</v>
      </c>
      <c r="R240" s="35"/>
    </row>
    <row r="241" customFormat="false" ht="15" hidden="false" customHeight="false" outlineLevel="0" collapsed="false">
      <c r="A241" s="35" t="s">
        <v>144</v>
      </c>
      <c r="B241" s="35" t="s">
        <v>212</v>
      </c>
      <c r="C241" s="35" t="s">
        <v>213</v>
      </c>
      <c r="D241" s="35" t="s">
        <v>214</v>
      </c>
      <c r="E241" s="36" t="n">
        <v>60823</v>
      </c>
      <c r="F241" s="36" t="n">
        <v>10406</v>
      </c>
      <c r="G241" s="37" t="n">
        <v>46203</v>
      </c>
      <c r="H241" s="35" t="s">
        <v>439</v>
      </c>
      <c r="I241" s="35" t="s">
        <v>364</v>
      </c>
      <c r="J241" s="36" t="n">
        <v>2026</v>
      </c>
      <c r="K241" s="38" t="n">
        <v>521.29</v>
      </c>
      <c r="L241" s="37" t="n">
        <v>46220</v>
      </c>
      <c r="M241" s="35" t="s">
        <v>187</v>
      </c>
      <c r="N241" s="35"/>
      <c r="O241" s="35" t="s">
        <v>188</v>
      </c>
      <c r="P241" s="35"/>
      <c r="Q241" s="37" t="n">
        <v>46224</v>
      </c>
      <c r="R241" s="35"/>
    </row>
    <row r="242" customFormat="false" ht="15" hidden="false" customHeight="false" outlineLevel="0" collapsed="false">
      <c r="A242" s="35" t="s">
        <v>144</v>
      </c>
      <c r="B242" s="35" t="s">
        <v>212</v>
      </c>
      <c r="C242" s="35" t="s">
        <v>213</v>
      </c>
      <c r="D242" s="35" t="s">
        <v>214</v>
      </c>
      <c r="E242" s="36" t="n">
        <v>60823</v>
      </c>
      <c r="F242" s="36" t="n">
        <v>10406</v>
      </c>
      <c r="G242" s="37" t="n">
        <v>46203</v>
      </c>
      <c r="H242" s="35" t="s">
        <v>440</v>
      </c>
      <c r="I242" s="35" t="s">
        <v>364</v>
      </c>
      <c r="J242" s="36" t="n">
        <v>2026</v>
      </c>
      <c r="K242" s="38" t="n">
        <v>424.33</v>
      </c>
      <c r="L242" s="37" t="n">
        <v>46220</v>
      </c>
      <c r="M242" s="35" t="s">
        <v>187</v>
      </c>
      <c r="N242" s="35"/>
      <c r="O242" s="35" t="s">
        <v>188</v>
      </c>
      <c r="P242" s="35"/>
      <c r="Q242" s="37" t="n">
        <v>46224</v>
      </c>
      <c r="R242" s="35"/>
    </row>
    <row r="243" customFormat="false" ht="15" hidden="false" customHeight="false" outlineLevel="0" collapsed="false">
      <c r="A243" s="35" t="s">
        <v>194</v>
      </c>
      <c r="B243" s="35" t="s">
        <v>206</v>
      </c>
      <c r="C243" s="35" t="s">
        <v>184</v>
      </c>
      <c r="D243" s="35" t="s">
        <v>196</v>
      </c>
      <c r="E243" s="36" t="n">
        <v>33913</v>
      </c>
      <c r="F243" s="36" t="n">
        <v>10407</v>
      </c>
      <c r="G243" s="37" t="n">
        <v>46211</v>
      </c>
      <c r="H243" s="35" t="s">
        <v>441</v>
      </c>
      <c r="I243" s="35" t="s">
        <v>427</v>
      </c>
      <c r="J243" s="36" t="n">
        <v>2026</v>
      </c>
      <c r="K243" s="38" t="n">
        <v>9268.69</v>
      </c>
      <c r="L243" s="37" t="n">
        <v>46220</v>
      </c>
      <c r="M243" s="35" t="n">
        <v>0.04</v>
      </c>
      <c r="N243" s="35" t="n">
        <v>0.04</v>
      </c>
      <c r="O243" s="35" t="s">
        <v>188</v>
      </c>
      <c r="P243" s="35"/>
      <c r="Q243" s="37" t="n">
        <v>46220</v>
      </c>
      <c r="R243" s="35" t="s">
        <v>208</v>
      </c>
    </row>
    <row r="244" customFormat="false" ht="15" hidden="false" customHeight="false" outlineLevel="0" collapsed="false">
      <c r="A244" s="35" t="s">
        <v>277</v>
      </c>
      <c r="B244" s="35" t="s">
        <v>278</v>
      </c>
      <c r="C244" s="35" t="s">
        <v>279</v>
      </c>
      <c r="D244" s="35" t="s">
        <v>280</v>
      </c>
      <c r="E244" s="36" t="n">
        <v>69663</v>
      </c>
      <c r="F244" s="36" t="n">
        <v>7927</v>
      </c>
      <c r="G244" s="37" t="n">
        <v>46217</v>
      </c>
      <c r="H244" s="35" t="n">
        <v>37021</v>
      </c>
      <c r="I244" s="35" t="s">
        <v>427</v>
      </c>
      <c r="J244" s="36" t="n">
        <v>2026</v>
      </c>
      <c r="K244" s="38" t="n">
        <v>9756.5</v>
      </c>
      <c r="L244" s="37" t="n">
        <v>46225</v>
      </c>
      <c r="M244" s="35" t="n">
        <v>9756.5</v>
      </c>
      <c r="N244" s="35" t="n">
        <v>9756.5</v>
      </c>
      <c r="O244" s="35" t="s">
        <v>188</v>
      </c>
      <c r="P244" s="35"/>
      <c r="Q244" s="37" t="n">
        <v>46226</v>
      </c>
      <c r="R244" s="35"/>
    </row>
    <row r="245" customFormat="false" ht="15" hidden="false" customHeight="false" outlineLevel="0" collapsed="false">
      <c r="A245" s="35" t="s">
        <v>194</v>
      </c>
      <c r="B245" s="35" t="s">
        <v>195</v>
      </c>
      <c r="C245" s="35" t="s">
        <v>184</v>
      </c>
      <c r="D245" s="35" t="s">
        <v>196</v>
      </c>
      <c r="E245" s="36" t="n">
        <v>33913</v>
      </c>
      <c r="F245" s="36" t="n">
        <v>10410</v>
      </c>
      <c r="G245" s="37" t="n">
        <v>46211</v>
      </c>
      <c r="H245" s="35" t="s">
        <v>442</v>
      </c>
      <c r="I245" s="35" t="s">
        <v>427</v>
      </c>
      <c r="J245" s="36" t="n">
        <v>2026</v>
      </c>
      <c r="K245" s="38" t="n">
        <v>40.04</v>
      </c>
      <c r="L245" s="37" t="n">
        <v>46227</v>
      </c>
      <c r="M245" s="35" t="n">
        <v>0.22</v>
      </c>
      <c r="N245" s="35"/>
      <c r="O245" s="35" t="s">
        <v>188</v>
      </c>
      <c r="P245" s="35"/>
      <c r="Q245" s="37" t="n">
        <v>46231</v>
      </c>
      <c r="R245" s="35"/>
    </row>
    <row r="246" customFormat="false" ht="15" hidden="false" customHeight="false" outlineLevel="0" collapsed="false">
      <c r="A246" s="35" t="s">
        <v>194</v>
      </c>
      <c r="B246" s="35" t="s">
        <v>206</v>
      </c>
      <c r="C246" s="35" t="s">
        <v>184</v>
      </c>
      <c r="D246" s="35" t="s">
        <v>196</v>
      </c>
      <c r="E246" s="36" t="n">
        <v>33913</v>
      </c>
      <c r="F246" s="36" t="n">
        <v>10407</v>
      </c>
      <c r="G246" s="37" t="n">
        <v>46211</v>
      </c>
      <c r="H246" s="35" t="s">
        <v>443</v>
      </c>
      <c r="I246" s="35" t="s">
        <v>427</v>
      </c>
      <c r="J246" s="36" t="n">
        <v>2026</v>
      </c>
      <c r="K246" s="38" t="n">
        <v>44252.74</v>
      </c>
      <c r="L246" s="37" t="n">
        <v>46227</v>
      </c>
      <c r="M246" s="35" t="n">
        <v>0.04</v>
      </c>
      <c r="N246" s="35"/>
      <c r="O246" s="35" t="s">
        <v>188</v>
      </c>
      <c r="P246" s="35"/>
      <c r="Q246" s="37" t="n">
        <v>46231</v>
      </c>
      <c r="R246" s="35" t="s">
        <v>208</v>
      </c>
    </row>
    <row r="247" customFormat="false" ht="15" hidden="false" customHeight="false" outlineLevel="0" collapsed="false">
      <c r="A247" s="35" t="s">
        <v>194</v>
      </c>
      <c r="B247" s="35" t="s">
        <v>195</v>
      </c>
      <c r="C247" s="35" t="s">
        <v>184</v>
      </c>
      <c r="D247" s="35" t="s">
        <v>196</v>
      </c>
      <c r="E247" s="36" t="n">
        <v>33913</v>
      </c>
      <c r="F247" s="36" t="n">
        <v>10410</v>
      </c>
      <c r="G247" s="37" t="n">
        <v>46211</v>
      </c>
      <c r="H247" s="35" t="s">
        <v>444</v>
      </c>
      <c r="I247" s="35" t="s">
        <v>427</v>
      </c>
      <c r="J247" s="36" t="n">
        <v>2026</v>
      </c>
      <c r="K247" s="38" t="n">
        <v>14841.02</v>
      </c>
      <c r="L247" s="37" t="n">
        <v>46227</v>
      </c>
      <c r="M247" s="35" t="n">
        <v>0.22</v>
      </c>
      <c r="N247" s="35"/>
      <c r="O247" s="35" t="s">
        <v>188</v>
      </c>
      <c r="P247" s="35"/>
      <c r="Q247" s="37" t="n">
        <v>46231</v>
      </c>
      <c r="R247" s="35"/>
    </row>
    <row r="248" customFormat="false" ht="15" hidden="false" customHeight="false" outlineLevel="0" collapsed="false">
      <c r="A248" s="35" t="s">
        <v>219</v>
      </c>
      <c r="B248" s="35" t="s">
        <v>206</v>
      </c>
      <c r="C248" s="35" t="s">
        <v>184</v>
      </c>
      <c r="D248" s="35" t="s">
        <v>196</v>
      </c>
      <c r="E248" s="36" t="n">
        <v>40169</v>
      </c>
      <c r="F248" s="36" t="n">
        <v>10417</v>
      </c>
      <c r="G248" s="37" t="n">
        <v>46216</v>
      </c>
      <c r="H248" s="35" t="n">
        <v>13790</v>
      </c>
      <c r="I248" s="35" t="s">
        <v>427</v>
      </c>
      <c r="J248" s="36" t="n">
        <v>2026</v>
      </c>
      <c r="K248" s="38" t="n">
        <v>28545.36</v>
      </c>
      <c r="L248" s="37" t="n">
        <v>46227</v>
      </c>
      <c r="M248" s="35" t="n">
        <v>0.0375</v>
      </c>
      <c r="N248" s="35"/>
      <c r="O248" s="35" t="s">
        <v>188</v>
      </c>
      <c r="P248" s="35"/>
      <c r="Q248" s="37" t="n">
        <v>46231</v>
      </c>
      <c r="R248" s="35"/>
    </row>
    <row r="249" customFormat="false" ht="15" hidden="false" customHeight="false" outlineLevel="0" collapsed="false">
      <c r="A249" s="35" t="s">
        <v>219</v>
      </c>
      <c r="B249" s="35" t="s">
        <v>220</v>
      </c>
      <c r="C249" s="35" t="s">
        <v>184</v>
      </c>
      <c r="D249" s="35" t="s">
        <v>196</v>
      </c>
      <c r="E249" s="36" t="n">
        <v>40169</v>
      </c>
      <c r="F249" s="36" t="n">
        <v>10415</v>
      </c>
      <c r="G249" s="37" t="n">
        <v>46217</v>
      </c>
      <c r="H249" s="35" t="s">
        <v>445</v>
      </c>
      <c r="I249" s="35" t="s">
        <v>427</v>
      </c>
      <c r="J249" s="36" t="n">
        <v>2026</v>
      </c>
      <c r="K249" s="38" t="n">
        <v>13638.12</v>
      </c>
      <c r="L249" s="37" t="n">
        <v>46227</v>
      </c>
      <c r="M249" s="35" t="n">
        <v>0.12</v>
      </c>
      <c r="N249" s="35"/>
      <c r="O249" s="35" t="s">
        <v>188</v>
      </c>
      <c r="P249" s="35" t="s">
        <v>446</v>
      </c>
      <c r="Q249" s="37" t="n">
        <v>46231</v>
      </c>
      <c r="R249" s="35" t="s">
        <v>222</v>
      </c>
    </row>
    <row r="250" customFormat="false" ht="15" hidden="false" customHeight="false" outlineLevel="0" collapsed="false">
      <c r="A250" s="35" t="s">
        <v>194</v>
      </c>
      <c r="B250" s="35" t="s">
        <v>203</v>
      </c>
      <c r="C250" s="35" t="s">
        <v>184</v>
      </c>
      <c r="D250" s="35" t="s">
        <v>196</v>
      </c>
      <c r="E250" s="36" t="n">
        <v>33913</v>
      </c>
      <c r="F250" s="36" t="n">
        <v>7893</v>
      </c>
      <c r="G250" s="37" t="n">
        <v>46218</v>
      </c>
      <c r="H250" s="35" t="s">
        <v>447</v>
      </c>
      <c r="I250" s="35" t="s">
        <v>427</v>
      </c>
      <c r="J250" s="36" t="n">
        <v>2026</v>
      </c>
      <c r="K250" s="38" t="n">
        <v>21.96</v>
      </c>
      <c r="L250" s="37" t="n">
        <v>46227</v>
      </c>
      <c r="M250" s="35" t="n">
        <v>0.22</v>
      </c>
      <c r="N250" s="35"/>
      <c r="O250" s="35" t="s">
        <v>188</v>
      </c>
      <c r="P250" s="35"/>
      <c r="Q250" s="37" t="n">
        <v>46231</v>
      </c>
      <c r="R250" s="35"/>
    </row>
    <row r="251" customFormat="false" ht="15" hidden="false" customHeight="false" outlineLevel="0" collapsed="false">
      <c r="A251" s="35" t="s">
        <v>194</v>
      </c>
      <c r="B251" s="35" t="s">
        <v>206</v>
      </c>
      <c r="C251" s="35" t="s">
        <v>184</v>
      </c>
      <c r="D251" s="35" t="s">
        <v>196</v>
      </c>
      <c r="E251" s="36" t="n">
        <v>33913</v>
      </c>
      <c r="F251" s="36" t="n">
        <v>10407</v>
      </c>
      <c r="G251" s="37" t="n">
        <v>46218</v>
      </c>
      <c r="H251" s="35" t="s">
        <v>448</v>
      </c>
      <c r="I251" s="35" t="s">
        <v>427</v>
      </c>
      <c r="J251" s="36" t="n">
        <v>2026</v>
      </c>
      <c r="K251" s="38" t="n">
        <v>36242.81</v>
      </c>
      <c r="L251" s="37" t="n">
        <v>46227</v>
      </c>
      <c r="M251" s="35" t="n">
        <v>0.04</v>
      </c>
      <c r="N251" s="35"/>
      <c r="O251" s="35" t="s">
        <v>188</v>
      </c>
      <c r="P251" s="35"/>
      <c r="Q251" s="37" t="n">
        <v>46231</v>
      </c>
      <c r="R251" s="35" t="s">
        <v>208</v>
      </c>
    </row>
    <row r="252" customFormat="false" ht="15" hidden="false" customHeight="false" outlineLevel="0" collapsed="false">
      <c r="A252" s="35" t="s">
        <v>194</v>
      </c>
      <c r="B252" s="35" t="s">
        <v>195</v>
      </c>
      <c r="C252" s="35" t="s">
        <v>184</v>
      </c>
      <c r="D252" s="35" t="s">
        <v>196</v>
      </c>
      <c r="E252" s="36" t="n">
        <v>33913</v>
      </c>
      <c r="F252" s="36" t="n">
        <v>10410</v>
      </c>
      <c r="G252" s="37" t="n">
        <v>46218</v>
      </c>
      <c r="H252" s="35" t="s">
        <v>449</v>
      </c>
      <c r="I252" s="35" t="s">
        <v>427</v>
      </c>
      <c r="J252" s="36" t="n">
        <v>2026</v>
      </c>
      <c r="K252" s="38" t="n">
        <v>16613.66</v>
      </c>
      <c r="L252" s="37" t="n">
        <v>46227</v>
      </c>
      <c r="M252" s="35" t="n">
        <v>0.22</v>
      </c>
      <c r="N252" s="35"/>
      <c r="O252" s="35" t="s">
        <v>188</v>
      </c>
      <c r="P252" s="35"/>
      <c r="Q252" s="37" t="n">
        <v>46231</v>
      </c>
      <c r="R252" s="35"/>
    </row>
    <row r="253" customFormat="false" ht="15" hidden="false" customHeight="false" outlineLevel="0" collapsed="false">
      <c r="A253" s="35" t="s">
        <v>194</v>
      </c>
      <c r="B253" s="35" t="s">
        <v>195</v>
      </c>
      <c r="C253" s="35" t="s">
        <v>184</v>
      </c>
      <c r="D253" s="35" t="s">
        <v>196</v>
      </c>
      <c r="E253" s="36" t="n">
        <v>33913</v>
      </c>
      <c r="F253" s="36" t="n">
        <v>10410</v>
      </c>
      <c r="G253" s="37" t="n">
        <v>46218</v>
      </c>
      <c r="H253" s="35" t="s">
        <v>450</v>
      </c>
      <c r="I253" s="35" t="s">
        <v>427</v>
      </c>
      <c r="J253" s="36" t="n">
        <v>2026</v>
      </c>
      <c r="K253" s="38" t="n">
        <v>37.4</v>
      </c>
      <c r="L253" s="37" t="n">
        <v>46227</v>
      </c>
      <c r="M253" s="35" t="n">
        <v>0.22</v>
      </c>
      <c r="N253" s="35"/>
      <c r="O253" s="35" t="s">
        <v>188</v>
      </c>
      <c r="P253" s="35"/>
      <c r="Q253" s="37" t="n">
        <v>46231</v>
      </c>
      <c r="R253" s="35"/>
    </row>
    <row r="254" customFormat="false" ht="15" hidden="false" customHeight="false" outlineLevel="0" collapsed="false">
      <c r="A254" s="35" t="s">
        <v>219</v>
      </c>
      <c r="B254" s="35" t="s">
        <v>206</v>
      </c>
      <c r="C254" s="35" t="s">
        <v>184</v>
      </c>
      <c r="D254" s="35" t="s">
        <v>196</v>
      </c>
      <c r="E254" s="36" t="n">
        <v>40169</v>
      </c>
      <c r="F254" s="36" t="n">
        <v>10417</v>
      </c>
      <c r="G254" s="37" t="n">
        <v>46223</v>
      </c>
      <c r="H254" s="35" t="n">
        <v>13791</v>
      </c>
      <c r="I254" s="35" t="s">
        <v>427</v>
      </c>
      <c r="J254" s="36" t="n">
        <v>2026</v>
      </c>
      <c r="K254" s="38" t="n">
        <v>35712.15</v>
      </c>
      <c r="L254" s="37" t="n">
        <v>46227</v>
      </c>
      <c r="M254" s="35" t="n">
        <v>0.0375</v>
      </c>
      <c r="N254" s="35"/>
      <c r="O254" s="35" t="s">
        <v>188</v>
      </c>
      <c r="P254" s="35" t="s">
        <v>451</v>
      </c>
      <c r="Q254" s="37" t="n">
        <v>46231</v>
      </c>
      <c r="R254" s="35"/>
    </row>
    <row r="255" customFormat="false" ht="15" hidden="false" customHeight="false" outlineLevel="0" collapsed="false">
      <c r="A255" s="35" t="s">
        <v>219</v>
      </c>
      <c r="B255" s="35" t="s">
        <v>220</v>
      </c>
      <c r="C255" s="35" t="s">
        <v>184</v>
      </c>
      <c r="D255" s="35" t="s">
        <v>196</v>
      </c>
      <c r="E255" s="36" t="n">
        <v>40169</v>
      </c>
      <c r="F255" s="36" t="n">
        <v>10415</v>
      </c>
      <c r="G255" s="37" t="n">
        <v>46223</v>
      </c>
      <c r="H255" s="35" t="s">
        <v>452</v>
      </c>
      <c r="I255" s="35" t="s">
        <v>427</v>
      </c>
      <c r="J255" s="36" t="n">
        <v>2026</v>
      </c>
      <c r="K255" s="38" t="n">
        <v>12087.74</v>
      </c>
      <c r="L255" s="37" t="n">
        <v>46227</v>
      </c>
      <c r="M255" s="35" t="n">
        <v>0.12</v>
      </c>
      <c r="N255" s="35"/>
      <c r="O255" s="35" t="s">
        <v>188</v>
      </c>
      <c r="P255" s="35"/>
      <c r="Q255" s="37" t="n">
        <v>46231</v>
      </c>
      <c r="R255" s="35" t="s">
        <v>222</v>
      </c>
    </row>
    <row r="256" customFormat="false" ht="15" hidden="false" customHeight="false" outlineLevel="0" collapsed="false">
      <c r="A256" s="35" t="s">
        <v>248</v>
      </c>
      <c r="B256" s="35" t="s">
        <v>249</v>
      </c>
      <c r="C256" s="35" t="s">
        <v>184</v>
      </c>
      <c r="D256" s="35" t="s">
        <v>196</v>
      </c>
      <c r="E256" s="36" t="n">
        <v>67555</v>
      </c>
      <c r="F256" s="36" t="n">
        <v>10423</v>
      </c>
      <c r="G256" s="37" t="n">
        <v>46208</v>
      </c>
      <c r="H256" s="35" t="s">
        <v>453</v>
      </c>
      <c r="I256" s="35" t="s">
        <v>364</v>
      </c>
      <c r="J256" s="36" t="n">
        <v>2026</v>
      </c>
      <c r="K256" s="38" t="n">
        <v>9123.08</v>
      </c>
      <c r="L256" s="37" t="n">
        <v>46230</v>
      </c>
      <c r="M256" s="35" t="n">
        <v>9012.86</v>
      </c>
      <c r="N256" s="35"/>
      <c r="O256" s="35" t="s">
        <v>188</v>
      </c>
      <c r="P256" s="35"/>
      <c r="Q256" s="37" t="n">
        <v>46231</v>
      </c>
      <c r="R256" s="35"/>
    </row>
    <row r="257" customFormat="false" ht="15" hidden="false" customHeight="false" outlineLevel="0" collapsed="false">
      <c r="A257" s="35" t="s">
        <v>219</v>
      </c>
      <c r="B257" s="35" t="s">
        <v>340</v>
      </c>
      <c r="C257" s="35" t="s">
        <v>184</v>
      </c>
      <c r="D257" s="35" t="s">
        <v>196</v>
      </c>
      <c r="E257" s="36" t="n">
        <v>40169</v>
      </c>
      <c r="F257" s="36" t="n">
        <v>10418</v>
      </c>
      <c r="G257" s="37" t="n">
        <v>46226</v>
      </c>
      <c r="H257" s="35" t="n">
        <v>13796</v>
      </c>
      <c r="I257" s="35" t="s">
        <v>364</v>
      </c>
      <c r="J257" s="36" t="n">
        <v>2026</v>
      </c>
      <c r="K257" s="38" t="n">
        <v>40865.79</v>
      </c>
      <c r="L257" s="37" t="n">
        <v>46230</v>
      </c>
      <c r="M257" s="35" t="s">
        <v>187</v>
      </c>
      <c r="N257" s="35"/>
      <c r="O257" s="35" t="s">
        <v>188</v>
      </c>
      <c r="P257" s="35" t="s">
        <v>454</v>
      </c>
      <c r="Q257" s="37" t="n">
        <v>46231</v>
      </c>
      <c r="R257" s="35" t="s">
        <v>342</v>
      </c>
    </row>
    <row r="258" customFormat="false" ht="15" hidden="false" customHeight="false" outlineLevel="0" collapsed="false">
      <c r="A258" s="35" t="s">
        <v>219</v>
      </c>
      <c r="B258" s="35" t="s">
        <v>345</v>
      </c>
      <c r="C258" s="35" t="s">
        <v>184</v>
      </c>
      <c r="D258" s="35" t="s">
        <v>196</v>
      </c>
      <c r="E258" s="36" t="n">
        <v>40169</v>
      </c>
      <c r="F258" s="36" t="n">
        <v>10419</v>
      </c>
      <c r="G258" s="37" t="n">
        <v>46226</v>
      </c>
      <c r="H258" s="35" t="n">
        <v>13795</v>
      </c>
      <c r="I258" s="35" t="s">
        <v>427</v>
      </c>
      <c r="J258" s="36" t="n">
        <v>2026</v>
      </c>
      <c r="K258" s="38" t="n">
        <v>500</v>
      </c>
      <c r="L258" s="37" t="n">
        <v>46230</v>
      </c>
      <c r="M258" s="35" t="s">
        <v>187</v>
      </c>
      <c r="N258" s="35"/>
      <c r="O258" s="35" t="s">
        <v>188</v>
      </c>
      <c r="P258" s="35" t="s">
        <v>455</v>
      </c>
      <c r="Q258" s="37" t="n">
        <v>46233</v>
      </c>
      <c r="R258" s="35" t="s">
        <v>342</v>
      </c>
    </row>
    <row r="259" customFormat="false" ht="15" hidden="false" customHeight="false" outlineLevel="0" collapsed="false">
      <c r="A259" s="35" t="s">
        <v>219</v>
      </c>
      <c r="B259" s="35" t="s">
        <v>343</v>
      </c>
      <c r="C259" s="35" t="s">
        <v>184</v>
      </c>
      <c r="D259" s="35" t="s">
        <v>196</v>
      </c>
      <c r="E259" s="36" t="n">
        <v>40169</v>
      </c>
      <c r="F259" s="36" t="n">
        <v>10420</v>
      </c>
      <c r="G259" s="37" t="n">
        <v>46226</v>
      </c>
      <c r="H259" s="35" t="n">
        <v>13793</v>
      </c>
      <c r="I259" s="35" t="s">
        <v>456</v>
      </c>
      <c r="J259" s="36" t="n">
        <v>2026</v>
      </c>
      <c r="K259" s="38" t="n">
        <v>60</v>
      </c>
      <c r="L259" s="37" t="n">
        <v>46230</v>
      </c>
      <c r="M259" s="35" t="s">
        <v>344</v>
      </c>
      <c r="N259" s="35"/>
      <c r="O259" s="35" t="s">
        <v>188</v>
      </c>
      <c r="P259" s="35" t="s">
        <v>457</v>
      </c>
      <c r="Q259" s="37" t="n">
        <v>46231</v>
      </c>
      <c r="R259" s="35"/>
    </row>
    <row r="260" customFormat="false" ht="15" hidden="false" customHeight="false" outlineLevel="0" collapsed="false">
      <c r="A260" s="35" t="s">
        <v>219</v>
      </c>
      <c r="B260" s="35" t="s">
        <v>345</v>
      </c>
      <c r="C260" s="35" t="s">
        <v>184</v>
      </c>
      <c r="D260" s="35" t="s">
        <v>196</v>
      </c>
      <c r="E260" s="36" t="n">
        <v>40169</v>
      </c>
      <c r="F260" s="36" t="n">
        <v>10419</v>
      </c>
      <c r="G260" s="37" t="n">
        <v>46226</v>
      </c>
      <c r="H260" s="35" t="n">
        <v>13792</v>
      </c>
      <c r="I260" s="35" t="s">
        <v>427</v>
      </c>
      <c r="J260" s="36" t="n">
        <v>2026</v>
      </c>
      <c r="K260" s="38" t="n">
        <v>22410.09</v>
      </c>
      <c r="L260" s="37" t="n">
        <v>46230</v>
      </c>
      <c r="M260" s="35" t="s">
        <v>187</v>
      </c>
      <c r="N260" s="35"/>
      <c r="O260" s="35" t="s">
        <v>188</v>
      </c>
      <c r="P260" s="35" t="s">
        <v>455</v>
      </c>
      <c r="Q260" s="37" t="n">
        <v>46233</v>
      </c>
      <c r="R260" s="35" t="s">
        <v>342</v>
      </c>
    </row>
    <row r="261" customFormat="false" ht="15" hidden="false" customHeight="false" outlineLevel="0" collapsed="false">
      <c r="A261" s="35" t="s">
        <v>219</v>
      </c>
      <c r="B261" s="35" t="s">
        <v>340</v>
      </c>
      <c r="C261" s="35" t="s">
        <v>184</v>
      </c>
      <c r="D261" s="35" t="s">
        <v>196</v>
      </c>
      <c r="E261" s="36" t="n">
        <v>40169</v>
      </c>
      <c r="F261" s="36" t="n">
        <v>10418</v>
      </c>
      <c r="G261" s="37" t="n">
        <v>46226</v>
      </c>
      <c r="H261" s="35" t="n">
        <v>13798</v>
      </c>
      <c r="I261" s="35" t="s">
        <v>456</v>
      </c>
      <c r="J261" s="36" t="n">
        <v>2026</v>
      </c>
      <c r="K261" s="38" t="n">
        <v>32303.19</v>
      </c>
      <c r="L261" s="37" t="n">
        <v>46230</v>
      </c>
      <c r="M261" s="35" t="s">
        <v>187</v>
      </c>
      <c r="N261" s="35"/>
      <c r="O261" s="35" t="s">
        <v>188</v>
      </c>
      <c r="P261" s="35" t="s">
        <v>458</v>
      </c>
      <c r="Q261" s="37" t="n">
        <v>46231</v>
      </c>
      <c r="R261" s="35" t="s">
        <v>342</v>
      </c>
    </row>
    <row r="262" customFormat="false" ht="15" hidden="false" customHeight="false" outlineLevel="0" collapsed="false">
      <c r="A262" s="35" t="s">
        <v>219</v>
      </c>
      <c r="B262" s="35" t="s">
        <v>345</v>
      </c>
      <c r="C262" s="35" t="s">
        <v>184</v>
      </c>
      <c r="D262" s="35" t="s">
        <v>196</v>
      </c>
      <c r="E262" s="36" t="n">
        <v>40169</v>
      </c>
      <c r="F262" s="36" t="n">
        <v>10419</v>
      </c>
      <c r="G262" s="37" t="n">
        <v>46226</v>
      </c>
      <c r="H262" s="35" t="n">
        <v>13794</v>
      </c>
      <c r="I262" s="35" t="s">
        <v>456</v>
      </c>
      <c r="J262" s="36" t="n">
        <v>2026</v>
      </c>
      <c r="K262" s="38" t="n">
        <v>394.13</v>
      </c>
      <c r="L262" s="37" t="n">
        <v>46230</v>
      </c>
      <c r="M262" s="35" t="s">
        <v>187</v>
      </c>
      <c r="N262" s="35"/>
      <c r="O262" s="35" t="s">
        <v>188</v>
      </c>
      <c r="P262" s="35" t="s">
        <v>459</v>
      </c>
      <c r="Q262" s="37" t="n">
        <v>46233</v>
      </c>
      <c r="R262" s="35" t="s">
        <v>342</v>
      </c>
    </row>
    <row r="263" customFormat="false" ht="15" hidden="false" customHeight="false" outlineLevel="0" collapsed="false">
      <c r="A263" s="35" t="s">
        <v>219</v>
      </c>
      <c r="B263" s="35" t="s">
        <v>345</v>
      </c>
      <c r="C263" s="35" t="s">
        <v>184</v>
      </c>
      <c r="D263" s="35" t="s">
        <v>196</v>
      </c>
      <c r="E263" s="36" t="n">
        <v>40169</v>
      </c>
      <c r="F263" s="36" t="n">
        <v>10419</v>
      </c>
      <c r="G263" s="37" t="n">
        <v>46226</v>
      </c>
      <c r="H263" s="35" t="n">
        <v>13797</v>
      </c>
      <c r="I263" s="35" t="s">
        <v>456</v>
      </c>
      <c r="J263" s="36" t="n">
        <v>2026</v>
      </c>
      <c r="K263" s="38" t="n">
        <v>7523.94</v>
      </c>
      <c r="L263" s="37" t="n">
        <v>46230</v>
      </c>
      <c r="M263" s="35" t="s">
        <v>187</v>
      </c>
      <c r="N263" s="35"/>
      <c r="O263" s="35" t="s">
        <v>188</v>
      </c>
      <c r="P263" s="35" t="s">
        <v>459</v>
      </c>
      <c r="Q263" s="37" t="n">
        <v>46233</v>
      </c>
      <c r="R263" s="35" t="s">
        <v>342</v>
      </c>
    </row>
    <row r="264" customFormat="false" ht="15" hidden="false" customHeight="false" outlineLevel="0" collapsed="false">
      <c r="A264" s="35" t="s">
        <v>248</v>
      </c>
      <c r="B264" s="35" t="s">
        <v>249</v>
      </c>
      <c r="C264" s="35" t="s">
        <v>184</v>
      </c>
      <c r="D264" s="35" t="s">
        <v>196</v>
      </c>
      <c r="E264" s="36" t="n">
        <v>67555</v>
      </c>
      <c r="F264" s="36" t="n">
        <v>10423</v>
      </c>
      <c r="G264" s="37" t="n">
        <v>46208</v>
      </c>
      <c r="H264" s="35" t="s">
        <v>460</v>
      </c>
      <c r="I264" s="35" t="s">
        <v>364</v>
      </c>
      <c r="J264" s="36" t="n">
        <v>2026</v>
      </c>
      <c r="K264" s="38" t="n">
        <v>11769.02</v>
      </c>
      <c r="L264" s="37" t="n">
        <v>46234</v>
      </c>
      <c r="M264" s="35" t="n">
        <v>9012.86</v>
      </c>
      <c r="N264" s="35"/>
      <c r="O264" s="35" t="s">
        <v>188</v>
      </c>
      <c r="P264" s="35"/>
      <c r="Q264" s="37" t="n">
        <v>46237</v>
      </c>
      <c r="R264" s="35"/>
    </row>
    <row r="265" customFormat="false" ht="15" hidden="false" customHeight="false" outlineLevel="0" collapsed="false">
      <c r="A265" s="35" t="s">
        <v>127</v>
      </c>
      <c r="B265" s="35" t="s">
        <v>228</v>
      </c>
      <c r="C265" s="35" t="s">
        <v>229</v>
      </c>
      <c r="D265" s="35" t="s">
        <v>210</v>
      </c>
      <c r="E265" s="36" t="n">
        <v>69911</v>
      </c>
      <c r="F265" s="36" t="n">
        <v>10138</v>
      </c>
      <c r="G265" s="37" t="n">
        <v>46211</v>
      </c>
      <c r="H265" s="35" t="n">
        <v>422</v>
      </c>
      <c r="I265" s="35" t="s">
        <v>427</v>
      </c>
      <c r="J265" s="36" t="n">
        <v>2026</v>
      </c>
      <c r="K265" s="38" t="n">
        <v>2600</v>
      </c>
      <c r="L265" s="37" t="n">
        <v>46234</v>
      </c>
      <c r="M265" s="35" t="n">
        <v>19684.5</v>
      </c>
      <c r="N265" s="35"/>
      <c r="O265" s="35" t="s">
        <v>188</v>
      </c>
      <c r="P265" s="35"/>
      <c r="Q265" s="37" t="n">
        <v>46237</v>
      </c>
      <c r="R265" s="35"/>
    </row>
    <row r="266" customFormat="false" ht="15" hidden="false" customHeight="false" outlineLevel="0" collapsed="false">
      <c r="A266" s="35" t="s">
        <v>147</v>
      </c>
      <c r="B266" s="35" t="s">
        <v>192</v>
      </c>
      <c r="C266" s="35" t="s">
        <v>193</v>
      </c>
      <c r="D266" s="35" t="n">
        <v>0</v>
      </c>
      <c r="E266" s="36" t="n">
        <v>22104</v>
      </c>
      <c r="F266" s="36" t="n">
        <v>10783</v>
      </c>
      <c r="G266" s="37" t="n">
        <v>46213</v>
      </c>
      <c r="H266" s="35" t="n">
        <v>100105782</v>
      </c>
      <c r="I266" s="35" t="s">
        <v>364</v>
      </c>
      <c r="J266" s="36" t="n">
        <v>2026</v>
      </c>
      <c r="K266" s="38" t="n">
        <v>35181.55</v>
      </c>
      <c r="L266" s="37" t="n">
        <v>46234</v>
      </c>
      <c r="M266" s="35" t="n">
        <v>34125</v>
      </c>
      <c r="N266" s="35"/>
      <c r="O266" s="35" t="s">
        <v>188</v>
      </c>
      <c r="P266" s="35"/>
      <c r="Q266" s="37" t="n">
        <v>46237</v>
      </c>
      <c r="R266" s="35"/>
    </row>
    <row r="267" customFormat="false" ht="15" hidden="false" customHeight="false" outlineLevel="0" collapsed="false">
      <c r="A267" s="35" t="s">
        <v>147</v>
      </c>
      <c r="B267" s="35" t="s">
        <v>148</v>
      </c>
      <c r="C267" s="35" t="s">
        <v>213</v>
      </c>
      <c r="D267" s="35" t="s">
        <v>227</v>
      </c>
      <c r="E267" s="36" t="n">
        <v>22104</v>
      </c>
      <c r="F267" s="36" t="n">
        <v>10782</v>
      </c>
      <c r="G267" s="37" t="n">
        <v>46213</v>
      </c>
      <c r="H267" s="35" t="n">
        <v>400018413</v>
      </c>
      <c r="I267" s="35" t="s">
        <v>364</v>
      </c>
      <c r="J267" s="36" t="n">
        <v>2026</v>
      </c>
      <c r="K267" s="38" t="n">
        <v>148112.25</v>
      </c>
      <c r="L267" s="37" t="n">
        <v>46234</v>
      </c>
      <c r="M267" s="35" t="s">
        <v>187</v>
      </c>
      <c r="N267" s="35"/>
      <c r="O267" s="35" t="s">
        <v>188</v>
      </c>
      <c r="P267" s="35"/>
      <c r="Q267" s="37" t="n">
        <v>46237</v>
      </c>
      <c r="R267" s="35" t="s">
        <v>265</v>
      </c>
    </row>
    <row r="268" customFormat="false" ht="15" hidden="false" customHeight="false" outlineLevel="0" collapsed="false">
      <c r="A268" s="35" t="s">
        <v>194</v>
      </c>
      <c r="B268" s="35" t="s">
        <v>206</v>
      </c>
      <c r="C268" s="35" t="s">
        <v>184</v>
      </c>
      <c r="D268" s="35" t="s">
        <v>196</v>
      </c>
      <c r="E268" s="36" t="n">
        <v>33913</v>
      </c>
      <c r="F268" s="36" t="n">
        <v>7893</v>
      </c>
      <c r="G268" s="37" t="n">
        <v>46225</v>
      </c>
      <c r="H268" s="35" t="s">
        <v>461</v>
      </c>
      <c r="I268" s="35" t="s">
        <v>427</v>
      </c>
      <c r="J268" s="36" t="n">
        <v>2026</v>
      </c>
      <c r="K268" s="38" t="n">
        <v>21.99</v>
      </c>
      <c r="L268" s="37" t="n">
        <v>46234</v>
      </c>
      <c r="M268" s="35" t="n">
        <v>0.04</v>
      </c>
      <c r="N268" s="35"/>
      <c r="O268" s="35" t="s">
        <v>188</v>
      </c>
      <c r="P268" s="35"/>
      <c r="Q268" s="37" t="n">
        <v>46237</v>
      </c>
      <c r="R268" s="35" t="s">
        <v>208</v>
      </c>
    </row>
    <row r="269" customFormat="false" ht="15" hidden="false" customHeight="false" outlineLevel="0" collapsed="false">
      <c r="A269" s="35" t="s">
        <v>194</v>
      </c>
      <c r="B269" s="35" t="s">
        <v>195</v>
      </c>
      <c r="C269" s="35" t="s">
        <v>184</v>
      </c>
      <c r="D269" s="35" t="s">
        <v>196</v>
      </c>
      <c r="E269" s="36" t="n">
        <v>33913</v>
      </c>
      <c r="F269" s="36" t="n">
        <v>10410</v>
      </c>
      <c r="G269" s="37" t="n">
        <v>46225</v>
      </c>
      <c r="H269" s="35" t="s">
        <v>462</v>
      </c>
      <c r="I269" s="35" t="s">
        <v>427</v>
      </c>
      <c r="J269" s="36" t="n">
        <v>2026</v>
      </c>
      <c r="K269" s="38" t="n">
        <v>13618.41</v>
      </c>
      <c r="L269" s="37" t="n">
        <v>46234</v>
      </c>
      <c r="M269" s="35" t="n">
        <v>0.22</v>
      </c>
      <c r="N269" s="35"/>
      <c r="O269" s="35" t="s">
        <v>188</v>
      </c>
      <c r="P269" s="35"/>
      <c r="Q269" s="37" t="n">
        <v>46237</v>
      </c>
      <c r="R269" s="35"/>
    </row>
    <row r="270" customFormat="false" ht="15" hidden="false" customHeight="false" outlineLevel="0" collapsed="false">
      <c r="A270" s="35" t="s">
        <v>194</v>
      </c>
      <c r="B270" s="35" t="s">
        <v>206</v>
      </c>
      <c r="C270" s="35" t="s">
        <v>184</v>
      </c>
      <c r="D270" s="35" t="s">
        <v>196</v>
      </c>
      <c r="E270" s="36" t="n">
        <v>33913</v>
      </c>
      <c r="F270" s="36" t="n">
        <v>10407</v>
      </c>
      <c r="G270" s="37" t="n">
        <v>46225</v>
      </c>
      <c r="H270" s="35" t="s">
        <v>463</v>
      </c>
      <c r="I270" s="35" t="s">
        <v>427</v>
      </c>
      <c r="J270" s="36" t="n">
        <v>2026</v>
      </c>
      <c r="K270" s="38" t="n">
        <v>42147.62</v>
      </c>
      <c r="L270" s="37" t="n">
        <v>46234</v>
      </c>
      <c r="M270" s="35" t="n">
        <v>0.04</v>
      </c>
      <c r="N270" s="35"/>
      <c r="O270" s="35" t="s">
        <v>188</v>
      </c>
      <c r="P270" s="35"/>
      <c r="Q270" s="37" t="n">
        <v>46237</v>
      </c>
      <c r="R270" s="35" t="s">
        <v>208</v>
      </c>
    </row>
    <row r="271" customFormat="false" ht="15" hidden="false" customHeight="false" outlineLevel="0" collapsed="false">
      <c r="A271" s="35" t="s">
        <v>219</v>
      </c>
      <c r="B271" s="35" t="s">
        <v>206</v>
      </c>
      <c r="C271" s="35" t="s">
        <v>184</v>
      </c>
      <c r="D271" s="35" t="s">
        <v>196</v>
      </c>
      <c r="E271" s="36" t="n">
        <v>40169</v>
      </c>
      <c r="F271" s="36" t="n">
        <v>10417</v>
      </c>
      <c r="G271" s="37" t="n">
        <v>46230</v>
      </c>
      <c r="H271" s="35" t="n">
        <v>13799</v>
      </c>
      <c r="I271" s="35" t="s">
        <v>427</v>
      </c>
      <c r="J271" s="36" t="n">
        <v>2026</v>
      </c>
      <c r="K271" s="38" t="n">
        <v>31467.29</v>
      </c>
      <c r="L271" s="37" t="n">
        <v>46234</v>
      </c>
      <c r="M271" s="35" t="n">
        <v>0.0375</v>
      </c>
      <c r="N271" s="35"/>
      <c r="O271" s="35" t="s">
        <v>188</v>
      </c>
      <c r="P271" s="35"/>
      <c r="Q271" s="37" t="n">
        <v>46237</v>
      </c>
      <c r="R271" s="35"/>
    </row>
    <row r="272" customFormat="false" ht="15" hidden="false" customHeight="false" outlineLevel="0" collapsed="false">
      <c r="A272" s="35" t="s">
        <v>219</v>
      </c>
      <c r="B272" s="35" t="s">
        <v>220</v>
      </c>
      <c r="C272" s="35" t="s">
        <v>184</v>
      </c>
      <c r="D272" s="35" t="s">
        <v>196</v>
      </c>
      <c r="E272" s="36" t="n">
        <v>10415</v>
      </c>
      <c r="F272" s="36" t="n">
        <v>10415</v>
      </c>
      <c r="G272" s="37" t="n">
        <v>46231</v>
      </c>
      <c r="H272" s="35" t="s">
        <v>464</v>
      </c>
      <c r="I272" s="35" t="s">
        <v>427</v>
      </c>
      <c r="J272" s="36" t="n">
        <v>2026</v>
      </c>
      <c r="K272" s="38" t="n">
        <v>9171.97</v>
      </c>
      <c r="L272" s="37" t="n">
        <v>46234</v>
      </c>
      <c r="M272" s="35" t="n">
        <v>0.12</v>
      </c>
      <c r="N272" s="35"/>
      <c r="O272" s="35" t="s">
        <v>188</v>
      </c>
      <c r="P272" s="35"/>
      <c r="Q272" s="37" t="n">
        <v>46237</v>
      </c>
      <c r="R272" s="35" t="s">
        <v>222</v>
      </c>
    </row>
    <row r="273" customFormat="false" ht="15" hidden="false" customHeight="false" outlineLevel="0" collapsed="false">
      <c r="A273" s="35" t="s">
        <v>237</v>
      </c>
      <c r="B273" s="35" t="s">
        <v>238</v>
      </c>
      <c r="C273" s="35" t="s">
        <v>184</v>
      </c>
      <c r="D273" s="35" t="s">
        <v>185</v>
      </c>
      <c r="E273" s="36" t="n">
        <v>44467</v>
      </c>
      <c r="F273" s="36" t="n">
        <v>10824</v>
      </c>
      <c r="G273" s="37" t="n">
        <v>46237</v>
      </c>
      <c r="H273" s="35" t="s">
        <v>465</v>
      </c>
      <c r="I273" s="35" t="s">
        <v>427</v>
      </c>
      <c r="J273" s="36" t="n">
        <v>2026</v>
      </c>
      <c r="K273" s="38" t="n">
        <v>118608.31</v>
      </c>
      <c r="L273" s="37" t="n">
        <v>46239</v>
      </c>
      <c r="M273" s="35" t="n">
        <v>0.05</v>
      </c>
      <c r="N273" s="35"/>
      <c r="O273" s="35" t="s">
        <v>188</v>
      </c>
      <c r="P273" s="35" t="s">
        <v>466</v>
      </c>
      <c r="Q273" s="37" t="n">
        <v>46240</v>
      </c>
      <c r="R273" s="35"/>
    </row>
    <row r="274" customFormat="false" ht="15" hidden="false" customHeight="false" outlineLevel="0" collapsed="false">
      <c r="A274" s="35" t="s">
        <v>194</v>
      </c>
      <c r="B274" s="35" t="s">
        <v>199</v>
      </c>
      <c r="C274" s="35" t="s">
        <v>184</v>
      </c>
      <c r="D274" s="35" t="s">
        <v>196</v>
      </c>
      <c r="E274" s="36" t="n">
        <v>33913</v>
      </c>
      <c r="F274" s="36" t="n">
        <v>7896</v>
      </c>
      <c r="G274" s="37" t="n">
        <v>46233</v>
      </c>
      <c r="H274" s="35" t="s">
        <v>467</v>
      </c>
      <c r="I274" s="35" t="s">
        <v>427</v>
      </c>
      <c r="J274" s="36" t="n">
        <v>2026</v>
      </c>
      <c r="K274" s="38" t="n">
        <v>39</v>
      </c>
      <c r="L274" s="37" t="n">
        <v>46241</v>
      </c>
      <c r="M274" s="35" t="s">
        <v>201</v>
      </c>
      <c r="N274" s="35"/>
      <c r="O274" s="35" t="s">
        <v>188</v>
      </c>
      <c r="P274" s="35"/>
      <c r="Q274" s="37" t="n">
        <v>46246</v>
      </c>
      <c r="R274" s="35"/>
    </row>
    <row r="275" customFormat="false" ht="15" hidden="false" customHeight="false" outlineLevel="0" collapsed="false">
      <c r="A275" s="35" t="s">
        <v>194</v>
      </c>
      <c r="B275" s="35" t="s">
        <v>195</v>
      </c>
      <c r="C275" s="35" t="s">
        <v>184</v>
      </c>
      <c r="D275" s="35" t="s">
        <v>196</v>
      </c>
      <c r="E275" s="36" t="n">
        <v>33913</v>
      </c>
      <c r="F275" s="36" t="n">
        <v>10410</v>
      </c>
      <c r="G275" s="37" t="n">
        <v>46233</v>
      </c>
      <c r="H275" s="35" t="s">
        <v>468</v>
      </c>
      <c r="I275" s="35" t="s">
        <v>427</v>
      </c>
      <c r="J275" s="36" t="n">
        <v>2026</v>
      </c>
      <c r="K275" s="38" t="n">
        <v>13702.53</v>
      </c>
      <c r="L275" s="37" t="n">
        <v>46241</v>
      </c>
      <c r="M275" s="35" t="n">
        <v>0.22</v>
      </c>
      <c r="N275" s="35"/>
      <c r="O275" s="35" t="s">
        <v>188</v>
      </c>
      <c r="P275" s="35"/>
      <c r="Q275" s="37" t="n">
        <v>46246</v>
      </c>
      <c r="R275" s="35"/>
    </row>
    <row r="276" customFormat="false" ht="15" hidden="false" customHeight="false" outlineLevel="0" collapsed="false">
      <c r="A276" s="35" t="s">
        <v>194</v>
      </c>
      <c r="B276" s="35" t="s">
        <v>206</v>
      </c>
      <c r="C276" s="35" t="s">
        <v>184</v>
      </c>
      <c r="D276" s="35" t="s">
        <v>196</v>
      </c>
      <c r="E276" s="36" t="n">
        <v>33913</v>
      </c>
      <c r="F276" s="36" t="n">
        <v>10407</v>
      </c>
      <c r="G276" s="37" t="n">
        <v>46233</v>
      </c>
      <c r="H276" s="35" t="s">
        <v>469</v>
      </c>
      <c r="I276" s="35" t="s">
        <v>427</v>
      </c>
      <c r="J276" s="36" t="n">
        <v>2026</v>
      </c>
      <c r="K276" s="38" t="n">
        <v>39984.32</v>
      </c>
      <c r="L276" s="37" t="n">
        <v>46241</v>
      </c>
      <c r="M276" s="35" t="n">
        <v>0.04</v>
      </c>
      <c r="N276" s="35"/>
      <c r="O276" s="35" t="s">
        <v>188</v>
      </c>
      <c r="P276" s="35"/>
      <c r="Q276" s="37" t="n">
        <v>46246</v>
      </c>
      <c r="R276" s="35" t="s">
        <v>208</v>
      </c>
    </row>
    <row r="277" customFormat="false" ht="15" hidden="false" customHeight="false" outlineLevel="0" collapsed="false">
      <c r="A277" s="35" t="s">
        <v>127</v>
      </c>
      <c r="B277" s="35" t="s">
        <v>228</v>
      </c>
      <c r="C277" s="35" t="s">
        <v>229</v>
      </c>
      <c r="D277" s="35" t="s">
        <v>210</v>
      </c>
      <c r="E277" s="36" t="n">
        <v>69911</v>
      </c>
      <c r="F277" s="36" t="n">
        <v>10138</v>
      </c>
      <c r="G277" s="37" t="n">
        <v>46235</v>
      </c>
      <c r="H277" s="35" t="n">
        <v>423</v>
      </c>
      <c r="I277" s="35" t="s">
        <v>470</v>
      </c>
      <c r="J277" s="36" t="n">
        <v>2026</v>
      </c>
      <c r="K277" s="38" t="n">
        <v>19684.5</v>
      </c>
      <c r="L277" s="37" t="n">
        <v>46241</v>
      </c>
      <c r="M277" s="35" t="n">
        <v>19684.5</v>
      </c>
      <c r="N277" s="35"/>
      <c r="O277" s="35" t="s">
        <v>188</v>
      </c>
      <c r="P277" s="35"/>
      <c r="Q277" s="37" t="n">
        <v>46246</v>
      </c>
      <c r="R277" s="35"/>
    </row>
    <row r="278" customFormat="false" ht="15" hidden="false" customHeight="false" outlineLevel="0" collapsed="false">
      <c r="A278" s="35" t="s">
        <v>233</v>
      </c>
      <c r="B278" s="35" t="s">
        <v>234</v>
      </c>
      <c r="C278" s="35" t="s">
        <v>184</v>
      </c>
      <c r="D278" s="35" t="s">
        <v>196</v>
      </c>
      <c r="E278" s="36" t="n">
        <v>57104</v>
      </c>
      <c r="F278" s="36" t="n">
        <v>7910</v>
      </c>
      <c r="G278" s="37" t="n">
        <v>46235</v>
      </c>
      <c r="H278" s="35" t="n">
        <v>8202600560</v>
      </c>
      <c r="I278" s="35" t="s">
        <v>427</v>
      </c>
      <c r="J278" s="36" t="n">
        <v>2026</v>
      </c>
      <c r="K278" s="38" t="n">
        <v>8333.93</v>
      </c>
      <c r="L278" s="37" t="n">
        <v>46241</v>
      </c>
      <c r="M278" s="35" t="s">
        <v>187</v>
      </c>
      <c r="N278" s="35"/>
      <c r="O278" s="35" t="s">
        <v>188</v>
      </c>
      <c r="P278" s="35"/>
      <c r="Q278" s="37" t="n">
        <v>46246</v>
      </c>
      <c r="R278" s="35"/>
    </row>
    <row r="279" customFormat="false" ht="15" hidden="false" customHeight="false" outlineLevel="0" collapsed="false">
      <c r="A279" s="35" t="s">
        <v>219</v>
      </c>
      <c r="B279" s="35" t="s">
        <v>206</v>
      </c>
      <c r="C279" s="35" t="s">
        <v>184</v>
      </c>
      <c r="D279" s="35" t="s">
        <v>196</v>
      </c>
      <c r="E279" s="36" t="n">
        <v>40169</v>
      </c>
      <c r="F279" s="36" t="n">
        <v>10417</v>
      </c>
      <c r="G279" s="37" t="n">
        <v>46237</v>
      </c>
      <c r="H279" s="35" t="n">
        <v>13800</v>
      </c>
      <c r="I279" s="35" t="s">
        <v>470</v>
      </c>
      <c r="J279" s="36" t="n">
        <v>2026</v>
      </c>
      <c r="K279" s="38" t="n">
        <v>34929.74</v>
      </c>
      <c r="L279" s="37" t="n">
        <v>46241</v>
      </c>
      <c r="M279" s="35" t="n">
        <v>0.0375</v>
      </c>
      <c r="N279" s="35"/>
      <c r="O279" s="35" t="s">
        <v>188</v>
      </c>
      <c r="P279" s="35"/>
      <c r="Q279" s="37" t="n">
        <v>46246</v>
      </c>
      <c r="R279" s="35"/>
    </row>
    <row r="280" customFormat="false" ht="15" hidden="false" customHeight="false" outlineLevel="0" collapsed="false">
      <c r="A280" s="35" t="s">
        <v>194</v>
      </c>
      <c r="B280" s="35" t="s">
        <v>223</v>
      </c>
      <c r="C280" s="35" t="s">
        <v>184</v>
      </c>
      <c r="D280" s="35" t="s">
        <v>196</v>
      </c>
      <c r="E280" s="36" t="n">
        <v>33913</v>
      </c>
      <c r="F280" s="36" t="n">
        <v>10407</v>
      </c>
      <c r="G280" s="37" t="n">
        <v>46237</v>
      </c>
      <c r="H280" s="35" t="s">
        <v>471</v>
      </c>
      <c r="I280" s="35" t="s">
        <v>427</v>
      </c>
      <c r="J280" s="36" t="n">
        <v>2026</v>
      </c>
      <c r="K280" s="38" t="n">
        <v>32695.95</v>
      </c>
      <c r="L280" s="37" t="n">
        <v>46244</v>
      </c>
      <c r="M280" s="35" t="s">
        <v>245</v>
      </c>
      <c r="N280" s="35"/>
      <c r="O280" s="35" t="s">
        <v>188</v>
      </c>
      <c r="P280" s="35"/>
      <c r="Q280" s="37" t="n">
        <v>46246</v>
      </c>
      <c r="R280" s="35"/>
    </row>
    <row r="281" customFormat="false" ht="15" hidden="false" customHeight="false" outlineLevel="0" collapsed="false">
      <c r="A281" s="35" t="s">
        <v>194</v>
      </c>
      <c r="B281" s="35" t="s">
        <v>246</v>
      </c>
      <c r="C281" s="35" t="s">
        <v>184</v>
      </c>
      <c r="D281" s="35" t="s">
        <v>196</v>
      </c>
      <c r="E281" s="36" t="n">
        <v>33913</v>
      </c>
      <c r="F281" s="36" t="n">
        <v>7894</v>
      </c>
      <c r="G281" s="37" t="n">
        <v>46238</v>
      </c>
      <c r="H281" s="35" t="s">
        <v>472</v>
      </c>
      <c r="I281" s="35" t="s">
        <v>427</v>
      </c>
      <c r="J281" s="36" t="n">
        <v>2026</v>
      </c>
      <c r="K281" s="38" t="n">
        <v>12448.83</v>
      </c>
      <c r="L281" s="37" t="n">
        <v>46244</v>
      </c>
      <c r="M281" s="35" t="n">
        <v>0.04</v>
      </c>
      <c r="N281" s="35"/>
      <c r="O281" s="35" t="s">
        <v>188</v>
      </c>
      <c r="P281" s="35"/>
      <c r="Q281" s="37" t="n">
        <v>46246</v>
      </c>
      <c r="R281" s="35"/>
    </row>
    <row r="282" customFormat="false" ht="15" hidden="false" customHeight="false" outlineLevel="0" collapsed="false">
      <c r="A282" s="35" t="s">
        <v>399</v>
      </c>
      <c r="B282" s="35" t="s">
        <v>402</v>
      </c>
      <c r="C282" s="35" t="s">
        <v>184</v>
      </c>
      <c r="D282" s="35" t="s">
        <v>258</v>
      </c>
      <c r="E282" s="36" t="n">
        <v>38996</v>
      </c>
      <c r="F282" s="36" t="n">
        <v>10479</v>
      </c>
      <c r="G282" s="37" t="n">
        <v>46234</v>
      </c>
      <c r="H282" s="35" t="s">
        <v>473</v>
      </c>
      <c r="I282" s="35" t="s">
        <v>427</v>
      </c>
      <c r="J282" s="36" t="n">
        <v>2026</v>
      </c>
      <c r="K282" s="38" t="n">
        <v>9756.39</v>
      </c>
      <c r="L282" s="37" t="n">
        <v>46245</v>
      </c>
      <c r="M282" s="35" t="n">
        <v>0.1</v>
      </c>
      <c r="N282" s="35"/>
      <c r="O282" s="35" t="s">
        <v>188</v>
      </c>
      <c r="P282" s="35"/>
      <c r="Q282" s="37" t="n">
        <v>46246</v>
      </c>
      <c r="R282" s="35"/>
    </row>
    <row r="283" customFormat="false" ht="15" hidden="false" customHeight="false" outlineLevel="0" collapsed="false">
      <c r="A283" s="35" t="s">
        <v>399</v>
      </c>
      <c r="B283" s="35" t="s">
        <v>402</v>
      </c>
      <c r="C283" s="35" t="s">
        <v>184</v>
      </c>
      <c r="D283" s="35" t="s">
        <v>258</v>
      </c>
      <c r="E283" s="36" t="n">
        <v>38996</v>
      </c>
      <c r="F283" s="36" t="n">
        <v>10479</v>
      </c>
      <c r="G283" s="37" t="n">
        <v>46234</v>
      </c>
      <c r="H283" s="35" t="s">
        <v>474</v>
      </c>
      <c r="I283" s="35" t="s">
        <v>427</v>
      </c>
      <c r="J283" s="36" t="n">
        <v>2026</v>
      </c>
      <c r="K283" s="38" t="n">
        <v>1872.34</v>
      </c>
      <c r="L283" s="37" t="n">
        <v>46245</v>
      </c>
      <c r="M283" s="35" t="n">
        <v>0.1</v>
      </c>
      <c r="N283" s="35"/>
      <c r="O283" s="35" t="s">
        <v>188</v>
      </c>
      <c r="P283" s="35"/>
      <c r="Q283" s="37" t="n">
        <v>46246</v>
      </c>
      <c r="R283" s="35"/>
    </row>
    <row r="284" customFormat="false" ht="15" hidden="false" customHeight="false" outlineLevel="0" collapsed="false">
      <c r="A284" s="35" t="s">
        <v>399</v>
      </c>
      <c r="B284" s="35" t="s">
        <v>402</v>
      </c>
      <c r="C284" s="35" t="s">
        <v>184</v>
      </c>
      <c r="D284" s="35" t="s">
        <v>258</v>
      </c>
      <c r="E284" s="36" t="n">
        <v>38996</v>
      </c>
      <c r="F284" s="36" t="n">
        <v>10479</v>
      </c>
      <c r="G284" s="37" t="n">
        <v>46234</v>
      </c>
      <c r="H284" s="35" t="s">
        <v>475</v>
      </c>
      <c r="I284" s="35" t="s">
        <v>427</v>
      </c>
      <c r="J284" s="36" t="n">
        <v>2026</v>
      </c>
      <c r="K284" s="38" t="n">
        <v>3051.9</v>
      </c>
      <c r="L284" s="37" t="n">
        <v>46245</v>
      </c>
      <c r="M284" s="35" t="n">
        <v>0.1</v>
      </c>
      <c r="N284" s="35"/>
      <c r="O284" s="35" t="s">
        <v>188</v>
      </c>
      <c r="P284" s="35"/>
      <c r="Q284" s="37" t="n">
        <v>46246</v>
      </c>
      <c r="R284" s="35"/>
    </row>
    <row r="285" customFormat="false" ht="15" hidden="false" customHeight="false" outlineLevel="0" collapsed="false">
      <c r="A285" s="35" t="s">
        <v>182</v>
      </c>
      <c r="B285" s="35" t="s">
        <v>183</v>
      </c>
      <c r="C285" s="35" t="s">
        <v>184</v>
      </c>
      <c r="D285" s="35" t="s">
        <v>185</v>
      </c>
      <c r="E285" s="36" t="n">
        <v>74708</v>
      </c>
      <c r="F285" s="36" t="n">
        <v>10118</v>
      </c>
      <c r="G285" s="37" t="n">
        <v>46234</v>
      </c>
      <c r="H285" s="35" t="n">
        <v>1385</v>
      </c>
      <c r="I285" s="35" t="s">
        <v>427</v>
      </c>
      <c r="J285" s="36" t="n">
        <v>2026</v>
      </c>
      <c r="K285" s="38" t="n">
        <v>105193.5</v>
      </c>
      <c r="L285" s="37" t="n">
        <v>46246</v>
      </c>
      <c r="M285" s="35" t="s">
        <v>187</v>
      </c>
      <c r="N285" s="35"/>
      <c r="O285" s="35" t="s">
        <v>188</v>
      </c>
      <c r="P285" s="35"/>
      <c r="Q285" s="37" t="n">
        <v>46246</v>
      </c>
      <c r="R285" s="35" t="s">
        <v>190</v>
      </c>
    </row>
    <row r="286" customFormat="false" ht="15" hidden="false" customHeight="false" outlineLevel="0" collapsed="false">
      <c r="A286" s="35" t="s">
        <v>160</v>
      </c>
      <c r="B286" s="35" t="s">
        <v>476</v>
      </c>
      <c r="C286" s="35" t="s">
        <v>260</v>
      </c>
      <c r="D286" s="35" t="s">
        <v>261</v>
      </c>
      <c r="E286" s="36" t="n">
        <v>75720</v>
      </c>
      <c r="F286" s="36" t="n">
        <v>12088</v>
      </c>
      <c r="G286" s="37" t="n">
        <v>46234</v>
      </c>
      <c r="H286" s="35" t="s">
        <v>477</v>
      </c>
      <c r="I286" s="35" t="s">
        <v>427</v>
      </c>
      <c r="J286" s="36" t="n">
        <v>2026</v>
      </c>
      <c r="K286" s="38" t="n">
        <v>37342</v>
      </c>
      <c r="L286" s="37" t="n">
        <v>46246</v>
      </c>
      <c r="M286" s="35" t="n">
        <v>0.12</v>
      </c>
      <c r="N286" s="35" t="s">
        <v>478</v>
      </c>
      <c r="O286" s="35" t="s">
        <v>188</v>
      </c>
      <c r="P286" s="35" t="s">
        <v>479</v>
      </c>
      <c r="Q286" s="37" t="n">
        <v>46246</v>
      </c>
      <c r="R286" s="35"/>
    </row>
    <row r="287" customFormat="false" ht="15" hidden="false" customHeight="false" outlineLevel="0" collapsed="false">
      <c r="A287" s="35" t="s">
        <v>160</v>
      </c>
      <c r="B287" s="35" t="s">
        <v>476</v>
      </c>
      <c r="C287" s="35" t="s">
        <v>260</v>
      </c>
      <c r="D287" s="35" t="s">
        <v>261</v>
      </c>
      <c r="E287" s="36" t="n">
        <v>75720</v>
      </c>
      <c r="F287" s="36" t="n">
        <v>12088</v>
      </c>
      <c r="G287" s="37" t="n">
        <v>46234</v>
      </c>
      <c r="H287" s="35" t="s">
        <v>480</v>
      </c>
      <c r="I287" s="35" t="s">
        <v>427</v>
      </c>
      <c r="J287" s="36" t="n">
        <v>2026</v>
      </c>
      <c r="K287" s="38" t="n">
        <v>22.42</v>
      </c>
      <c r="L287" s="37" t="n">
        <v>46246</v>
      </c>
      <c r="M287" s="35" t="n">
        <v>0.12</v>
      </c>
      <c r="N287" s="35"/>
      <c r="O287" s="35" t="s">
        <v>188</v>
      </c>
      <c r="P287" s="35" t="s">
        <v>479</v>
      </c>
      <c r="Q287" s="37" t="n">
        <v>46246</v>
      </c>
      <c r="R287" s="35"/>
    </row>
    <row r="288" customFormat="false" ht="15" hidden="false" customHeight="false" outlineLevel="0" collapsed="false">
      <c r="A288" s="35" t="s">
        <v>160</v>
      </c>
      <c r="B288" s="35" t="s">
        <v>476</v>
      </c>
      <c r="C288" s="35" t="s">
        <v>260</v>
      </c>
      <c r="D288" s="35" t="s">
        <v>261</v>
      </c>
      <c r="E288" s="36" t="n">
        <v>75720</v>
      </c>
      <c r="F288" s="36" t="n">
        <v>12088</v>
      </c>
      <c r="G288" s="37" t="n">
        <v>46234</v>
      </c>
      <c r="H288" s="35" t="s">
        <v>481</v>
      </c>
      <c r="I288" s="35" t="s">
        <v>427</v>
      </c>
      <c r="J288" s="36" t="n">
        <v>2026</v>
      </c>
      <c r="K288" s="38" t="n">
        <v>1346.73</v>
      </c>
      <c r="L288" s="37" t="n">
        <v>46246</v>
      </c>
      <c r="M288" s="35" t="n">
        <v>0.12</v>
      </c>
      <c r="N288" s="35"/>
      <c r="O288" s="35" t="s">
        <v>188</v>
      </c>
      <c r="P288" s="35" t="s">
        <v>479</v>
      </c>
      <c r="Q288" s="37" t="n">
        <v>46246</v>
      </c>
      <c r="R288" s="35"/>
    </row>
    <row r="289" customFormat="false" ht="15" hidden="false" customHeight="false" outlineLevel="0" collapsed="false">
      <c r="A289" s="35" t="s">
        <v>160</v>
      </c>
      <c r="B289" s="35" t="s">
        <v>476</v>
      </c>
      <c r="C289" s="35" t="s">
        <v>260</v>
      </c>
      <c r="D289" s="35" t="s">
        <v>261</v>
      </c>
      <c r="E289" s="36" t="n">
        <v>75720</v>
      </c>
      <c r="F289" s="36" t="n">
        <v>12088</v>
      </c>
      <c r="G289" s="37" t="n">
        <v>46234</v>
      </c>
      <c r="H289" s="35" t="s">
        <v>482</v>
      </c>
      <c r="I289" s="35" t="s">
        <v>427</v>
      </c>
      <c r="J289" s="36" t="n">
        <v>2026</v>
      </c>
      <c r="K289" s="38" t="n">
        <v>787.83</v>
      </c>
      <c r="L289" s="37" t="n">
        <v>46246</v>
      </c>
      <c r="M289" s="35" t="n">
        <v>0.12</v>
      </c>
      <c r="N289" s="35"/>
      <c r="O289" s="35" t="s">
        <v>188</v>
      </c>
      <c r="P289" s="35" t="s">
        <v>479</v>
      </c>
      <c r="Q289" s="37" t="n">
        <v>46246</v>
      </c>
      <c r="R289" s="35"/>
    </row>
    <row r="290" customFormat="false" ht="15" hidden="false" customHeight="false" outlineLevel="0" collapsed="false">
      <c r="A290" s="35" t="s">
        <v>160</v>
      </c>
      <c r="B290" s="35" t="s">
        <v>476</v>
      </c>
      <c r="C290" s="35" t="s">
        <v>260</v>
      </c>
      <c r="D290" s="35" t="s">
        <v>261</v>
      </c>
      <c r="E290" s="36" t="n">
        <v>75720</v>
      </c>
      <c r="F290" s="36" t="n">
        <v>12088</v>
      </c>
      <c r="G290" s="37" t="n">
        <v>46234</v>
      </c>
      <c r="H290" s="35" t="s">
        <v>483</v>
      </c>
      <c r="I290" s="35" t="s">
        <v>427</v>
      </c>
      <c r="J290" s="36" t="n">
        <v>2026</v>
      </c>
      <c r="K290" s="38" t="n">
        <v>26908.28</v>
      </c>
      <c r="L290" s="37" t="n">
        <v>46246</v>
      </c>
      <c r="M290" s="35" t="n">
        <v>0.12</v>
      </c>
      <c r="N290" s="35"/>
      <c r="O290" s="35" t="s">
        <v>188</v>
      </c>
      <c r="P290" s="35" t="s">
        <v>479</v>
      </c>
      <c r="Q290" s="37" t="n">
        <v>46246</v>
      </c>
      <c r="R290" s="35"/>
    </row>
    <row r="291" customFormat="false" ht="15" hidden="false" customHeight="false" outlineLevel="0" collapsed="false">
      <c r="A291" s="35" t="s">
        <v>361</v>
      </c>
      <c r="B291" s="35" t="s">
        <v>484</v>
      </c>
      <c r="C291" s="35" t="s">
        <v>184</v>
      </c>
      <c r="D291" s="35" t="s">
        <v>196</v>
      </c>
      <c r="E291" s="36" t="n">
        <v>302</v>
      </c>
      <c r="F291" s="36" t="n">
        <v>7911</v>
      </c>
      <c r="G291" s="37" t="n">
        <v>46210</v>
      </c>
      <c r="H291" s="35" t="n">
        <v>561936</v>
      </c>
      <c r="I291" s="35" t="s">
        <v>364</v>
      </c>
      <c r="J291" s="36" t="n">
        <v>2026</v>
      </c>
      <c r="K291" s="38" t="n">
        <v>1157.5</v>
      </c>
      <c r="L291" s="37" t="n">
        <v>46248</v>
      </c>
      <c r="M291" s="35" t="s">
        <v>187</v>
      </c>
      <c r="N291" s="35"/>
      <c r="O291" s="35" t="s">
        <v>188</v>
      </c>
      <c r="P291" s="35" t="s">
        <v>485</v>
      </c>
      <c r="Q291" s="37" t="n">
        <v>46251</v>
      </c>
      <c r="R291" s="35"/>
    </row>
    <row r="292" customFormat="false" ht="15" hidden="false" customHeight="false" outlineLevel="0" collapsed="false">
      <c r="A292" s="35" t="s">
        <v>232</v>
      </c>
      <c r="B292" s="35" t="s">
        <v>228</v>
      </c>
      <c r="C292" s="35" t="s">
        <v>210</v>
      </c>
      <c r="D292" s="35" t="n">
        <v>0</v>
      </c>
      <c r="E292" s="36" t="n">
        <v>69740</v>
      </c>
      <c r="F292" s="36" t="n">
        <v>8438</v>
      </c>
      <c r="G292" s="37" t="n">
        <v>46237</v>
      </c>
      <c r="H292" s="35" t="n">
        <v>8278</v>
      </c>
      <c r="I292" s="35" t="s">
        <v>470</v>
      </c>
      <c r="J292" s="36" t="n">
        <v>2026</v>
      </c>
      <c r="K292" s="38" t="n">
        <v>43775</v>
      </c>
      <c r="L292" s="37" t="n">
        <v>46248</v>
      </c>
      <c r="M292" s="35" t="n">
        <v>43775</v>
      </c>
      <c r="N292" s="35"/>
      <c r="O292" s="35" t="s">
        <v>188</v>
      </c>
      <c r="P292" s="35"/>
      <c r="Q292" s="37" t="n">
        <v>46248</v>
      </c>
      <c r="R292" s="35"/>
    </row>
    <row r="293" customFormat="false" ht="15" hidden="false" customHeight="false" outlineLevel="0" collapsed="false">
      <c r="A293" s="35" t="s">
        <v>219</v>
      </c>
      <c r="B293" s="35" t="s">
        <v>223</v>
      </c>
      <c r="C293" s="35" t="s">
        <v>184</v>
      </c>
      <c r="D293" s="35" t="s">
        <v>196</v>
      </c>
      <c r="E293" s="36" t="n">
        <v>40169</v>
      </c>
      <c r="F293" s="36" t="n">
        <v>10417</v>
      </c>
      <c r="G293" s="37" t="n">
        <v>46234</v>
      </c>
      <c r="H293" s="35" t="n">
        <v>13829</v>
      </c>
      <c r="I293" s="35" t="s">
        <v>427</v>
      </c>
      <c r="J293" s="36" t="n">
        <v>2026</v>
      </c>
      <c r="K293" s="38" t="n">
        <v>12320</v>
      </c>
      <c r="L293" s="37" t="n">
        <v>46251</v>
      </c>
      <c r="M293" s="35" t="s">
        <v>224</v>
      </c>
      <c r="N293" s="35"/>
      <c r="O293" s="35" t="s">
        <v>188</v>
      </c>
      <c r="P293" s="35" t="s">
        <v>486</v>
      </c>
      <c r="Q293" s="37" t="n">
        <v>46253</v>
      </c>
      <c r="R293" s="35"/>
    </row>
    <row r="294" customFormat="false" ht="15" hidden="false" customHeight="false" outlineLevel="0" collapsed="false">
      <c r="A294" s="35" t="s">
        <v>219</v>
      </c>
      <c r="B294" s="35" t="s">
        <v>206</v>
      </c>
      <c r="C294" s="35" t="s">
        <v>184</v>
      </c>
      <c r="D294" s="35" t="s">
        <v>196</v>
      </c>
      <c r="E294" s="36" t="n">
        <v>40169</v>
      </c>
      <c r="F294" s="36" t="n">
        <v>10417</v>
      </c>
      <c r="G294" s="37" t="n">
        <v>46234</v>
      </c>
      <c r="H294" s="35" t="n">
        <v>13830</v>
      </c>
      <c r="I294" s="35" t="s">
        <v>427</v>
      </c>
      <c r="J294" s="36" t="n">
        <v>2026</v>
      </c>
      <c r="K294" s="38" t="n">
        <v>4410.99</v>
      </c>
      <c r="L294" s="37" t="n">
        <v>46251</v>
      </c>
      <c r="M294" s="35" t="n">
        <v>0.0375</v>
      </c>
      <c r="N294" s="35"/>
      <c r="O294" s="35" t="s">
        <v>188</v>
      </c>
      <c r="P294" s="35" t="s">
        <v>486</v>
      </c>
      <c r="Q294" s="37" t="n">
        <v>46253</v>
      </c>
      <c r="R294" s="35"/>
    </row>
    <row r="295" customFormat="false" ht="15" hidden="false" customHeight="false" outlineLevel="0" collapsed="false">
      <c r="A295" s="35" t="s">
        <v>219</v>
      </c>
      <c r="B295" s="35" t="s">
        <v>220</v>
      </c>
      <c r="C295" s="35" t="s">
        <v>184</v>
      </c>
      <c r="D295" s="35" t="s">
        <v>196</v>
      </c>
      <c r="E295" s="36" t="n">
        <v>40169</v>
      </c>
      <c r="F295" s="36" t="n">
        <v>10415</v>
      </c>
      <c r="G295" s="37" t="n">
        <v>46238</v>
      </c>
      <c r="H295" s="35" t="s">
        <v>487</v>
      </c>
      <c r="I295" s="35" t="s">
        <v>470</v>
      </c>
      <c r="J295" s="36" t="n">
        <v>2026</v>
      </c>
      <c r="K295" s="38" t="n">
        <v>17740.04</v>
      </c>
      <c r="L295" s="37" t="n">
        <v>46251</v>
      </c>
      <c r="M295" s="35" t="n">
        <v>0.12</v>
      </c>
      <c r="N295" s="35"/>
      <c r="O295" s="35" t="s">
        <v>188</v>
      </c>
      <c r="P295" s="35"/>
      <c r="Q295" s="37" t="n">
        <v>46253</v>
      </c>
      <c r="R295" s="35" t="s">
        <v>222</v>
      </c>
    </row>
    <row r="296" customFormat="false" ht="15" hidden="false" customHeight="false" outlineLevel="0" collapsed="false">
      <c r="A296" s="35" t="s">
        <v>121</v>
      </c>
      <c r="B296" s="35" t="s">
        <v>257</v>
      </c>
      <c r="C296" s="35" t="s">
        <v>184</v>
      </c>
      <c r="D296" s="35" t="s">
        <v>185</v>
      </c>
      <c r="E296" s="36" t="n">
        <v>45857</v>
      </c>
      <c r="F296" s="36" t="n">
        <v>11172</v>
      </c>
      <c r="G296" s="37" t="n">
        <v>46240</v>
      </c>
      <c r="H296" s="35" t="n">
        <v>129943</v>
      </c>
      <c r="I296" s="35" t="s">
        <v>470</v>
      </c>
      <c r="J296" s="36" t="n">
        <v>2026</v>
      </c>
      <c r="K296" s="38" t="n">
        <v>37473.55</v>
      </c>
      <c r="L296" s="37" t="n">
        <v>46251</v>
      </c>
      <c r="M296" s="35" t="n">
        <v>0.25</v>
      </c>
      <c r="N296" s="35"/>
      <c r="O296" s="35" t="s">
        <v>188</v>
      </c>
      <c r="P296" s="35"/>
      <c r="Q296" s="37" t="n">
        <v>46251</v>
      </c>
      <c r="R296" s="35"/>
    </row>
    <row r="297" customFormat="false" ht="15" hidden="false" customHeight="false" outlineLevel="0" collapsed="false">
      <c r="A297" s="35" t="s">
        <v>121</v>
      </c>
      <c r="B297" s="35" t="s">
        <v>273</v>
      </c>
      <c r="C297" s="35" t="s">
        <v>184</v>
      </c>
      <c r="D297" s="35" t="s">
        <v>185</v>
      </c>
      <c r="E297" s="36" t="n">
        <v>45857</v>
      </c>
      <c r="F297" s="36" t="n">
        <v>10798</v>
      </c>
      <c r="G297" s="37" t="n">
        <v>46245</v>
      </c>
      <c r="H297" s="35" t="n">
        <v>130166</v>
      </c>
      <c r="I297" s="35" t="s">
        <v>470</v>
      </c>
      <c r="J297" s="36" t="n">
        <v>2026</v>
      </c>
      <c r="K297" s="38" t="n">
        <v>43096.79</v>
      </c>
      <c r="L297" s="37" t="n">
        <v>46251</v>
      </c>
      <c r="M297" s="35" t="n">
        <v>0.14</v>
      </c>
      <c r="N297" s="35"/>
      <c r="O297" s="35" t="s">
        <v>188</v>
      </c>
      <c r="P297" s="35"/>
      <c r="Q297" s="37" t="n">
        <v>46251</v>
      </c>
      <c r="R297" s="35"/>
    </row>
    <row r="298" customFormat="false" ht="15" hidden="false" customHeight="false" outlineLevel="0" collapsed="false">
      <c r="A298" s="35" t="s">
        <v>121</v>
      </c>
      <c r="B298" s="35" t="s">
        <v>270</v>
      </c>
      <c r="C298" s="35" t="s">
        <v>184</v>
      </c>
      <c r="D298" s="35" t="s">
        <v>185</v>
      </c>
      <c r="E298" s="36" t="n">
        <v>45857</v>
      </c>
      <c r="F298" s="36" t="n">
        <v>11172</v>
      </c>
      <c r="G298" s="37" t="n">
        <v>46245</v>
      </c>
      <c r="H298" s="35" t="n">
        <v>130167</v>
      </c>
      <c r="I298" s="35" t="s">
        <v>470</v>
      </c>
      <c r="J298" s="36" t="n">
        <v>2026</v>
      </c>
      <c r="K298" s="38" t="n">
        <v>48743.63</v>
      </c>
      <c r="L298" s="37" t="n">
        <v>46251</v>
      </c>
      <c r="M298" s="35" t="n">
        <v>0.095</v>
      </c>
      <c r="N298" s="35"/>
      <c r="O298" s="35" t="s">
        <v>188</v>
      </c>
      <c r="P298" s="35"/>
      <c r="Q298" s="37" t="n">
        <v>46251</v>
      </c>
      <c r="R298" s="35"/>
    </row>
    <row r="299" customFormat="false" ht="15" hidden="false" customHeight="false" outlineLevel="0" collapsed="false">
      <c r="A299" s="35" t="s">
        <v>164</v>
      </c>
      <c r="B299" s="35" t="s">
        <v>263</v>
      </c>
      <c r="C299" s="35" t="s">
        <v>193</v>
      </c>
      <c r="D299" s="35" t="s">
        <v>264</v>
      </c>
      <c r="E299" s="36" t="n">
        <v>46597</v>
      </c>
      <c r="F299" s="36" t="n">
        <v>10833</v>
      </c>
      <c r="G299" s="37" t="n">
        <v>46242</v>
      </c>
      <c r="H299" s="35" t="n">
        <v>3711149</v>
      </c>
      <c r="I299" s="35" t="s">
        <v>470</v>
      </c>
      <c r="J299" s="36" t="n">
        <v>2026</v>
      </c>
      <c r="K299" s="38" t="n">
        <v>27727.2</v>
      </c>
      <c r="L299" s="37" t="n">
        <v>46254</v>
      </c>
      <c r="M299" s="35" t="n">
        <v>27727.5</v>
      </c>
      <c r="N299" s="35"/>
      <c r="O299" s="35" t="s">
        <v>188</v>
      </c>
      <c r="P299" s="35"/>
      <c r="Q299" s="37" t="n">
        <v>46253</v>
      </c>
      <c r="R299" s="35"/>
    </row>
    <row r="300" customFormat="false" ht="15" hidden="false" customHeight="false" outlineLevel="0" collapsed="false">
      <c r="A300" s="35" t="s">
        <v>307</v>
      </c>
      <c r="B300" s="35" t="s">
        <v>308</v>
      </c>
      <c r="C300" s="35" t="s">
        <v>184</v>
      </c>
      <c r="D300" s="35" t="s">
        <v>196</v>
      </c>
      <c r="E300" s="36" t="n">
        <v>69558</v>
      </c>
      <c r="F300" s="36" t="n">
        <v>10891</v>
      </c>
      <c r="G300" s="37" t="n">
        <v>46234</v>
      </c>
      <c r="H300" s="35" t="s">
        <v>488</v>
      </c>
      <c r="I300" s="35" t="s">
        <v>427</v>
      </c>
      <c r="J300" s="36" t="n">
        <v>2026</v>
      </c>
      <c r="K300" s="38" t="n">
        <v>1791.22</v>
      </c>
      <c r="L300" s="37" t="n">
        <v>46254</v>
      </c>
      <c r="M300" s="35" t="n">
        <v>3000</v>
      </c>
      <c r="N300" s="35"/>
      <c r="O300" s="35" t="s">
        <v>188</v>
      </c>
      <c r="P300" s="35"/>
      <c r="Q300" s="37" t="n">
        <v>46253</v>
      </c>
      <c r="R300" s="35"/>
    </row>
    <row r="301" customFormat="false" ht="15" hidden="false" customHeight="false" outlineLevel="0" collapsed="false">
      <c r="A301" s="35" t="s">
        <v>135</v>
      </c>
      <c r="B301" s="35" t="s">
        <v>209</v>
      </c>
      <c r="C301" s="35" t="s">
        <v>184</v>
      </c>
      <c r="D301" s="35" t="s">
        <v>210</v>
      </c>
      <c r="E301" s="36" t="n">
        <v>32522</v>
      </c>
      <c r="F301" s="36" t="n">
        <v>10473</v>
      </c>
      <c r="G301" s="37" t="n">
        <v>46234</v>
      </c>
      <c r="H301" s="35" t="s">
        <v>489</v>
      </c>
      <c r="I301" s="35" t="s">
        <v>427</v>
      </c>
      <c r="J301" s="36" t="n">
        <v>2026</v>
      </c>
      <c r="K301" s="38" t="n">
        <v>29397.05</v>
      </c>
      <c r="L301" s="37" t="n">
        <v>46254</v>
      </c>
      <c r="M301" s="35" t="s">
        <v>187</v>
      </c>
      <c r="N301" s="35"/>
      <c r="O301" s="35" t="s">
        <v>205</v>
      </c>
      <c r="P301" s="35" t="s">
        <v>490</v>
      </c>
      <c r="Q301" s="37" t="n">
        <v>46258</v>
      </c>
      <c r="R301" s="35"/>
    </row>
    <row r="302" customFormat="false" ht="15" hidden="false" customHeight="false" outlineLevel="0" collapsed="false">
      <c r="A302" s="35" t="s">
        <v>135</v>
      </c>
      <c r="B302" s="35" t="s">
        <v>209</v>
      </c>
      <c r="C302" s="35" t="s">
        <v>184</v>
      </c>
      <c r="D302" s="35" t="s">
        <v>210</v>
      </c>
      <c r="E302" s="36" t="n">
        <v>32522</v>
      </c>
      <c r="F302" s="36" t="n">
        <v>10473</v>
      </c>
      <c r="G302" s="37" t="n">
        <v>46234</v>
      </c>
      <c r="H302" s="35" t="s">
        <v>491</v>
      </c>
      <c r="I302" s="35" t="s">
        <v>427</v>
      </c>
      <c r="J302" s="36" t="n">
        <v>2026</v>
      </c>
      <c r="K302" s="38" t="n">
        <v>900</v>
      </c>
      <c r="L302" s="37" t="n">
        <v>46254</v>
      </c>
      <c r="M302" s="35" t="s">
        <v>187</v>
      </c>
      <c r="N302" s="35"/>
      <c r="O302" s="35" t="s">
        <v>205</v>
      </c>
      <c r="P302" s="35" t="s">
        <v>492</v>
      </c>
      <c r="Q302" s="37" t="n">
        <v>46258</v>
      </c>
      <c r="R302" s="35"/>
    </row>
    <row r="303" customFormat="false" ht="15" hidden="false" customHeight="false" outlineLevel="0" collapsed="false">
      <c r="A303" s="35" t="s">
        <v>216</v>
      </c>
      <c r="B303" s="35" t="s">
        <v>217</v>
      </c>
      <c r="C303" s="35" t="s">
        <v>184</v>
      </c>
      <c r="D303" s="35" t="s">
        <v>218</v>
      </c>
      <c r="E303" s="36" t="n">
        <v>61153</v>
      </c>
      <c r="F303" s="36" t="n">
        <v>0</v>
      </c>
      <c r="G303" s="37" t="n">
        <v>46234</v>
      </c>
      <c r="H303" s="35" t="n">
        <v>210957</v>
      </c>
      <c r="I303" s="35" t="s">
        <v>427</v>
      </c>
      <c r="J303" s="36" t="n">
        <v>2026</v>
      </c>
      <c r="K303" s="38" t="n">
        <v>7182.56</v>
      </c>
      <c r="L303" s="37" t="n">
        <v>46254</v>
      </c>
      <c r="M303" s="35" t="n">
        <v>4840</v>
      </c>
      <c r="N303" s="35"/>
      <c r="O303" s="35" t="s">
        <v>188</v>
      </c>
      <c r="P303" s="35"/>
      <c r="Q303" s="37" t="n">
        <v>46253</v>
      </c>
      <c r="R303" s="35"/>
    </row>
    <row r="304" customFormat="false" ht="15" hidden="false" customHeight="false" outlineLevel="0" collapsed="false">
      <c r="A304" s="35" t="s">
        <v>147</v>
      </c>
      <c r="B304" s="35" t="s">
        <v>259</v>
      </c>
      <c r="C304" s="35" t="s">
        <v>260</v>
      </c>
      <c r="D304" s="35" t="s">
        <v>261</v>
      </c>
      <c r="E304" s="36" t="n">
        <v>22104</v>
      </c>
      <c r="F304" s="36" t="n">
        <v>11587</v>
      </c>
      <c r="G304" s="37" t="n">
        <v>46240</v>
      </c>
      <c r="H304" s="35" t="n">
        <v>400018527</v>
      </c>
      <c r="I304" s="35" t="s">
        <v>427</v>
      </c>
      <c r="J304" s="36" t="n">
        <v>2026</v>
      </c>
      <c r="K304" s="38" t="n">
        <v>12950</v>
      </c>
      <c r="L304" s="37" t="n">
        <v>46254</v>
      </c>
      <c r="M304" s="35" t="n">
        <v>12950</v>
      </c>
      <c r="N304" s="35"/>
      <c r="O304" s="35" t="s">
        <v>188</v>
      </c>
      <c r="P304" s="35"/>
      <c r="Q304" s="37" t="n">
        <v>46253</v>
      </c>
      <c r="R304" s="35"/>
    </row>
    <row r="305" customFormat="false" ht="15" hidden="false" customHeight="false" outlineLevel="0" collapsed="false">
      <c r="A305" s="35" t="s">
        <v>374</v>
      </c>
      <c r="B305" s="35" t="s">
        <v>375</v>
      </c>
      <c r="C305" s="35" t="s">
        <v>213</v>
      </c>
      <c r="D305" s="35" t="s">
        <v>376</v>
      </c>
      <c r="E305" s="36" t="n">
        <v>45238</v>
      </c>
      <c r="F305" s="36" t="n">
        <v>11217</v>
      </c>
      <c r="G305" s="37" t="n">
        <v>46211</v>
      </c>
      <c r="H305" s="35" t="s">
        <v>493</v>
      </c>
      <c r="I305" s="35" t="s">
        <v>427</v>
      </c>
      <c r="J305" s="36" t="n">
        <v>2026</v>
      </c>
      <c r="K305" s="38" t="n">
        <v>92260.01</v>
      </c>
      <c r="L305" s="37" t="n">
        <v>46254</v>
      </c>
      <c r="M305" s="35" t="s">
        <v>378</v>
      </c>
      <c r="N305" s="35"/>
      <c r="O305" s="35" t="s">
        <v>205</v>
      </c>
      <c r="P305" s="35" t="s">
        <v>494</v>
      </c>
      <c r="Q305" s="37" t="n">
        <v>46253</v>
      </c>
      <c r="R305" s="35"/>
    </row>
    <row r="306" customFormat="false" ht="15" hidden="false" customHeight="false" outlineLevel="0" collapsed="false">
      <c r="A306" s="35" t="s">
        <v>374</v>
      </c>
      <c r="B306" s="35" t="s">
        <v>495</v>
      </c>
      <c r="C306" s="35" t="s">
        <v>213</v>
      </c>
      <c r="D306" s="35" t="s">
        <v>376</v>
      </c>
      <c r="E306" s="36" t="n">
        <v>45238</v>
      </c>
      <c r="F306" s="36" t="n">
        <v>9916</v>
      </c>
      <c r="G306" s="37" t="n">
        <v>46246</v>
      </c>
      <c r="H306" s="35" t="s">
        <v>496</v>
      </c>
      <c r="I306" s="35" t="s">
        <v>470</v>
      </c>
      <c r="J306" s="36" t="n">
        <v>2026</v>
      </c>
      <c r="K306" s="38" t="n">
        <v>185499.25</v>
      </c>
      <c r="L306" s="37" t="n">
        <v>46254</v>
      </c>
      <c r="M306" s="35" t="s">
        <v>378</v>
      </c>
      <c r="N306" s="35"/>
      <c r="O306" s="35" t="s">
        <v>188</v>
      </c>
      <c r="P306" s="35"/>
      <c r="Q306" s="37" t="n">
        <v>46258</v>
      </c>
      <c r="R306" s="35"/>
    </row>
    <row r="307" customFormat="false" ht="15" hidden="false" customHeight="false" outlineLevel="0" collapsed="false">
      <c r="A307" s="35" t="s">
        <v>194</v>
      </c>
      <c r="B307" s="35" t="s">
        <v>195</v>
      </c>
      <c r="C307" s="35" t="s">
        <v>184</v>
      </c>
      <c r="D307" s="35" t="s">
        <v>196</v>
      </c>
      <c r="E307" s="36" t="n">
        <v>33913</v>
      </c>
      <c r="F307" s="36" t="n">
        <v>10410</v>
      </c>
      <c r="G307" s="37" t="n">
        <v>46241</v>
      </c>
      <c r="H307" s="35" t="s">
        <v>497</v>
      </c>
      <c r="I307" s="35" t="s">
        <v>427</v>
      </c>
      <c r="J307" s="36" t="n">
        <v>2026</v>
      </c>
      <c r="K307" s="38" t="n">
        <v>5.5</v>
      </c>
      <c r="L307" s="37" t="n">
        <v>46255</v>
      </c>
      <c r="M307" s="35" t="n">
        <v>0.22</v>
      </c>
      <c r="N307" s="35"/>
      <c r="O307" s="35" t="s">
        <v>188</v>
      </c>
      <c r="P307" s="35"/>
      <c r="Q307" s="37" t="n">
        <v>46258</v>
      </c>
      <c r="R307" s="35"/>
    </row>
    <row r="308" customFormat="false" ht="15" hidden="false" customHeight="false" outlineLevel="0" collapsed="false">
      <c r="A308" s="35" t="s">
        <v>194</v>
      </c>
      <c r="B308" s="35" t="s">
        <v>199</v>
      </c>
      <c r="C308" s="35" t="s">
        <v>184</v>
      </c>
      <c r="D308" s="35" t="s">
        <v>196</v>
      </c>
      <c r="E308" s="36" t="n">
        <v>33913</v>
      </c>
      <c r="F308" s="36" t="n">
        <v>7896</v>
      </c>
      <c r="G308" s="37" t="n">
        <v>46241</v>
      </c>
      <c r="H308" s="35" t="s">
        <v>498</v>
      </c>
      <c r="I308" s="35" t="s">
        <v>427</v>
      </c>
      <c r="J308" s="36" t="n">
        <v>2026</v>
      </c>
      <c r="K308" s="38" t="n">
        <v>40.04</v>
      </c>
      <c r="L308" s="37" t="n">
        <v>46255</v>
      </c>
      <c r="M308" s="35" t="s">
        <v>201</v>
      </c>
      <c r="N308" s="35"/>
      <c r="O308" s="35" t="s">
        <v>188</v>
      </c>
      <c r="P308" s="35"/>
      <c r="Q308" s="37" t="n">
        <v>46258</v>
      </c>
      <c r="R308" s="35"/>
    </row>
    <row r="309" customFormat="false" ht="15" hidden="false" customHeight="false" outlineLevel="0" collapsed="false">
      <c r="A309" s="35" t="s">
        <v>194</v>
      </c>
      <c r="B309" s="35" t="s">
        <v>240</v>
      </c>
      <c r="C309" s="35" t="s">
        <v>184</v>
      </c>
      <c r="D309" s="35" t="s">
        <v>196</v>
      </c>
      <c r="E309" s="36" t="n">
        <v>33913</v>
      </c>
      <c r="F309" s="36" t="n">
        <v>7892</v>
      </c>
      <c r="G309" s="37" t="n">
        <v>46241</v>
      </c>
      <c r="H309" s="35" t="s">
        <v>499</v>
      </c>
      <c r="I309" s="35" t="s">
        <v>427</v>
      </c>
      <c r="J309" s="36" t="n">
        <v>2026</v>
      </c>
      <c r="K309" s="38" t="n">
        <v>5.1</v>
      </c>
      <c r="L309" s="37" t="n">
        <v>46255</v>
      </c>
      <c r="M309" s="35" t="n">
        <v>0.17</v>
      </c>
      <c r="N309" s="35"/>
      <c r="O309" s="35" t="s">
        <v>188</v>
      </c>
      <c r="P309" s="35"/>
      <c r="Q309" s="37" t="n">
        <v>46258</v>
      </c>
      <c r="R309" s="35"/>
    </row>
    <row r="310" customFormat="false" ht="15" hidden="false" customHeight="false" outlineLevel="0" collapsed="false">
      <c r="A310" s="35" t="s">
        <v>194</v>
      </c>
      <c r="B310" s="35" t="s">
        <v>195</v>
      </c>
      <c r="C310" s="35" t="s">
        <v>184</v>
      </c>
      <c r="D310" s="35" t="s">
        <v>196</v>
      </c>
      <c r="E310" s="36" t="n">
        <v>33913</v>
      </c>
      <c r="F310" s="36" t="n">
        <v>10410</v>
      </c>
      <c r="G310" s="37" t="n">
        <v>46241</v>
      </c>
      <c r="H310" s="35" t="s">
        <v>500</v>
      </c>
      <c r="I310" s="35" t="s">
        <v>427</v>
      </c>
      <c r="J310" s="36" t="n">
        <v>2026</v>
      </c>
      <c r="K310" s="38" t="n">
        <v>12694.34</v>
      </c>
      <c r="L310" s="37" t="n">
        <v>46255</v>
      </c>
      <c r="M310" s="35" t="n">
        <v>0.22</v>
      </c>
      <c r="N310" s="35"/>
      <c r="O310" s="35" t="s">
        <v>188</v>
      </c>
      <c r="P310" s="35"/>
      <c r="Q310" s="37" t="n">
        <v>46258</v>
      </c>
      <c r="R310" s="35"/>
    </row>
    <row r="311" customFormat="false" ht="15" hidden="false" customHeight="false" outlineLevel="0" collapsed="false">
      <c r="A311" s="35" t="s">
        <v>194</v>
      </c>
      <c r="B311" s="35" t="s">
        <v>206</v>
      </c>
      <c r="C311" s="35" t="s">
        <v>184</v>
      </c>
      <c r="D311" s="35" t="s">
        <v>196</v>
      </c>
      <c r="E311" s="36" t="n">
        <v>33913</v>
      </c>
      <c r="F311" s="36" t="n">
        <v>10407</v>
      </c>
      <c r="G311" s="37" t="n">
        <v>46241</v>
      </c>
      <c r="H311" s="35" t="s">
        <v>501</v>
      </c>
      <c r="I311" s="35" t="s">
        <v>470</v>
      </c>
      <c r="J311" s="36" t="n">
        <v>2026</v>
      </c>
      <c r="K311" s="38" t="n">
        <v>39617.47</v>
      </c>
      <c r="L311" s="37" t="n">
        <v>46255</v>
      </c>
      <c r="M311" s="35" t="n">
        <v>0.04</v>
      </c>
      <c r="N311" s="35"/>
      <c r="O311" s="35" t="s">
        <v>188</v>
      </c>
      <c r="P311" s="35" t="s">
        <v>502</v>
      </c>
      <c r="Q311" s="37" t="n">
        <v>46258</v>
      </c>
      <c r="R311" s="35" t="s">
        <v>208</v>
      </c>
    </row>
    <row r="312" customFormat="false" ht="15" hidden="false" customHeight="false" outlineLevel="0" collapsed="false">
      <c r="A312" s="35" t="s">
        <v>144</v>
      </c>
      <c r="B312" s="35" t="s">
        <v>212</v>
      </c>
      <c r="C312" s="35" t="s">
        <v>213</v>
      </c>
      <c r="D312" s="35" t="s">
        <v>214</v>
      </c>
      <c r="E312" s="36" t="n">
        <v>60823</v>
      </c>
      <c r="F312" s="36" t="n">
        <v>10406</v>
      </c>
      <c r="G312" s="37" t="n">
        <v>46234</v>
      </c>
      <c r="H312" s="35" t="s">
        <v>503</v>
      </c>
      <c r="I312" s="35" t="s">
        <v>427</v>
      </c>
      <c r="J312" s="36" t="n">
        <v>2026</v>
      </c>
      <c r="K312" s="38" t="n">
        <v>552</v>
      </c>
      <c r="L312" s="37" t="n">
        <v>46255</v>
      </c>
      <c r="M312" s="35" t="s">
        <v>187</v>
      </c>
      <c r="N312" s="35"/>
      <c r="O312" s="35" t="s">
        <v>188</v>
      </c>
      <c r="P312" s="35"/>
      <c r="Q312" s="37" t="n">
        <v>46258</v>
      </c>
      <c r="R312" s="35"/>
    </row>
    <row r="313" customFormat="false" ht="15" hidden="false" customHeight="false" outlineLevel="0" collapsed="false">
      <c r="A313" s="35" t="s">
        <v>144</v>
      </c>
      <c r="B313" s="35" t="s">
        <v>212</v>
      </c>
      <c r="C313" s="35" t="s">
        <v>213</v>
      </c>
      <c r="D313" s="35" t="s">
        <v>214</v>
      </c>
      <c r="E313" s="36" t="n">
        <v>60823</v>
      </c>
      <c r="F313" s="36" t="n">
        <v>10406</v>
      </c>
      <c r="G313" s="37" t="n">
        <v>46234</v>
      </c>
      <c r="H313" s="35" t="s">
        <v>504</v>
      </c>
      <c r="I313" s="35" t="s">
        <v>427</v>
      </c>
      <c r="J313" s="36" t="n">
        <v>2026</v>
      </c>
      <c r="K313" s="38" t="n">
        <v>288.45</v>
      </c>
      <c r="L313" s="37" t="n">
        <v>46255</v>
      </c>
      <c r="M313" s="35" t="s">
        <v>187</v>
      </c>
      <c r="N313" s="35"/>
      <c r="O313" s="35" t="s">
        <v>188</v>
      </c>
      <c r="P313" s="35"/>
      <c r="Q313" s="37" t="n">
        <v>46258</v>
      </c>
      <c r="R313" s="35"/>
    </row>
    <row r="314" customFormat="false" ht="15" hidden="false" customHeight="false" outlineLevel="0" collapsed="false">
      <c r="A314" s="35" t="s">
        <v>194</v>
      </c>
      <c r="B314" s="35" t="s">
        <v>240</v>
      </c>
      <c r="C314" s="35" t="s">
        <v>184</v>
      </c>
      <c r="D314" s="35" t="s">
        <v>196</v>
      </c>
      <c r="E314" s="36" t="n">
        <v>33913</v>
      </c>
      <c r="F314" s="36" t="n">
        <v>7892</v>
      </c>
      <c r="G314" s="37" t="n">
        <v>46205</v>
      </c>
      <c r="H314" s="35" t="s">
        <v>505</v>
      </c>
      <c r="I314" s="35" t="s">
        <v>364</v>
      </c>
      <c r="J314" s="36" t="n">
        <v>2026</v>
      </c>
      <c r="K314" s="38" t="n">
        <v>5.1</v>
      </c>
      <c r="L314" s="37" t="n">
        <v>46255</v>
      </c>
      <c r="M314" s="35" t="n">
        <v>0.17</v>
      </c>
      <c r="N314" s="35"/>
      <c r="O314" s="35" t="s">
        <v>188</v>
      </c>
      <c r="P314" s="35"/>
      <c r="Q314" s="37" t="n">
        <v>46258</v>
      </c>
      <c r="R314" s="35"/>
    </row>
    <row r="315" customFormat="false" ht="15" hidden="false" customHeight="false" outlineLevel="0" collapsed="false">
      <c r="A315" s="35" t="s">
        <v>219</v>
      </c>
      <c r="B315" s="35" t="s">
        <v>220</v>
      </c>
      <c r="C315" s="35" t="s">
        <v>184</v>
      </c>
      <c r="D315" s="35" t="s">
        <v>196</v>
      </c>
      <c r="E315" s="36" t="n">
        <v>40169</v>
      </c>
      <c r="F315" s="36" t="n">
        <v>10415</v>
      </c>
      <c r="G315" s="37" t="n">
        <v>46245</v>
      </c>
      <c r="H315" s="35" t="s">
        <v>506</v>
      </c>
      <c r="I315" s="35" t="s">
        <v>470</v>
      </c>
      <c r="J315" s="36" t="n">
        <v>2026</v>
      </c>
      <c r="K315" s="38" t="n">
        <v>16007.53</v>
      </c>
      <c r="L315" s="37" t="n">
        <v>46255</v>
      </c>
      <c r="M315" s="35" t="n">
        <v>0.12</v>
      </c>
      <c r="N315" s="35"/>
      <c r="O315" s="35" t="s">
        <v>188</v>
      </c>
      <c r="P315" s="35"/>
      <c r="Q315" s="37" t="n">
        <v>46258</v>
      </c>
      <c r="R315" s="35" t="s">
        <v>222</v>
      </c>
    </row>
    <row r="316" customFormat="false" ht="15" hidden="false" customHeight="false" outlineLevel="0" collapsed="false">
      <c r="A316" s="35" t="s">
        <v>219</v>
      </c>
      <c r="B316" s="35" t="s">
        <v>206</v>
      </c>
      <c r="C316" s="35" t="s">
        <v>184</v>
      </c>
      <c r="D316" s="35" t="s">
        <v>196</v>
      </c>
      <c r="E316" s="36" t="n">
        <v>40169</v>
      </c>
      <c r="F316" s="36" t="n">
        <v>10417</v>
      </c>
      <c r="G316" s="37" t="n">
        <v>46244</v>
      </c>
      <c r="H316" s="35" t="n">
        <v>13834</v>
      </c>
      <c r="I316" s="35" t="s">
        <v>470</v>
      </c>
      <c r="J316" s="36" t="n">
        <v>2026</v>
      </c>
      <c r="K316" s="38" t="n">
        <v>26901.82</v>
      </c>
      <c r="L316" s="37" t="n">
        <v>46255</v>
      </c>
      <c r="M316" s="35" t="n">
        <v>0.0375</v>
      </c>
      <c r="N316" s="35"/>
      <c r="O316" s="35" t="s">
        <v>188</v>
      </c>
      <c r="P316" s="35" t="s">
        <v>507</v>
      </c>
      <c r="Q316" s="37" t="n">
        <v>46258</v>
      </c>
      <c r="R316" s="35"/>
    </row>
    <row r="317" customFormat="false" ht="15" hidden="false" customHeight="false" outlineLevel="0" collapsed="false">
      <c r="A317" s="35" t="s">
        <v>164</v>
      </c>
      <c r="B317" s="35" t="s">
        <v>209</v>
      </c>
      <c r="C317" s="35" t="s">
        <v>184</v>
      </c>
      <c r="D317" s="35" t="s">
        <v>372</v>
      </c>
      <c r="E317" s="36" t="n">
        <v>46597</v>
      </c>
      <c r="F317" s="36" t="n">
        <v>11053</v>
      </c>
      <c r="G317" s="37" t="n">
        <v>46246</v>
      </c>
      <c r="H317" s="35" t="n">
        <v>3701357</v>
      </c>
      <c r="I317" s="35" t="s">
        <v>470</v>
      </c>
      <c r="J317" s="36" t="n">
        <v>2026</v>
      </c>
      <c r="K317" s="38" t="n">
        <v>64967.24</v>
      </c>
      <c r="L317" s="37" t="n">
        <v>46255</v>
      </c>
      <c r="M317" s="35" t="n">
        <v>119350.55</v>
      </c>
      <c r="N317" s="35"/>
      <c r="O317" s="35" t="s">
        <v>205</v>
      </c>
      <c r="P317" s="35" t="s">
        <v>508</v>
      </c>
      <c r="Q317" s="37" t="n">
        <v>46258</v>
      </c>
      <c r="R317" s="35" t="s">
        <v>373</v>
      </c>
    </row>
    <row r="318" customFormat="false" ht="15" hidden="false" customHeight="false" outlineLevel="0" collapsed="false">
      <c r="A318" s="35" t="s">
        <v>164</v>
      </c>
      <c r="B318" s="35" t="s">
        <v>209</v>
      </c>
      <c r="C318" s="35" t="s">
        <v>184</v>
      </c>
      <c r="D318" s="35" t="s">
        <v>372</v>
      </c>
      <c r="E318" s="36" t="n">
        <v>46597</v>
      </c>
      <c r="F318" s="36" t="n">
        <v>11053</v>
      </c>
      <c r="G318" s="37" t="n">
        <v>46246</v>
      </c>
      <c r="H318" s="35" t="n">
        <v>3701518</v>
      </c>
      <c r="I318" s="35" t="s">
        <v>470</v>
      </c>
      <c r="J318" s="36" t="n">
        <v>2026</v>
      </c>
      <c r="K318" s="38" t="n">
        <v>110394.04</v>
      </c>
      <c r="L318" s="37" t="n">
        <v>46255</v>
      </c>
      <c r="M318" s="35" t="n">
        <v>119350.55</v>
      </c>
      <c r="N318" s="35"/>
      <c r="O318" s="35" t="s">
        <v>205</v>
      </c>
      <c r="P318" s="35" t="s">
        <v>509</v>
      </c>
      <c r="Q318" s="37" t="n">
        <v>46258</v>
      </c>
      <c r="R318" s="35" t="s">
        <v>373</v>
      </c>
    </row>
    <row r="319" customFormat="false" ht="15" hidden="false" customHeight="false" outlineLevel="0" collapsed="false">
      <c r="A319" s="35" t="s">
        <v>164</v>
      </c>
      <c r="B319" s="35" t="s">
        <v>209</v>
      </c>
      <c r="C319" s="35" t="s">
        <v>184</v>
      </c>
      <c r="D319" s="35" t="s">
        <v>372</v>
      </c>
      <c r="E319" s="36" t="n">
        <v>46597</v>
      </c>
      <c r="F319" s="36" t="n">
        <v>11053</v>
      </c>
      <c r="G319" s="37" t="n">
        <v>46246</v>
      </c>
      <c r="H319" s="35" t="n">
        <v>3701256</v>
      </c>
      <c r="I319" s="35" t="s">
        <v>470</v>
      </c>
      <c r="J319" s="36" t="n">
        <v>2026</v>
      </c>
      <c r="K319" s="38" t="n">
        <v>18223.28</v>
      </c>
      <c r="L319" s="37" t="n">
        <v>46255</v>
      </c>
      <c r="M319" s="35" t="n">
        <v>119350.55</v>
      </c>
      <c r="N319" s="35"/>
      <c r="O319" s="35" t="s">
        <v>205</v>
      </c>
      <c r="P319" s="35" t="s">
        <v>510</v>
      </c>
      <c r="Q319" s="37" t="n">
        <v>46258</v>
      </c>
      <c r="R319" s="35" t="s">
        <v>373</v>
      </c>
    </row>
    <row r="320" customFormat="false" ht="15" hidden="false" customHeight="false" outlineLevel="0" collapsed="false">
      <c r="A320" s="35" t="s">
        <v>511</v>
      </c>
      <c r="B320" s="35" t="s">
        <v>512</v>
      </c>
      <c r="C320" s="35" t="s">
        <v>213</v>
      </c>
      <c r="D320" s="35" t="s">
        <v>227</v>
      </c>
      <c r="E320" s="36" t="n">
        <v>79328</v>
      </c>
      <c r="F320" s="36" t="n">
        <v>12584</v>
      </c>
      <c r="G320" s="37" t="n">
        <v>46228</v>
      </c>
      <c r="H320" s="35" t="s">
        <v>513</v>
      </c>
      <c r="I320" s="35" t="s">
        <v>427</v>
      </c>
      <c r="J320" s="36" t="n">
        <v>2026</v>
      </c>
      <c r="K320" s="38" t="n">
        <v>3822.5</v>
      </c>
      <c r="L320" s="37" t="n">
        <v>46255</v>
      </c>
      <c r="M320" s="35" t="s">
        <v>378</v>
      </c>
      <c r="N320" s="35"/>
      <c r="O320" s="35" t="s">
        <v>188</v>
      </c>
      <c r="P320" s="35"/>
      <c r="Q320" s="37" t="n">
        <v>46258</v>
      </c>
      <c r="R320" s="35"/>
    </row>
    <row r="321" customFormat="false" ht="15" hidden="false" customHeight="false" outlineLevel="0" collapsed="false">
      <c r="A321" s="35" t="s">
        <v>127</v>
      </c>
      <c r="B321" s="35" t="s">
        <v>228</v>
      </c>
      <c r="C321" s="35" t="s">
        <v>229</v>
      </c>
      <c r="D321" s="35" t="s">
        <v>210</v>
      </c>
      <c r="E321" s="36" t="n">
        <v>69911</v>
      </c>
      <c r="F321" s="36" t="n">
        <v>10138</v>
      </c>
      <c r="G321" s="37" t="n">
        <v>46211</v>
      </c>
      <c r="H321" s="35" t="n">
        <v>421</v>
      </c>
      <c r="I321" s="35" t="s">
        <v>427</v>
      </c>
      <c r="J321" s="36" t="n">
        <v>2026</v>
      </c>
      <c r="K321" s="38" t="n">
        <v>19684.5</v>
      </c>
      <c r="L321" s="37" t="n">
        <v>46255</v>
      </c>
      <c r="M321" s="35" t="n">
        <v>19684.5</v>
      </c>
      <c r="N321" s="35"/>
      <c r="O321" s="35" t="s">
        <v>188</v>
      </c>
      <c r="P321" s="35"/>
      <c r="Q321" s="37" t="n">
        <v>46253</v>
      </c>
      <c r="R321" s="35"/>
    </row>
    <row r="322" customFormat="false" ht="15" hidden="false" customHeight="false" outlineLevel="0" collapsed="false">
      <c r="A322" s="35" t="s">
        <v>164</v>
      </c>
      <c r="B322" s="35" t="s">
        <v>327</v>
      </c>
      <c r="C322" s="35" t="s">
        <v>193</v>
      </c>
      <c r="D322" s="35" t="s">
        <v>328</v>
      </c>
      <c r="E322" s="36" t="n">
        <v>46597</v>
      </c>
      <c r="F322" s="36" t="n">
        <v>11631</v>
      </c>
      <c r="G322" s="37" t="n">
        <v>46242</v>
      </c>
      <c r="H322" s="35" t="n">
        <v>3711126</v>
      </c>
      <c r="I322" s="35" t="s">
        <v>470</v>
      </c>
      <c r="J322" s="36" t="n">
        <v>2026</v>
      </c>
      <c r="K322" s="38" t="n">
        <v>132000</v>
      </c>
      <c r="L322" s="37" t="n">
        <v>46258</v>
      </c>
      <c r="M322" s="35" t="n">
        <v>132000</v>
      </c>
      <c r="N322" s="35"/>
      <c r="O322" s="35" t="s">
        <v>188</v>
      </c>
      <c r="P322" s="35" t="s">
        <v>514</v>
      </c>
      <c r="Q322" s="35"/>
      <c r="R322" s="35"/>
    </row>
    <row r="323" customFormat="false" ht="15" hidden="false" customHeight="false" outlineLevel="0" collapsed="false">
      <c r="A323" s="35" t="s">
        <v>121</v>
      </c>
      <c r="B323" s="35"/>
      <c r="C323" s="35"/>
      <c r="D323" s="35"/>
      <c r="E323" s="35"/>
      <c r="F323" s="35"/>
      <c r="G323" s="37" t="n">
        <v>46245</v>
      </c>
      <c r="H323" s="35" t="n">
        <v>130174</v>
      </c>
      <c r="I323" s="35" t="s">
        <v>470</v>
      </c>
      <c r="J323" s="36" t="n">
        <v>2026</v>
      </c>
      <c r="K323" s="38" t="n">
        <v>15375</v>
      </c>
      <c r="L323" s="37" t="n">
        <v>46258</v>
      </c>
      <c r="M323" s="35"/>
      <c r="N323" s="35"/>
      <c r="O323" s="35"/>
      <c r="P323" s="35"/>
      <c r="Q323" s="35"/>
      <c r="R323" s="35"/>
    </row>
    <row r="324" customFormat="false" ht="15" hidden="false" customHeight="false" outlineLevel="0" collapsed="false">
      <c r="A324" s="35" t="s">
        <v>219</v>
      </c>
      <c r="B324" s="35"/>
      <c r="C324" s="35"/>
      <c r="D324" s="35"/>
      <c r="E324" s="35"/>
      <c r="F324" s="35"/>
      <c r="G324" s="37" t="n">
        <v>46251</v>
      </c>
      <c r="H324" s="35" t="n">
        <v>13835</v>
      </c>
      <c r="I324" s="35" t="s">
        <v>470</v>
      </c>
      <c r="J324" s="36" t="n">
        <v>2026</v>
      </c>
      <c r="K324" s="38" t="n">
        <v>34852.04</v>
      </c>
      <c r="L324" s="37" t="n">
        <v>46259</v>
      </c>
      <c r="M324" s="35"/>
      <c r="N324" s="35"/>
      <c r="O324" s="35"/>
      <c r="P324" s="35"/>
      <c r="Q324" s="35"/>
      <c r="R324" s="35"/>
    </row>
    <row r="325" customFormat="false" ht="15" hidden="false" customHeight="false" outlineLevel="0" collapsed="false">
      <c r="A325" s="35" t="s">
        <v>219</v>
      </c>
      <c r="B325" s="35"/>
      <c r="C325" s="35"/>
      <c r="D325" s="35"/>
      <c r="E325" s="35"/>
      <c r="F325" s="35"/>
      <c r="G325" s="37" t="n">
        <v>46252</v>
      </c>
      <c r="H325" s="35" t="s">
        <v>515</v>
      </c>
      <c r="I325" s="35" t="s">
        <v>470</v>
      </c>
      <c r="J325" s="36" t="n">
        <v>2026</v>
      </c>
      <c r="K325" s="38" t="n">
        <v>11481.17</v>
      </c>
      <c r="L325" s="37" t="n">
        <v>46259</v>
      </c>
      <c r="M325" s="35"/>
      <c r="N325" s="35"/>
      <c r="O325" s="35"/>
      <c r="P325" s="35"/>
      <c r="Q325" s="35"/>
      <c r="R325" s="35"/>
    </row>
    <row r="326" customFormat="false" ht="15" hidden="false" customHeight="false" outlineLevel="0" collapsed="false">
      <c r="A326" s="35" t="s">
        <v>194</v>
      </c>
      <c r="B326" s="35"/>
      <c r="C326" s="35"/>
      <c r="D326" s="35"/>
      <c r="E326" s="35"/>
      <c r="F326" s="35"/>
      <c r="G326" s="37" t="n">
        <v>46247</v>
      </c>
      <c r="H326" s="35" t="s">
        <v>516</v>
      </c>
      <c r="I326" s="35" t="s">
        <v>470</v>
      </c>
      <c r="J326" s="36" t="n">
        <v>2026</v>
      </c>
      <c r="K326" s="38" t="n">
        <v>5.5</v>
      </c>
      <c r="L326" s="37" t="n">
        <v>46259</v>
      </c>
      <c r="M326" s="35"/>
      <c r="N326" s="35"/>
      <c r="O326" s="35"/>
      <c r="P326" s="35"/>
      <c r="Q326" s="35"/>
      <c r="R326" s="35"/>
    </row>
    <row r="327" customFormat="false" ht="15" hidden="false" customHeight="false" outlineLevel="0" collapsed="false">
      <c r="A327" s="35" t="s">
        <v>194</v>
      </c>
      <c r="B327" s="35"/>
      <c r="C327" s="35"/>
      <c r="D327" s="35"/>
      <c r="E327" s="35"/>
      <c r="F327" s="35"/>
      <c r="G327" s="37" t="n">
        <v>46247</v>
      </c>
      <c r="H327" s="35" t="s">
        <v>517</v>
      </c>
      <c r="I327" s="35" t="s">
        <v>470</v>
      </c>
      <c r="J327" s="36" t="n">
        <v>2026</v>
      </c>
      <c r="K327" s="38" t="n">
        <v>37.4</v>
      </c>
      <c r="L327" s="37" t="n">
        <v>46259</v>
      </c>
      <c r="M327" s="35"/>
      <c r="N327" s="35"/>
      <c r="O327" s="35"/>
      <c r="P327" s="35"/>
      <c r="Q327" s="35"/>
      <c r="R327" s="35"/>
    </row>
    <row r="328" customFormat="false" ht="15" hidden="false" customHeight="false" outlineLevel="0" collapsed="false">
      <c r="A328" s="35" t="s">
        <v>194</v>
      </c>
      <c r="B328" s="35"/>
      <c r="C328" s="35"/>
      <c r="D328" s="35"/>
      <c r="E328" s="35"/>
      <c r="F328" s="35"/>
      <c r="G328" s="37" t="n">
        <v>46247</v>
      </c>
      <c r="H328" s="35" t="s">
        <v>518</v>
      </c>
      <c r="I328" s="35" t="s">
        <v>470</v>
      </c>
      <c r="J328" s="36" t="n">
        <v>2026</v>
      </c>
      <c r="K328" s="38" t="n">
        <v>14516.52</v>
      </c>
      <c r="L328" s="37" t="n">
        <v>46259</v>
      </c>
      <c r="M328" s="35"/>
      <c r="N328" s="35"/>
      <c r="O328" s="35"/>
      <c r="P328" s="35"/>
      <c r="Q328" s="35"/>
      <c r="R328" s="35"/>
    </row>
    <row r="329" customFormat="false" ht="15" hidden="false" customHeight="false" outlineLevel="0" collapsed="false">
      <c r="A329" s="35" t="s">
        <v>194</v>
      </c>
      <c r="B329" s="35"/>
      <c r="C329" s="35"/>
      <c r="D329" s="35"/>
      <c r="E329" s="35"/>
      <c r="F329" s="35"/>
      <c r="G329" s="37" t="n">
        <v>46247</v>
      </c>
      <c r="H329" s="35" t="s">
        <v>519</v>
      </c>
      <c r="I329" s="35" t="s">
        <v>470</v>
      </c>
      <c r="J329" s="36" t="n">
        <v>2026</v>
      </c>
      <c r="K329" s="38" t="n">
        <v>38633.03</v>
      </c>
      <c r="L329" s="37" t="n">
        <v>46259</v>
      </c>
      <c r="M329" s="35"/>
      <c r="N329" s="35"/>
      <c r="O329" s="35"/>
      <c r="P329" s="35"/>
      <c r="Q329" s="35"/>
      <c r="R329" s="35"/>
    </row>
  </sheetData>
  <autoFilter ref="A1:R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6" t="s">
        <v>55</v>
      </c>
      <c r="B1" s="16" t="s">
        <v>520</v>
      </c>
      <c r="C1" s="16" t="s">
        <v>169</v>
      </c>
      <c r="D1" s="16" t="s">
        <v>168</v>
      </c>
      <c r="E1" s="16" t="s">
        <v>58</v>
      </c>
      <c r="F1" s="16" t="s">
        <v>59</v>
      </c>
    </row>
    <row r="2" customFormat="false" ht="15" hidden="false" customHeight="false" outlineLevel="0" collapsed="false">
      <c r="A2" s="35" t="s">
        <v>307</v>
      </c>
      <c r="B2" s="35" t="s">
        <v>308</v>
      </c>
      <c r="C2" s="36" t="n">
        <v>10891</v>
      </c>
      <c r="D2" s="36" t="n">
        <v>69558</v>
      </c>
      <c r="E2" s="35" t="s">
        <v>184</v>
      </c>
      <c r="F2" s="35" t="s">
        <v>196</v>
      </c>
    </row>
    <row r="3" customFormat="false" ht="15" hidden="false" customHeight="false" outlineLevel="0" collapsed="false">
      <c r="A3" s="35" t="s">
        <v>108</v>
      </c>
      <c r="B3" s="35" t="s">
        <v>119</v>
      </c>
      <c r="C3" s="36" t="n">
        <v>10200</v>
      </c>
      <c r="D3" s="36" t="n">
        <v>75456</v>
      </c>
      <c r="E3" s="35" t="s">
        <v>184</v>
      </c>
      <c r="F3" s="35" t="s">
        <v>185</v>
      </c>
    </row>
    <row r="4" customFormat="false" ht="15" hidden="false" customHeight="false" outlineLevel="0" collapsed="false">
      <c r="A4" s="35" t="s">
        <v>108</v>
      </c>
      <c r="B4" s="35" t="s">
        <v>292</v>
      </c>
      <c r="C4" s="36" t="n">
        <v>10200</v>
      </c>
      <c r="D4" s="36" t="n">
        <v>75456</v>
      </c>
      <c r="E4" s="35" t="s">
        <v>184</v>
      </c>
      <c r="F4" s="35" t="s">
        <v>258</v>
      </c>
    </row>
    <row r="5" customFormat="false" ht="15" hidden="false" customHeight="false" outlineLevel="0" collapsed="false">
      <c r="A5" s="35" t="s">
        <v>108</v>
      </c>
      <c r="B5" s="35" t="s">
        <v>521</v>
      </c>
      <c r="C5" s="35"/>
      <c r="D5" s="36" t="n">
        <v>75456</v>
      </c>
      <c r="E5" s="35" t="s">
        <v>184</v>
      </c>
      <c r="F5" s="35" t="s">
        <v>185</v>
      </c>
    </row>
    <row r="6" customFormat="false" ht="15" hidden="false" customHeight="false" outlineLevel="0" collapsed="false">
      <c r="A6" s="35" t="s">
        <v>108</v>
      </c>
      <c r="B6" s="35" t="s">
        <v>522</v>
      </c>
      <c r="C6" s="35"/>
      <c r="D6" s="36" t="n">
        <v>75456</v>
      </c>
      <c r="E6" s="35" t="s">
        <v>184</v>
      </c>
      <c r="F6" s="35" t="s">
        <v>145</v>
      </c>
    </row>
    <row r="7" customFormat="false" ht="15" hidden="false" customHeight="false" outlineLevel="0" collapsed="false">
      <c r="A7" s="35" t="s">
        <v>320</v>
      </c>
      <c r="B7" s="35" t="s">
        <v>321</v>
      </c>
      <c r="C7" s="36" t="n">
        <v>11023</v>
      </c>
      <c r="D7" s="36" t="n">
        <v>26853</v>
      </c>
      <c r="E7" s="35" t="s">
        <v>213</v>
      </c>
      <c r="F7" s="35" t="s">
        <v>322</v>
      </c>
    </row>
    <row r="8" customFormat="false" ht="15" hidden="false" customHeight="false" outlineLevel="0" collapsed="false">
      <c r="A8" s="35" t="s">
        <v>121</v>
      </c>
      <c r="B8" s="35" t="s">
        <v>235</v>
      </c>
      <c r="C8" s="36" t="n">
        <v>8659</v>
      </c>
      <c r="D8" s="36" t="n">
        <v>45857</v>
      </c>
      <c r="E8" s="35" t="s">
        <v>213</v>
      </c>
      <c r="F8" s="35" t="s">
        <v>227</v>
      </c>
    </row>
    <row r="9" customFormat="false" ht="15" hidden="false" customHeight="false" outlineLevel="0" collapsed="false">
      <c r="A9" s="35" t="s">
        <v>121</v>
      </c>
      <c r="B9" s="35" t="s">
        <v>257</v>
      </c>
      <c r="C9" s="36" t="n">
        <v>11172</v>
      </c>
      <c r="D9" s="36" t="n">
        <v>45857</v>
      </c>
      <c r="E9" s="35" t="s">
        <v>184</v>
      </c>
      <c r="F9" s="35" t="s">
        <v>185</v>
      </c>
    </row>
    <row r="10" customFormat="false" ht="15" hidden="false" customHeight="false" outlineLevel="0" collapsed="false">
      <c r="A10" s="35" t="s">
        <v>121</v>
      </c>
      <c r="B10" s="35" t="s">
        <v>226</v>
      </c>
      <c r="C10" s="36" t="n">
        <v>8658</v>
      </c>
      <c r="D10" s="36" t="n">
        <v>45857</v>
      </c>
      <c r="E10" s="35" t="s">
        <v>213</v>
      </c>
      <c r="F10" s="35" t="s">
        <v>227</v>
      </c>
    </row>
    <row r="11" customFormat="false" ht="15" hidden="false" customHeight="false" outlineLevel="0" collapsed="false">
      <c r="A11" s="35" t="s">
        <v>121</v>
      </c>
      <c r="B11" s="35" t="s">
        <v>126</v>
      </c>
      <c r="C11" s="36" t="n">
        <v>11172</v>
      </c>
      <c r="D11" s="36" t="n">
        <v>45857</v>
      </c>
      <c r="E11" s="35" t="s">
        <v>184</v>
      </c>
      <c r="F11" s="35" t="s">
        <v>258</v>
      </c>
    </row>
    <row r="12" customFormat="false" ht="15" hidden="false" customHeight="false" outlineLevel="0" collapsed="false">
      <c r="A12" s="35" t="s">
        <v>121</v>
      </c>
      <c r="B12" s="35" t="s">
        <v>273</v>
      </c>
      <c r="C12" s="36" t="n">
        <v>10798</v>
      </c>
      <c r="D12" s="36" t="n">
        <v>45857</v>
      </c>
      <c r="E12" s="35" t="s">
        <v>184</v>
      </c>
      <c r="F12" s="35" t="s">
        <v>185</v>
      </c>
    </row>
    <row r="13" customFormat="false" ht="15" hidden="false" customHeight="false" outlineLevel="0" collapsed="false">
      <c r="A13" s="35" t="s">
        <v>121</v>
      </c>
      <c r="B13" s="35" t="s">
        <v>271</v>
      </c>
      <c r="C13" s="36" t="n">
        <v>10798</v>
      </c>
      <c r="D13" s="36" t="n">
        <v>45857</v>
      </c>
      <c r="E13" s="35" t="s">
        <v>184</v>
      </c>
      <c r="F13" s="35" t="s">
        <v>185</v>
      </c>
    </row>
    <row r="14" customFormat="false" ht="15" hidden="false" customHeight="false" outlineLevel="0" collapsed="false">
      <c r="A14" s="35" t="s">
        <v>121</v>
      </c>
      <c r="B14" s="35" t="s">
        <v>270</v>
      </c>
      <c r="C14" s="36" t="n">
        <v>11172</v>
      </c>
      <c r="D14" s="36" t="n">
        <v>45857</v>
      </c>
      <c r="E14" s="35" t="s">
        <v>184</v>
      </c>
      <c r="F14" s="35" t="s">
        <v>185</v>
      </c>
    </row>
    <row r="15" customFormat="false" ht="15" hidden="false" customHeight="false" outlineLevel="0" collapsed="false">
      <c r="A15" s="35" t="s">
        <v>216</v>
      </c>
      <c r="B15" s="35" t="s">
        <v>217</v>
      </c>
      <c r="C15" s="35"/>
      <c r="D15" s="36" t="n">
        <v>61153</v>
      </c>
      <c r="E15" s="35" t="s">
        <v>184</v>
      </c>
      <c r="F15" s="35" t="s">
        <v>218</v>
      </c>
    </row>
    <row r="16" customFormat="false" ht="15" hidden="false" customHeight="false" outlineLevel="0" collapsed="false">
      <c r="A16" s="35" t="s">
        <v>523</v>
      </c>
      <c r="B16" s="35" t="s">
        <v>524</v>
      </c>
      <c r="C16" s="35"/>
      <c r="D16" s="36" t="n">
        <v>44247</v>
      </c>
      <c r="E16" s="35" t="s">
        <v>184</v>
      </c>
      <c r="F16" s="35" t="s">
        <v>258</v>
      </c>
    </row>
    <row r="17" customFormat="false" ht="15" hidden="false" customHeight="false" outlineLevel="0" collapsed="false">
      <c r="A17" s="35" t="s">
        <v>233</v>
      </c>
      <c r="B17" s="35" t="s">
        <v>234</v>
      </c>
      <c r="C17" s="36" t="n">
        <v>7910</v>
      </c>
      <c r="D17" s="36" t="n">
        <v>57104</v>
      </c>
      <c r="E17" s="35" t="s">
        <v>184</v>
      </c>
      <c r="F17" s="35" t="s">
        <v>196</v>
      </c>
    </row>
    <row r="18" customFormat="false" ht="15" hidden="false" customHeight="false" outlineLevel="0" collapsed="false">
      <c r="A18" s="35" t="s">
        <v>525</v>
      </c>
      <c r="B18" s="35" t="s">
        <v>526</v>
      </c>
      <c r="C18" s="35"/>
      <c r="D18" s="35"/>
      <c r="E18" s="35" t="s">
        <v>193</v>
      </c>
      <c r="F18" s="35" t="s">
        <v>264</v>
      </c>
    </row>
    <row r="19" customFormat="false" ht="15" hidden="false" customHeight="false" outlineLevel="0" collapsed="false">
      <c r="A19" s="35" t="s">
        <v>127</v>
      </c>
      <c r="B19" s="35" t="s">
        <v>228</v>
      </c>
      <c r="C19" s="36" t="n">
        <v>10138</v>
      </c>
      <c r="D19" s="36" t="n">
        <v>69911</v>
      </c>
      <c r="E19" s="35" t="s">
        <v>229</v>
      </c>
      <c r="F19" s="35" t="s">
        <v>210</v>
      </c>
    </row>
    <row r="20" customFormat="false" ht="15" hidden="false" customHeight="false" outlineLevel="0" collapsed="false">
      <c r="A20" s="35" t="s">
        <v>277</v>
      </c>
      <c r="B20" s="35" t="s">
        <v>278</v>
      </c>
      <c r="C20" s="36" t="n">
        <v>7927</v>
      </c>
      <c r="D20" s="36" t="n">
        <v>69663</v>
      </c>
      <c r="E20" s="35" t="s">
        <v>279</v>
      </c>
      <c r="F20" s="35" t="s">
        <v>280</v>
      </c>
    </row>
    <row r="21" customFormat="false" ht="15" hidden="false" customHeight="false" outlineLevel="0" collapsed="false">
      <c r="A21" s="35" t="s">
        <v>135</v>
      </c>
      <c r="B21" s="35" t="s">
        <v>209</v>
      </c>
      <c r="C21" s="36" t="n">
        <v>10473</v>
      </c>
      <c r="D21" s="36" t="n">
        <v>32522</v>
      </c>
      <c r="E21" s="35" t="s">
        <v>184</v>
      </c>
      <c r="F21" s="35" t="s">
        <v>210</v>
      </c>
    </row>
    <row r="22" customFormat="false" ht="15" hidden="false" customHeight="false" outlineLevel="0" collapsed="false">
      <c r="A22" s="35" t="s">
        <v>144</v>
      </c>
      <c r="B22" s="35" t="s">
        <v>212</v>
      </c>
      <c r="C22" s="36" t="n">
        <v>10406</v>
      </c>
      <c r="D22" s="36" t="n">
        <v>60823</v>
      </c>
      <c r="E22" s="35" t="s">
        <v>213</v>
      </c>
      <c r="F22" s="35" t="s">
        <v>214</v>
      </c>
    </row>
    <row r="23" customFormat="false" ht="15" hidden="false" customHeight="false" outlineLevel="0" collapsed="false">
      <c r="A23" s="35" t="s">
        <v>144</v>
      </c>
      <c r="B23" s="35" t="s">
        <v>527</v>
      </c>
      <c r="C23" s="36" t="n">
        <v>10406</v>
      </c>
      <c r="D23" s="36" t="n">
        <v>60823</v>
      </c>
      <c r="E23" s="35" t="s">
        <v>528</v>
      </c>
      <c r="F23" s="35" t="s">
        <v>280</v>
      </c>
    </row>
    <row r="24" customFormat="false" ht="15" hidden="false" customHeight="false" outlineLevel="0" collapsed="false">
      <c r="A24" s="35" t="s">
        <v>194</v>
      </c>
      <c r="B24" s="35" t="s">
        <v>206</v>
      </c>
      <c r="C24" s="36" t="n">
        <v>10407</v>
      </c>
      <c r="D24" s="36" t="n">
        <v>33913</v>
      </c>
      <c r="E24" s="35" t="s">
        <v>184</v>
      </c>
      <c r="F24" s="35" t="s">
        <v>196</v>
      </c>
    </row>
    <row r="25" customFormat="false" ht="15" hidden="false" customHeight="false" outlineLevel="0" collapsed="false">
      <c r="A25" s="35" t="s">
        <v>194</v>
      </c>
      <c r="B25" s="35" t="s">
        <v>223</v>
      </c>
      <c r="C25" s="36" t="n">
        <v>10407</v>
      </c>
      <c r="D25" s="36" t="n">
        <v>33913</v>
      </c>
      <c r="E25" s="35" t="s">
        <v>184</v>
      </c>
      <c r="F25" s="35" t="s">
        <v>196</v>
      </c>
    </row>
    <row r="26" customFormat="false" ht="15" hidden="false" customHeight="false" outlineLevel="0" collapsed="false">
      <c r="A26" s="35" t="s">
        <v>194</v>
      </c>
      <c r="B26" s="35" t="s">
        <v>195</v>
      </c>
      <c r="C26" s="36" t="n">
        <v>10410</v>
      </c>
      <c r="D26" s="36" t="n">
        <v>33913</v>
      </c>
      <c r="E26" s="35" t="s">
        <v>184</v>
      </c>
      <c r="F26" s="35" t="s">
        <v>196</v>
      </c>
    </row>
    <row r="27" customFormat="false" ht="15" hidden="false" customHeight="false" outlineLevel="0" collapsed="false">
      <c r="A27" s="35" t="s">
        <v>194</v>
      </c>
      <c r="B27" s="35" t="s">
        <v>240</v>
      </c>
      <c r="C27" s="36" t="n">
        <v>7892</v>
      </c>
      <c r="D27" s="36" t="n">
        <v>33913</v>
      </c>
      <c r="E27" s="35" t="s">
        <v>184</v>
      </c>
      <c r="F27" s="35" t="s">
        <v>196</v>
      </c>
    </row>
    <row r="28" customFormat="false" ht="15" hidden="false" customHeight="false" outlineLevel="0" collapsed="false">
      <c r="A28" s="35" t="s">
        <v>194</v>
      </c>
      <c r="B28" s="35" t="s">
        <v>203</v>
      </c>
      <c r="C28" s="36" t="n">
        <v>7893</v>
      </c>
      <c r="D28" s="36" t="n">
        <v>33913</v>
      </c>
      <c r="E28" s="35" t="s">
        <v>184</v>
      </c>
      <c r="F28" s="35" t="s">
        <v>196</v>
      </c>
    </row>
    <row r="29" customFormat="false" ht="15" hidden="false" customHeight="false" outlineLevel="0" collapsed="false">
      <c r="A29" s="35" t="s">
        <v>194</v>
      </c>
      <c r="B29" s="35" t="s">
        <v>246</v>
      </c>
      <c r="C29" s="36" t="n">
        <v>7894</v>
      </c>
      <c r="D29" s="36" t="n">
        <v>33913</v>
      </c>
      <c r="E29" s="35" t="s">
        <v>184</v>
      </c>
      <c r="F29" s="35" t="s">
        <v>196</v>
      </c>
    </row>
    <row r="30" customFormat="false" ht="15" hidden="false" customHeight="false" outlineLevel="0" collapsed="false">
      <c r="A30" s="35" t="s">
        <v>194</v>
      </c>
      <c r="B30" s="35" t="s">
        <v>529</v>
      </c>
      <c r="C30" s="36" t="n">
        <v>7895</v>
      </c>
      <c r="D30" s="36" t="n">
        <v>33913</v>
      </c>
      <c r="E30" s="35" t="s">
        <v>184</v>
      </c>
      <c r="F30" s="35" t="s">
        <v>196</v>
      </c>
    </row>
    <row r="31" customFormat="false" ht="15" hidden="false" customHeight="false" outlineLevel="0" collapsed="false">
      <c r="A31" s="35" t="s">
        <v>194</v>
      </c>
      <c r="B31" s="35" t="s">
        <v>199</v>
      </c>
      <c r="C31" s="36" t="n">
        <v>7896</v>
      </c>
      <c r="D31" s="36" t="n">
        <v>33913</v>
      </c>
      <c r="E31" s="35" t="s">
        <v>184</v>
      </c>
      <c r="F31" s="35" t="s">
        <v>196</v>
      </c>
    </row>
    <row r="32" customFormat="false" ht="15" hidden="false" customHeight="false" outlineLevel="0" collapsed="false">
      <c r="A32" s="35" t="s">
        <v>147</v>
      </c>
      <c r="B32" s="35" t="s">
        <v>192</v>
      </c>
      <c r="C32" s="36" t="n">
        <v>10783</v>
      </c>
      <c r="D32" s="36" t="n">
        <v>22104</v>
      </c>
      <c r="E32" s="35" t="s">
        <v>193</v>
      </c>
      <c r="F32" s="35"/>
    </row>
    <row r="33" customFormat="false" ht="15" hidden="false" customHeight="false" outlineLevel="0" collapsed="false">
      <c r="A33" s="35" t="s">
        <v>147</v>
      </c>
      <c r="B33" s="35" t="s">
        <v>148</v>
      </c>
      <c r="C33" s="36" t="n">
        <v>10782</v>
      </c>
      <c r="D33" s="36" t="n">
        <v>22104</v>
      </c>
      <c r="E33" s="35" t="s">
        <v>213</v>
      </c>
      <c r="F33" s="35" t="s">
        <v>227</v>
      </c>
    </row>
    <row r="34" customFormat="false" ht="15" hidden="false" customHeight="false" outlineLevel="0" collapsed="false">
      <c r="A34" s="35" t="s">
        <v>147</v>
      </c>
      <c r="B34" s="35" t="s">
        <v>259</v>
      </c>
      <c r="C34" s="36" t="n">
        <v>11587</v>
      </c>
      <c r="D34" s="36" t="n">
        <v>22104</v>
      </c>
      <c r="E34" s="35" t="s">
        <v>260</v>
      </c>
      <c r="F34" s="35" t="s">
        <v>261</v>
      </c>
    </row>
    <row r="35" customFormat="false" ht="15" hidden="false" customHeight="false" outlineLevel="0" collapsed="false">
      <c r="A35" s="35" t="s">
        <v>530</v>
      </c>
      <c r="B35" s="35" t="s">
        <v>228</v>
      </c>
      <c r="C35" s="36" t="n">
        <v>11246</v>
      </c>
      <c r="D35" s="36" t="n">
        <v>43278</v>
      </c>
      <c r="E35" s="35" t="s">
        <v>210</v>
      </c>
      <c r="F35" s="35"/>
    </row>
    <row r="36" customFormat="false" ht="15" hidden="false" customHeight="false" outlineLevel="0" collapsed="false">
      <c r="A36" s="35" t="s">
        <v>232</v>
      </c>
      <c r="B36" s="35" t="s">
        <v>228</v>
      </c>
      <c r="C36" s="36" t="n">
        <v>8438</v>
      </c>
      <c r="D36" s="36" t="n">
        <v>69740</v>
      </c>
      <c r="E36" s="35" t="s">
        <v>210</v>
      </c>
      <c r="F36" s="35"/>
    </row>
    <row r="37" customFormat="false" ht="15" hidden="false" customHeight="false" outlineLevel="0" collapsed="false">
      <c r="A37" s="35" t="s">
        <v>275</v>
      </c>
      <c r="B37" s="35" t="s">
        <v>276</v>
      </c>
      <c r="C37" s="36" t="n">
        <v>11778</v>
      </c>
      <c r="D37" s="36" t="n">
        <v>20051</v>
      </c>
      <c r="E37" s="35" t="s">
        <v>210</v>
      </c>
      <c r="F37" s="35" t="s">
        <v>227</v>
      </c>
    </row>
    <row r="38" customFormat="false" ht="15" hidden="false" customHeight="false" outlineLevel="0" collapsed="false">
      <c r="A38" s="35" t="s">
        <v>531</v>
      </c>
      <c r="B38" s="35" t="s">
        <v>532</v>
      </c>
      <c r="C38" s="36" t="n">
        <v>10869</v>
      </c>
      <c r="D38" s="36" t="n">
        <v>31326</v>
      </c>
      <c r="E38" s="35" t="s">
        <v>184</v>
      </c>
      <c r="F38" s="35" t="s">
        <v>196</v>
      </c>
    </row>
    <row r="39" customFormat="false" ht="15" hidden="false" customHeight="false" outlineLevel="0" collapsed="false">
      <c r="A39" s="35" t="s">
        <v>252</v>
      </c>
      <c r="B39" s="35" t="s">
        <v>148</v>
      </c>
      <c r="C39" s="36" t="n">
        <v>10800</v>
      </c>
      <c r="D39" s="36" t="n">
        <v>38994</v>
      </c>
      <c r="E39" s="35" t="s">
        <v>213</v>
      </c>
      <c r="F39" s="35" t="s">
        <v>533</v>
      </c>
    </row>
    <row r="40" customFormat="false" ht="15" hidden="false" customHeight="false" outlineLevel="0" collapsed="false">
      <c r="A40" s="35" t="s">
        <v>252</v>
      </c>
      <c r="B40" s="35" t="s">
        <v>253</v>
      </c>
      <c r="C40" s="36" t="n">
        <v>10800</v>
      </c>
      <c r="D40" s="36" t="n">
        <v>38994</v>
      </c>
      <c r="E40" s="35" t="s">
        <v>213</v>
      </c>
      <c r="F40" s="35" t="s">
        <v>227</v>
      </c>
    </row>
    <row r="41" customFormat="false" ht="15" hidden="false" customHeight="false" outlineLevel="0" collapsed="false">
      <c r="A41" s="35" t="s">
        <v>252</v>
      </c>
      <c r="B41" s="35" t="s">
        <v>534</v>
      </c>
      <c r="C41" s="36" t="n">
        <v>10871</v>
      </c>
      <c r="D41" s="36" t="n">
        <v>38994</v>
      </c>
      <c r="E41" s="35" t="s">
        <v>213</v>
      </c>
      <c r="F41" s="35" t="s">
        <v>533</v>
      </c>
    </row>
    <row r="42" customFormat="false" ht="15" hidden="false" customHeight="false" outlineLevel="0" collapsed="false">
      <c r="A42" s="35" t="s">
        <v>535</v>
      </c>
      <c r="B42" s="35" t="s">
        <v>536</v>
      </c>
      <c r="C42" s="35"/>
      <c r="D42" s="35"/>
      <c r="E42" s="35" t="s">
        <v>213</v>
      </c>
      <c r="F42" s="35" t="s">
        <v>537</v>
      </c>
    </row>
    <row r="43" customFormat="false" ht="15" hidden="false" customHeight="false" outlineLevel="0" collapsed="false">
      <c r="A43" s="35" t="s">
        <v>155</v>
      </c>
      <c r="B43" s="35" t="s">
        <v>538</v>
      </c>
      <c r="C43" s="36" t="n">
        <v>12263</v>
      </c>
      <c r="D43" s="35"/>
      <c r="E43" s="35" t="s">
        <v>528</v>
      </c>
      <c r="F43" s="35" t="s">
        <v>280</v>
      </c>
    </row>
    <row r="44" customFormat="false" ht="15" hidden="false" customHeight="false" outlineLevel="0" collapsed="false">
      <c r="A44" s="35" t="s">
        <v>539</v>
      </c>
      <c r="B44" s="35" t="s">
        <v>540</v>
      </c>
      <c r="C44" s="35"/>
      <c r="D44" s="35"/>
      <c r="E44" s="35" t="s">
        <v>213</v>
      </c>
      <c r="F44" s="35" t="s">
        <v>537</v>
      </c>
    </row>
    <row r="45" customFormat="false" ht="15" hidden="false" customHeight="false" outlineLevel="0" collapsed="false">
      <c r="A45" s="35" t="s">
        <v>541</v>
      </c>
      <c r="B45" s="35" t="s">
        <v>542</v>
      </c>
      <c r="C45" s="35"/>
      <c r="D45" s="35"/>
      <c r="E45" s="35" t="s">
        <v>184</v>
      </c>
      <c r="F45" s="35" t="s">
        <v>218</v>
      </c>
    </row>
    <row r="46" customFormat="false" ht="15" hidden="false" customHeight="false" outlineLevel="0" collapsed="false">
      <c r="A46" s="35" t="s">
        <v>399</v>
      </c>
      <c r="B46" s="35" t="s">
        <v>402</v>
      </c>
      <c r="C46" s="36" t="n">
        <v>10479</v>
      </c>
      <c r="D46" s="36" t="n">
        <v>38996</v>
      </c>
      <c r="E46" s="35" t="s">
        <v>184</v>
      </c>
      <c r="F46" s="35" t="s">
        <v>258</v>
      </c>
    </row>
    <row r="47" customFormat="false" ht="15" hidden="false" customHeight="false" outlineLevel="0" collapsed="false">
      <c r="A47" s="35" t="s">
        <v>399</v>
      </c>
      <c r="B47" s="35" t="s">
        <v>400</v>
      </c>
      <c r="C47" s="36" t="n">
        <v>10479</v>
      </c>
      <c r="D47" s="36" t="n">
        <v>38996</v>
      </c>
      <c r="E47" s="35" t="s">
        <v>184</v>
      </c>
      <c r="F47" s="35" t="s">
        <v>258</v>
      </c>
    </row>
    <row r="48" customFormat="false" ht="15" hidden="false" customHeight="false" outlineLevel="0" collapsed="false">
      <c r="A48" s="35" t="s">
        <v>160</v>
      </c>
      <c r="B48" s="35" t="s">
        <v>476</v>
      </c>
      <c r="C48" s="36" t="n">
        <v>12088</v>
      </c>
      <c r="D48" s="36" t="n">
        <v>75720</v>
      </c>
      <c r="E48" s="35" t="s">
        <v>260</v>
      </c>
      <c r="F48" s="35" t="s">
        <v>261</v>
      </c>
    </row>
    <row r="49" customFormat="false" ht="15" hidden="false" customHeight="false" outlineLevel="0" collapsed="false">
      <c r="A49" s="35" t="s">
        <v>543</v>
      </c>
      <c r="B49" s="35" t="s">
        <v>544</v>
      </c>
      <c r="C49" s="35"/>
      <c r="D49" s="35"/>
      <c r="E49" s="35" t="s">
        <v>184</v>
      </c>
      <c r="F49" s="35" t="s">
        <v>196</v>
      </c>
    </row>
    <row r="50" customFormat="false" ht="15" hidden="false" customHeight="false" outlineLevel="0" collapsed="false">
      <c r="A50" s="35" t="s">
        <v>219</v>
      </c>
      <c r="B50" s="35" t="s">
        <v>206</v>
      </c>
      <c r="C50" s="36" t="n">
        <v>10417</v>
      </c>
      <c r="D50" s="36" t="n">
        <v>40169</v>
      </c>
      <c r="E50" s="35" t="s">
        <v>184</v>
      </c>
      <c r="F50" s="35" t="s">
        <v>196</v>
      </c>
    </row>
    <row r="51" customFormat="false" ht="15" hidden="false" customHeight="false" outlineLevel="0" collapsed="false">
      <c r="A51" s="35" t="s">
        <v>219</v>
      </c>
      <c r="B51" s="35" t="s">
        <v>220</v>
      </c>
      <c r="C51" s="36" t="n">
        <v>10415</v>
      </c>
      <c r="D51" s="36" t="n">
        <v>40169</v>
      </c>
      <c r="E51" s="35" t="s">
        <v>184</v>
      </c>
      <c r="F51" s="35" t="s">
        <v>196</v>
      </c>
    </row>
    <row r="52" customFormat="false" ht="15" hidden="false" customHeight="false" outlineLevel="0" collapsed="false">
      <c r="A52" s="35" t="s">
        <v>219</v>
      </c>
      <c r="B52" s="35" t="s">
        <v>340</v>
      </c>
      <c r="C52" s="36" t="n">
        <v>10418</v>
      </c>
      <c r="D52" s="36" t="n">
        <v>40169</v>
      </c>
      <c r="E52" s="35" t="s">
        <v>184</v>
      </c>
      <c r="F52" s="35" t="s">
        <v>196</v>
      </c>
    </row>
    <row r="53" customFormat="false" ht="15" hidden="false" customHeight="false" outlineLevel="0" collapsed="false">
      <c r="A53" s="35" t="s">
        <v>219</v>
      </c>
      <c r="B53" s="35" t="s">
        <v>345</v>
      </c>
      <c r="C53" s="36" t="n">
        <v>10419</v>
      </c>
      <c r="D53" s="36" t="n">
        <v>40169</v>
      </c>
      <c r="E53" s="35" t="s">
        <v>184</v>
      </c>
      <c r="F53" s="35" t="s">
        <v>196</v>
      </c>
    </row>
    <row r="54" customFormat="false" ht="15" hidden="false" customHeight="false" outlineLevel="0" collapsed="false">
      <c r="A54" s="35" t="s">
        <v>219</v>
      </c>
      <c r="B54" s="35" t="s">
        <v>343</v>
      </c>
      <c r="C54" s="36" t="n">
        <v>10420</v>
      </c>
      <c r="D54" s="36" t="n">
        <v>40169</v>
      </c>
      <c r="E54" s="35" t="s">
        <v>184</v>
      </c>
      <c r="F54" s="35" t="s">
        <v>196</v>
      </c>
    </row>
    <row r="55" customFormat="false" ht="15" hidden="false" customHeight="false" outlineLevel="0" collapsed="false">
      <c r="A55" s="35" t="s">
        <v>219</v>
      </c>
      <c r="B55" s="35" t="s">
        <v>223</v>
      </c>
      <c r="C55" s="36" t="n">
        <v>10417</v>
      </c>
      <c r="D55" s="36" t="n">
        <v>40169</v>
      </c>
      <c r="E55" s="35" t="s">
        <v>184</v>
      </c>
      <c r="F55" s="35" t="s">
        <v>196</v>
      </c>
    </row>
    <row r="56" customFormat="false" ht="15" hidden="false" customHeight="false" outlineLevel="0" collapsed="false">
      <c r="A56" s="35" t="s">
        <v>545</v>
      </c>
      <c r="B56" s="35" t="s">
        <v>546</v>
      </c>
      <c r="C56" s="35"/>
      <c r="D56" s="35"/>
      <c r="E56" s="35" t="s">
        <v>184</v>
      </c>
      <c r="F56" s="35" t="s">
        <v>196</v>
      </c>
    </row>
    <row r="57" customFormat="false" ht="15" hidden="false" customHeight="false" outlineLevel="0" collapsed="false">
      <c r="A57" s="35" t="s">
        <v>248</v>
      </c>
      <c r="B57" s="35" t="s">
        <v>249</v>
      </c>
      <c r="C57" s="36" t="n">
        <v>10423</v>
      </c>
      <c r="D57" s="36" t="n">
        <v>67555</v>
      </c>
      <c r="E57" s="35" t="s">
        <v>184</v>
      </c>
      <c r="F57" s="35" t="s">
        <v>196</v>
      </c>
    </row>
    <row r="58" customFormat="false" ht="15" hidden="false" customHeight="false" outlineLevel="0" collapsed="false">
      <c r="A58" s="35" t="s">
        <v>248</v>
      </c>
      <c r="B58" s="35" t="s">
        <v>255</v>
      </c>
      <c r="C58" s="36" t="n">
        <v>10424</v>
      </c>
      <c r="D58" s="36" t="n">
        <v>67555</v>
      </c>
      <c r="E58" s="35" t="s">
        <v>184</v>
      </c>
      <c r="F58" s="35" t="s">
        <v>196</v>
      </c>
    </row>
    <row r="59" customFormat="false" ht="15" hidden="false" customHeight="false" outlineLevel="0" collapsed="false">
      <c r="A59" s="35" t="s">
        <v>374</v>
      </c>
      <c r="B59" s="35" t="s">
        <v>414</v>
      </c>
      <c r="C59" s="36" t="n">
        <v>11217</v>
      </c>
      <c r="D59" s="36" t="n">
        <v>45238</v>
      </c>
      <c r="E59" s="35" t="s">
        <v>213</v>
      </c>
      <c r="F59" s="35" t="s">
        <v>227</v>
      </c>
    </row>
    <row r="60" customFormat="false" ht="15" hidden="false" customHeight="false" outlineLevel="0" collapsed="false">
      <c r="A60" s="35" t="s">
        <v>374</v>
      </c>
      <c r="B60" s="35" t="s">
        <v>375</v>
      </c>
      <c r="C60" s="36" t="n">
        <v>11217</v>
      </c>
      <c r="D60" s="36" t="n">
        <v>45238</v>
      </c>
      <c r="E60" s="35" t="s">
        <v>213</v>
      </c>
      <c r="F60" s="35" t="s">
        <v>376</v>
      </c>
    </row>
    <row r="61" customFormat="false" ht="15" hidden="false" customHeight="false" outlineLevel="0" collapsed="false">
      <c r="A61" s="35" t="s">
        <v>374</v>
      </c>
      <c r="B61" s="35" t="s">
        <v>495</v>
      </c>
      <c r="C61" s="36" t="n">
        <v>9916</v>
      </c>
      <c r="D61" s="36" t="n">
        <v>45238</v>
      </c>
      <c r="E61" s="35" t="s">
        <v>213</v>
      </c>
      <c r="F61" s="35" t="s">
        <v>376</v>
      </c>
    </row>
    <row r="62" customFormat="false" ht="15" hidden="false" customHeight="false" outlineLevel="0" collapsed="false">
      <c r="A62" s="35" t="s">
        <v>547</v>
      </c>
      <c r="B62" s="35" t="s">
        <v>546</v>
      </c>
      <c r="C62" s="35"/>
      <c r="D62" s="35"/>
      <c r="E62" s="35" t="s">
        <v>184</v>
      </c>
      <c r="F62" s="35" t="s">
        <v>218</v>
      </c>
    </row>
    <row r="63" customFormat="false" ht="15" hidden="false" customHeight="false" outlineLevel="0" collapsed="false">
      <c r="A63" s="35" t="s">
        <v>182</v>
      </c>
      <c r="B63" s="35" t="s">
        <v>183</v>
      </c>
      <c r="C63" s="36" t="n">
        <v>10118</v>
      </c>
      <c r="D63" s="36" t="n">
        <v>74708</v>
      </c>
      <c r="E63" s="35" t="s">
        <v>184</v>
      </c>
      <c r="F63" s="35" t="s">
        <v>185</v>
      </c>
    </row>
    <row r="64" customFormat="false" ht="15" hidden="false" customHeight="false" outlineLevel="0" collapsed="false">
      <c r="A64" s="35" t="s">
        <v>548</v>
      </c>
      <c r="B64" s="35" t="s">
        <v>549</v>
      </c>
      <c r="C64" s="36" t="n">
        <v>10422</v>
      </c>
      <c r="D64" s="36" t="n">
        <v>38969</v>
      </c>
      <c r="E64" s="35" t="s">
        <v>184</v>
      </c>
      <c r="F64" s="35" t="s">
        <v>196</v>
      </c>
    </row>
    <row r="65" customFormat="false" ht="15" hidden="false" customHeight="false" outlineLevel="0" collapsed="false">
      <c r="A65" s="35" t="s">
        <v>511</v>
      </c>
      <c r="B65" s="35" t="s">
        <v>512</v>
      </c>
      <c r="C65" s="36" t="n">
        <v>12584</v>
      </c>
      <c r="D65" s="36" t="n">
        <v>79328</v>
      </c>
      <c r="E65" s="35" t="s">
        <v>213</v>
      </c>
      <c r="F65" s="35" t="s">
        <v>227</v>
      </c>
    </row>
    <row r="66" customFormat="false" ht="15" hidden="false" customHeight="false" outlineLevel="0" collapsed="false">
      <c r="A66" s="35" t="s">
        <v>237</v>
      </c>
      <c r="B66" s="35" t="s">
        <v>238</v>
      </c>
      <c r="C66" s="36" t="n">
        <v>10824</v>
      </c>
      <c r="D66" s="36" t="n">
        <v>44467</v>
      </c>
      <c r="E66" s="35" t="s">
        <v>184</v>
      </c>
      <c r="F66" s="35" t="s">
        <v>185</v>
      </c>
    </row>
    <row r="67" customFormat="false" ht="15" hidden="false" customHeight="false" outlineLevel="0" collapsed="false">
      <c r="A67" s="35" t="s">
        <v>550</v>
      </c>
      <c r="B67" s="35" t="s">
        <v>126</v>
      </c>
      <c r="C67" s="35"/>
      <c r="D67" s="35"/>
      <c r="E67" s="35" t="s">
        <v>184</v>
      </c>
      <c r="F67" s="35" t="s">
        <v>258</v>
      </c>
    </row>
    <row r="68" customFormat="false" ht="15" hidden="false" customHeight="false" outlineLevel="0" collapsed="false">
      <c r="A68" s="35" t="s">
        <v>164</v>
      </c>
      <c r="B68" s="35" t="s">
        <v>263</v>
      </c>
      <c r="C68" s="36" t="n">
        <v>10833</v>
      </c>
      <c r="D68" s="36" t="n">
        <v>46597</v>
      </c>
      <c r="E68" s="35" t="s">
        <v>193</v>
      </c>
      <c r="F68" s="35" t="s">
        <v>264</v>
      </c>
    </row>
    <row r="69" customFormat="false" ht="15" hidden="false" customHeight="false" outlineLevel="0" collapsed="false">
      <c r="A69" s="35" t="s">
        <v>164</v>
      </c>
      <c r="B69" s="35" t="s">
        <v>209</v>
      </c>
      <c r="C69" s="36" t="n">
        <v>11053</v>
      </c>
      <c r="D69" s="36" t="n">
        <v>46597</v>
      </c>
      <c r="E69" s="35" t="s">
        <v>184</v>
      </c>
      <c r="F69" s="35" t="s">
        <v>372</v>
      </c>
    </row>
    <row r="70" customFormat="false" ht="15" hidden="false" customHeight="false" outlineLevel="0" collapsed="false">
      <c r="A70" s="35" t="s">
        <v>164</v>
      </c>
      <c r="B70" s="35" t="s">
        <v>327</v>
      </c>
      <c r="C70" s="36" t="n">
        <v>11631</v>
      </c>
      <c r="D70" s="36" t="n">
        <v>46597</v>
      </c>
      <c r="E70" s="35" t="s">
        <v>193</v>
      </c>
      <c r="F70" s="35" t="s">
        <v>328</v>
      </c>
    </row>
    <row r="71" customFormat="false" ht="15" hidden="false" customHeight="false" outlineLevel="0" collapsed="false">
      <c r="A71" s="35" t="s">
        <v>361</v>
      </c>
      <c r="B71" s="35" t="s">
        <v>362</v>
      </c>
      <c r="C71" s="36" t="n">
        <v>7911</v>
      </c>
      <c r="D71" s="36" t="n">
        <v>302</v>
      </c>
      <c r="E71" s="35" t="s">
        <v>184</v>
      </c>
      <c r="F71" s="35" t="s">
        <v>196</v>
      </c>
    </row>
    <row r="72" customFormat="false" ht="15" hidden="false" customHeight="false" outlineLevel="0" collapsed="false">
      <c r="A72" s="35" t="s">
        <v>361</v>
      </c>
      <c r="B72" s="35" t="s">
        <v>484</v>
      </c>
      <c r="C72" s="36" t="n">
        <v>7911</v>
      </c>
      <c r="D72" s="36" t="n">
        <v>302</v>
      </c>
      <c r="E72" s="35" t="s">
        <v>184</v>
      </c>
      <c r="F72" s="35" t="s">
        <v>196</v>
      </c>
    </row>
  </sheetData>
  <autoFilter ref="A1:F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551</v>
      </c>
    </row>
    <row r="2" customFormat="false" ht="15" hidden="false" customHeight="false" outlineLevel="0" collapsed="false">
      <c r="A2" s="2" t="s">
        <v>552</v>
      </c>
    </row>
    <row r="4" customFormat="false" ht="15" hidden="false" customHeight="false" outlineLevel="0" collapsed="false">
      <c r="A4" s="16" t="s">
        <v>553</v>
      </c>
      <c r="B4" s="16" t="s">
        <v>56</v>
      </c>
      <c r="C4" s="16" t="s">
        <v>554</v>
      </c>
      <c r="D4" s="16" t="s">
        <v>555</v>
      </c>
      <c r="F4" s="16" t="s">
        <v>556</v>
      </c>
      <c r="G4" s="16" t="s">
        <v>557</v>
      </c>
      <c r="H4" s="16" t="s">
        <v>558</v>
      </c>
      <c r="I4" s="16" t="s">
        <v>559</v>
      </c>
      <c r="J4" s="16" t="s">
        <v>560</v>
      </c>
    </row>
    <row r="5" customFormat="false" ht="15" hidden="false" customHeight="false" outlineLevel="0" collapsed="false">
      <c r="A5" s="0" t="n">
        <v>1</v>
      </c>
      <c r="B5" s="0" t="n">
        <f aca="false">IF(AND($C5=0,$D5=0),"",IF($C5=0,$D5,IF($D5=0,$C5,MIN($C5,$D5))))</f>
        <v>7892</v>
      </c>
      <c r="C5" s="0" t="n">
        <f aca="false">IFERROR(_xlfn.MINIFS('SC Change Orders'!$B$2:$B$501,'SC Change Orders'!$B$2:$B$501,"&gt;"&amp;0,'SC Change Orders'!$C$2:$C$501,"&gt;="&amp;Controls!$C$5,'SC Change Orders'!$C$2:$C$501,"&lt;="&amp;Controls!$C$6),0)</f>
        <v>8658</v>
      </c>
      <c r="D5" s="0" t="n">
        <f aca="false">IFERROR(_xlfn.MINIFS(_MainTable!$F$2:$F$2001,_MainTable!$F$2:$F$2001,"&gt;"&amp;0,_MainTable!$G$2:$G$2001,"&gt;="&amp;Controls!$C$5,_MainTable!$G$2:$G$2001,"&lt;="&amp;Controls!$C$6),0)</f>
        <v>7892</v>
      </c>
      <c r="F5" s="0" t="str">
        <f aca="false">IF('PO Tracker'!$A5="","",'PO Tracker'!$A5)</f>
        <v>FMS INC</v>
      </c>
      <c r="G5" s="0" t="n">
        <f aca="false">IF($F5="","",IF(COUNTIF($F$5:$F5,$F5)=1,MAX($G$4)+1,""))</f>
        <v>1</v>
      </c>
      <c r="H5" s="0" t="str">
        <f aca="false">IFERROR(INDEX($F$5:$F$84,MATCH($A5,$G$5:$G$84,0)),"")</f>
        <v>FMS INC</v>
      </c>
      <c r="I5" s="0" t="n">
        <f aca="false">IF($H5="","",COUNTIF($H$5:$H$84,"&lt;"&amp;$H5)+1)</f>
        <v>64</v>
      </c>
      <c r="J5" s="0" t="str">
        <f aca="false">IFERROR(INDEX($H$5:$H$84,MATCH(SMALL($I$5:$I$84,$A5),$I$5:$I$84,0)),"")</f>
        <v>ACCESSONE</v>
      </c>
    </row>
    <row r="6" customFormat="false" ht="15" hidden="false" customHeight="false" outlineLevel="0" collapsed="false">
      <c r="A6" s="0" t="n">
        <v>2</v>
      </c>
      <c r="B6" s="0" t="n">
        <f aca="false">IF(AND($C6=0,$D6=0),"",IF($C6=0,$D6,IF($D6=0,$C6,MIN($C6,$D6))))</f>
        <v>7893</v>
      </c>
      <c r="C6" s="0" t="n">
        <f aca="false">IF($B5="",0,IFERROR(_xlfn.MINIFS('SC Change Orders'!$B$2:$B$501,'SC Change Orders'!$B$2:$B$501,"&gt;"&amp;$B5,'SC Change Orders'!$C$2:$C$501,"&gt;="&amp;Controls!$C$5,'SC Change Orders'!$C$2:$C$501,"&lt;="&amp;Controls!$C$6),0))</f>
        <v>8658</v>
      </c>
      <c r="D6" s="0" t="n">
        <f aca="false">IF($B5="",0,IFERROR(_xlfn.MINIFS(_MainTable!$F$2:$F$2001,_MainTable!$F$2:$F$2001,"&gt;"&amp;$B5,_MainTable!$G$2:$G$2001,"&gt;="&amp;Controls!$C$5,_MainTable!$G$2:$G$2001,"&lt;="&amp;Controls!$C$6),0))</f>
        <v>7893</v>
      </c>
      <c r="F6" s="0" t="str">
        <f aca="false">IF('PO Tracker'!$A6="","",'PO Tracker'!$A6)</f>
        <v>FMS INC</v>
      </c>
      <c r="G6" s="0" t="str">
        <f aca="false">IF($F6="","",IF(COUNTIF($F$5:$F6,$F6)=1,MAX($G$5:G5)+1,""))</f>
        <v/>
      </c>
      <c r="H6" s="0" t="str">
        <f aca="false">IFERROR(INDEX($F$5:$F$84,MATCH($A6,$G$5:$G$84,0)),"")</f>
        <v>FORTE LLC</v>
      </c>
      <c r="I6" s="0" t="n">
        <f aca="false">IF($H6="","",COUNTIF($H$5:$H$84,"&lt;"&amp;$H6)+1)</f>
        <v>65</v>
      </c>
      <c r="J6" s="0" t="str">
        <f aca="false">IFERROR(INDEX($H$5:$H$84,MATCH(SMALL($I$5:$I$84,$A6),$I$5:$I$84,0)),"")</f>
        <v>ASPIRION HEALTH RESOURCES</v>
      </c>
    </row>
    <row r="7" customFormat="false" ht="15" hidden="false" customHeight="false" outlineLevel="0" collapsed="false">
      <c r="A7" s="0" t="n">
        <v>3</v>
      </c>
      <c r="B7" s="0" t="n">
        <f aca="false">IF(AND($C7=0,$D7=0),"",IF($C7=0,$D7,IF($D7=0,$C7,MIN($C7,$D7))))</f>
        <v>7894</v>
      </c>
      <c r="C7" s="0" t="n">
        <f aca="false">IF($B6="",0,IFERROR(_xlfn.MINIFS('SC Change Orders'!$B$2:$B$501,'SC Change Orders'!$B$2:$B$501,"&gt;"&amp;$B6,'SC Change Orders'!$C$2:$C$501,"&gt;="&amp;Controls!$C$5,'SC Change Orders'!$C$2:$C$501,"&lt;="&amp;Controls!$C$6),0))</f>
        <v>8658</v>
      </c>
      <c r="D7" s="0" t="n">
        <f aca="false">IF($B6="",0,IFERROR(_xlfn.MINIFS(_MainTable!$F$2:$F$2001,_MainTable!$F$2:$F$2001,"&gt;"&amp;$B6,_MainTable!$G$2:$G$2001,"&gt;="&amp;Controls!$C$5,_MainTable!$G$2:$G$2001,"&lt;="&amp;Controls!$C$6),0))</f>
        <v>7894</v>
      </c>
      <c r="F7" s="0" t="str">
        <f aca="false">IF('PO Tracker'!$A7="","",'PO Tracker'!$A7)</f>
        <v>FMS INC</v>
      </c>
      <c r="G7" s="0" t="str">
        <f aca="false">IF($F7="","",IF(COUNTIF($F$5:$F7,$F7)=1,MAX($G$5:G6)+1,""))</f>
        <v/>
      </c>
      <c r="H7" s="0" t="str">
        <f aca="false">IFERROR(INDEX($F$5:$F$84,MATCH($A7,$G$5:$G$84,0)),"")</f>
        <v>HAWLEY TROXELL ENNIS HAWLEY</v>
      </c>
      <c r="I7" s="0" t="n">
        <f aca="false">IF($H7="","",COUNTIF($H$5:$H$84,"&lt;"&amp;$H7)+1)</f>
        <v>67</v>
      </c>
      <c r="J7" s="0" t="str">
        <f aca="false">IFERROR(INDEX($H$5:$H$84,MATCH(SMALL($I$5:$I$84,$A7),$I$5:$I$84,0)),"")</f>
        <v>CIOX HEALTH LLC</v>
      </c>
    </row>
    <row r="8" customFormat="false" ht="15" hidden="false" customHeight="false" outlineLevel="0" collapsed="false">
      <c r="A8" s="0" t="n">
        <v>4</v>
      </c>
      <c r="B8" s="0" t="n">
        <f aca="false">IF(AND($C8=0,$D8=0),"",IF($C8=0,$D8,IF($D8=0,$C8,MIN($C8,$D8))))</f>
        <v>7896</v>
      </c>
      <c r="C8" s="0" t="n">
        <f aca="false">IF($B7="",0,IFERROR(_xlfn.MINIFS('SC Change Orders'!$B$2:$B$501,'SC Change Orders'!$B$2:$B$501,"&gt;"&amp;$B7,'SC Change Orders'!$C$2:$C$501,"&gt;="&amp;Controls!$C$5,'SC Change Orders'!$C$2:$C$501,"&lt;="&amp;Controls!$C$6),0))</f>
        <v>8658</v>
      </c>
      <c r="D8" s="0" t="n">
        <f aca="false">IF($B7="",0,IFERROR(_xlfn.MINIFS(_MainTable!$F$2:$F$2001,_MainTable!$F$2:$F$2001,"&gt;"&amp;$B7,_MainTable!$G$2:$G$2001,"&gt;="&amp;Controls!$C$5,_MainTable!$G$2:$G$2001,"&lt;="&amp;Controls!$C$6),0))</f>
        <v>7896</v>
      </c>
      <c r="F8" s="0" t="str">
        <f aca="false">IF('PO Tracker'!$A8="","",'PO Tracker'!$A8)</f>
        <v>FMS INC</v>
      </c>
      <c r="G8" s="0" t="str">
        <f aca="false">IF($F8="","",IF(COUNTIF($F$5:$F8,$F8)=1,MAX($G$5:G7)+1,""))</f>
        <v/>
      </c>
      <c r="H8" s="0" t="str">
        <f aca="false">IFERROR(INDEX($F$5:$F$84,MATCH($A8,$G$5:$G$84,0)),"")</f>
        <v>ETYON</v>
      </c>
      <c r="I8" s="0" t="n">
        <f aca="false">IF($H8="","",COUNTIF($H$5:$H$84,"&lt;"&amp;$H8)+1)</f>
        <v>61</v>
      </c>
      <c r="J8" s="0" t="str">
        <f aca="false">IFERROR(INDEX($H$5:$H$84,MATCH(SMALL($I$5:$I$84,$A8),$I$5:$I$84,0)),"")</f>
        <v>CLOUDMED</v>
      </c>
    </row>
    <row r="9" customFormat="false" ht="15" hidden="false" customHeight="false" outlineLevel="0" collapsed="false">
      <c r="A9" s="0" t="n">
        <v>5</v>
      </c>
      <c r="B9" s="0" t="n">
        <f aca="false">IF(AND($C9=0,$D9=0),"",IF($C9=0,$D9,IF($D9=0,$C9,MIN($C9,$D9))))</f>
        <v>7910</v>
      </c>
      <c r="C9" s="0" t="n">
        <f aca="false">IF($B8="",0,IFERROR(_xlfn.MINIFS('SC Change Orders'!$B$2:$B$501,'SC Change Orders'!$B$2:$B$501,"&gt;"&amp;$B8,'SC Change Orders'!$C$2:$C$501,"&gt;="&amp;Controls!$C$5,'SC Change Orders'!$C$2:$C$501,"&lt;="&amp;Controls!$C$6),0))</f>
        <v>8658</v>
      </c>
      <c r="D9" s="0" t="n">
        <f aca="false">IF($B8="",0,IFERROR(_xlfn.MINIFS(_MainTable!$F$2:$F$2001,_MainTable!$F$2:$F$2001,"&gt;"&amp;$B8,_MainTable!$G$2:$G$2001,"&gt;="&amp;Controls!$C$5,_MainTable!$G$2:$G$2001,"&lt;="&amp;Controls!$C$6),0))</f>
        <v>7910</v>
      </c>
      <c r="F9" s="0" t="str">
        <f aca="false">IF('PO Tracker'!$A9="","",'PO Tracker'!$A9)</f>
        <v>FORTE LLC</v>
      </c>
      <c r="G9" s="0" t="n">
        <f aca="false">IF($F9="","",IF(COUNTIF($F$5:$F9,$F9)=1,MAX($G$5:G8)+1,""))</f>
        <v>2</v>
      </c>
      <c r="H9" s="0" t="str">
        <f aca="false">IFERROR(INDEX($F$5:$F$84,MATCH($A9,$G$5:$G$84,0)),"")</f>
        <v>HEALTHFUSE LLC</v>
      </c>
      <c r="I9" s="0" t="n">
        <f aca="false">IF($H9="","",COUNTIF($H$5:$H$84,"&lt;"&amp;$H9)+1)</f>
        <v>68</v>
      </c>
      <c r="J9" s="0" t="str">
        <f aca="false">IFERROR(INDEX($H$5:$H$84,MATCH(SMALL($I$5:$I$84,$A9),$I$5:$I$84,0)),"")</f>
        <v>EPIC ADVISORS GROUP LLC</v>
      </c>
    </row>
    <row r="10" customFormat="false" ht="15" hidden="false" customHeight="false" outlineLevel="0" collapsed="false">
      <c r="A10" s="0" t="n">
        <v>6</v>
      </c>
      <c r="B10" s="0" t="n">
        <f aca="false">IF(AND($C10=0,$D10=0),"",IF($C10=0,$D10,IF($D10=0,$C10,MIN($C10,$D10))))</f>
        <v>7911</v>
      </c>
      <c r="C10" s="0" t="n">
        <f aca="false">IF($B9="",0,IFERROR(_xlfn.MINIFS('SC Change Orders'!$B$2:$B$501,'SC Change Orders'!$B$2:$B$501,"&gt;"&amp;$B9,'SC Change Orders'!$C$2:$C$501,"&gt;="&amp;Controls!$C$5,'SC Change Orders'!$C$2:$C$501,"&lt;="&amp;Controls!$C$6),0))</f>
        <v>8658</v>
      </c>
      <c r="D10" s="0" t="n">
        <f aca="false">IF($B9="",0,IFERROR(_xlfn.MINIFS(_MainTable!$F$2:$F$2001,_MainTable!$F$2:$F$2001,"&gt;"&amp;$B9,_MainTable!$G$2:$G$2001,"&gt;="&amp;Controls!$C$5,_MainTable!$G$2:$G$2001,"&lt;="&amp;Controls!$C$6),0))</f>
        <v>7911</v>
      </c>
      <c r="F10" s="0" t="str">
        <f aca="false">IF('PO Tracker'!$A10="","",'PO Tracker'!$A10)</f>
        <v>HAWLEY TROXELL ENNIS HAWLEY</v>
      </c>
      <c r="G10" s="0" t="n">
        <f aca="false">IF($F10="","",IF(COUNTIF($F$5:$F10,$F10)=1,MAX($G$5:G9)+1,""))</f>
        <v>3</v>
      </c>
      <c r="H10" s="0" t="str">
        <f aca="false">IFERROR(INDEX($F$5:$F$84,MATCH($A10,$G$5:$G$84,0)),"")</f>
        <v>CLOUDMED</v>
      </c>
      <c r="I10" s="0" t="n">
        <f aca="false">IF($H10="","",COUNTIF($H$5:$H$84,"&lt;"&amp;$H10)+1)</f>
        <v>59</v>
      </c>
      <c r="J10" s="0" t="str">
        <f aca="false">IFERROR(INDEX($H$5:$H$84,MATCH(SMALL($I$5:$I$84,$A10),$I$5:$I$84,0)),"")</f>
        <v>ETYON</v>
      </c>
    </row>
    <row r="11" customFormat="false" ht="15" hidden="false" customHeight="false" outlineLevel="0" collapsed="false">
      <c r="A11" s="0" t="n">
        <v>7</v>
      </c>
      <c r="B11" s="0" t="n">
        <f aca="false">IF(AND($C11=0,$D11=0),"",IF($C11=0,$D11,IF($D11=0,$C11,MIN($C11,$D11))))</f>
        <v>7927</v>
      </c>
      <c r="C11" s="0" t="n">
        <f aca="false">IF($B10="",0,IFERROR(_xlfn.MINIFS('SC Change Orders'!$B$2:$B$501,'SC Change Orders'!$B$2:$B$501,"&gt;"&amp;$B10,'SC Change Orders'!$C$2:$C$501,"&gt;="&amp;Controls!$C$5,'SC Change Orders'!$C$2:$C$501,"&lt;="&amp;Controls!$C$6),0))</f>
        <v>8658</v>
      </c>
      <c r="D11" s="0" t="n">
        <f aca="false">IF($B10="",0,IFERROR(_xlfn.MINIFS(_MainTable!$F$2:$F$2001,_MainTable!$F$2:$F$2001,"&gt;"&amp;$B10,_MainTable!$G$2:$G$2001,"&gt;="&amp;Controls!$C$5,_MainTable!$G$2:$G$2001,"&lt;="&amp;Controls!$C$6),0))</f>
        <v>7927</v>
      </c>
      <c r="F11" s="0" t="str">
        <f aca="false">IF('PO Tracker'!$A11="","",'PO Tracker'!$A11)</f>
        <v>ETYON</v>
      </c>
      <c r="G11" s="0" t="n">
        <f aca="false">IF($F11="","",IF(COUNTIF($F$5:$F11,$F11)=1,MAX($G$5:G10)+1,""))</f>
        <v>4</v>
      </c>
      <c r="H11" s="0" t="str">
        <f aca="false">IFERROR(INDEX($F$5:$F$84,MATCH($A11,$G$5:$G$84,0)),"")</f>
        <v>SOLVENTUM HEALTH INFO SYSTEM</v>
      </c>
      <c r="I11" s="0" t="n">
        <f aca="false">IF($H11="","",COUNTIF($H$5:$H$84,"&lt;"&amp;$H11)+1)</f>
        <v>76</v>
      </c>
      <c r="J11" s="0" t="str">
        <f aca="false">IFERROR(INDEX($H$5:$H$84,MATCH(SMALL($I$5:$I$84,$A11),$I$5:$I$84,0)),"")</f>
        <v>EXPERIAN HEALTH</v>
      </c>
    </row>
    <row r="12" customFormat="false" ht="15" hidden="false" customHeight="false" outlineLevel="0" collapsed="false">
      <c r="A12" s="0" t="n">
        <v>8</v>
      </c>
      <c r="B12" s="0" t="n">
        <f aca="false">IF(AND($C12=0,$D12=0),"",IF($C12=0,$D12,IF($D12=0,$C12,MIN($C12,$D12))))</f>
        <v>8438</v>
      </c>
      <c r="C12" s="0" t="n">
        <f aca="false">IF($B11="",0,IFERROR(_xlfn.MINIFS('SC Change Orders'!$B$2:$B$501,'SC Change Orders'!$B$2:$B$501,"&gt;"&amp;$B11,'SC Change Orders'!$C$2:$C$501,"&gt;="&amp;Controls!$C$5,'SC Change Orders'!$C$2:$C$501,"&lt;="&amp;Controls!$C$6),0))</f>
        <v>8658</v>
      </c>
      <c r="D12" s="0" t="n">
        <f aca="false">IF($B11="",0,IFERROR(_xlfn.MINIFS(_MainTable!$F$2:$F$2001,_MainTable!$F$2:$F$2001,"&gt;"&amp;$B11,_MainTable!$G$2:$G$2001,"&gt;="&amp;Controls!$C$5,_MainTable!$G$2:$G$2001,"&lt;="&amp;Controls!$C$6),0))</f>
        <v>8438</v>
      </c>
      <c r="F12" s="0" t="str">
        <f aca="false">IF('PO Tracker'!$A12="","",'PO Tracker'!$A12)</f>
        <v>HEALTHFUSE LLC</v>
      </c>
      <c r="G12" s="0" t="n">
        <f aca="false">IF($F12="","",IF(COUNTIF($F$5:$F12,$F12)=1,MAX($G$5:G11)+1,""))</f>
        <v>5</v>
      </c>
      <c r="H12" s="0" t="str">
        <f aca="false">IFERROR(INDEX($F$5:$F$84,MATCH($A12,$G$5:$G$84,0)),"")</f>
        <v>TERNIUM LLC</v>
      </c>
      <c r="I12" s="0" t="n">
        <f aca="false">IF($H12="","",COUNTIF($H$5:$H$84,"&lt;"&amp;$H12)+1)</f>
        <v>77</v>
      </c>
      <c r="J12" s="0" t="str">
        <f aca="false">IFERROR(INDEX($H$5:$H$84,MATCH(SMALL($I$5:$I$84,$A12),$I$5:$I$84,0)),"")</f>
        <v>FINTHRIVE HEALTHCARE INC</v>
      </c>
    </row>
    <row r="13" customFormat="false" ht="15" hidden="false" customHeight="false" outlineLevel="0" collapsed="false">
      <c r="A13" s="0" t="n">
        <v>9</v>
      </c>
      <c r="B13" s="0" t="n">
        <f aca="false">IF(AND($C13=0,$D13=0),"",IF($C13=0,$D13,IF($D13=0,$C13,MIN($C13,$D13))))</f>
        <v>8658</v>
      </c>
      <c r="C13" s="0" t="n">
        <f aca="false">IF($B12="",0,IFERROR(_xlfn.MINIFS('SC Change Orders'!$B$2:$B$501,'SC Change Orders'!$B$2:$B$501,"&gt;"&amp;$B12,'SC Change Orders'!$C$2:$C$501,"&gt;="&amp;Controls!$C$5,'SC Change Orders'!$C$2:$C$501,"&lt;="&amp;Controls!$C$6),0))</f>
        <v>8658</v>
      </c>
      <c r="D13" s="0" t="n">
        <f aca="false">IF($B12="",0,IFERROR(_xlfn.MINIFS(_MainTable!$F$2:$F$2001,_MainTable!$F$2:$F$2001,"&gt;"&amp;$B12,_MainTable!$G$2:$G$2001,"&gt;="&amp;Controls!$C$5,_MainTable!$G$2:$G$2001,"&lt;="&amp;Controls!$C$6),0))</f>
        <v>8658</v>
      </c>
      <c r="F13" s="0" t="str">
        <f aca="false">IF('PO Tracker'!$A13="","",'PO Tracker'!$A13)</f>
        <v>CLOUDMED</v>
      </c>
      <c r="G13" s="0" t="n">
        <f aca="false">IF($F13="","",IF(COUNTIF($F$5:$F13,$F13)=1,MAX($G$5:G12)+1,""))</f>
        <v>6</v>
      </c>
      <c r="H13" s="0" t="str">
        <f aca="false">IFERROR(INDEX($F$5:$F$84,MATCH($A13,$G$5:$G$84,0)),"")</f>
        <v>EPIC ADVISORS GROUP LLC</v>
      </c>
      <c r="I13" s="0" t="n">
        <f aca="false">IF($H13="","",COUNTIF($H$5:$H$84,"&lt;"&amp;$H13)+1)</f>
        <v>60</v>
      </c>
      <c r="J13" s="0" t="str">
        <f aca="false">IFERROR(INDEX($H$5:$H$84,MATCH(SMALL($I$5:$I$84,$A13),$I$5:$I$84,0)),"")</f>
        <v>FMS INC</v>
      </c>
    </row>
    <row r="14" customFormat="false" ht="15" hidden="false" customHeight="false" outlineLevel="0" collapsed="false">
      <c r="A14" s="0" t="n">
        <v>10</v>
      </c>
      <c r="B14" s="0" t="n">
        <f aca="false">IF(AND($C14=0,$D14=0),"",IF($C14=0,$D14,IF($D14=0,$C14,MIN($C14,$D14))))</f>
        <v>8659</v>
      </c>
      <c r="C14" s="0" t="n">
        <f aca="false">IF($B13="",0,IFERROR(_xlfn.MINIFS('SC Change Orders'!$B$2:$B$501,'SC Change Orders'!$B$2:$B$501,"&gt;"&amp;$B13,'SC Change Orders'!$C$2:$C$501,"&gt;="&amp;Controls!$C$5,'SC Change Orders'!$C$2:$C$501,"&lt;="&amp;Controls!$C$6),0))</f>
        <v>10138</v>
      </c>
      <c r="D14" s="0" t="n">
        <f aca="false">IF($B13="",0,IFERROR(_xlfn.MINIFS(_MainTable!$F$2:$F$2001,_MainTable!$F$2:$F$2001,"&gt;"&amp;$B13,_MainTable!$G$2:$G$2001,"&gt;="&amp;Controls!$C$5,_MainTable!$G$2:$G$2001,"&lt;="&amp;Controls!$C$6),0))</f>
        <v>8659</v>
      </c>
      <c r="F14" s="0" t="str">
        <f aca="false">IF('PO Tracker'!$A14="","",'PO Tracker'!$A14)</f>
        <v>CLOUDMED</v>
      </c>
      <c r="G14" s="0" t="str">
        <f aca="false">IF($F14="","",IF(COUNTIF($F$5:$F14,$F14)=1,MAX($G$5:G13)+1,""))</f>
        <v/>
      </c>
      <c r="H14" s="0" t="str">
        <f aca="false">IFERROR(INDEX($F$5:$F$84,MATCH($A14,$G$5:$G$84,0)),"")</f>
        <v>ASPIRION HEALTH RESOURCES</v>
      </c>
      <c r="I14" s="0" t="n">
        <f aca="false">IF($H14="","",COUNTIF($H$5:$H$84,"&lt;"&amp;$H14)+1)</f>
        <v>57</v>
      </c>
      <c r="J14" s="0" t="str">
        <f aca="false">IFERROR(INDEX($H$5:$H$84,MATCH(SMALL($I$5:$I$84,$A14),$I$5:$I$84,0)),"")</f>
        <v>FORTE LLC</v>
      </c>
    </row>
    <row r="15" customFormat="false" ht="15" hidden="false" customHeight="false" outlineLevel="0" collapsed="false">
      <c r="A15" s="0" t="n">
        <v>11</v>
      </c>
      <c r="B15" s="0" t="n">
        <f aca="false">IF(AND($C15=0,$D15=0),"",IF($C15=0,$D15,IF($D15=0,$C15,MIN($C15,$D15))))</f>
        <v>9916</v>
      </c>
      <c r="C15" s="0" t="n">
        <f aca="false">IF($B14="",0,IFERROR(_xlfn.MINIFS('SC Change Orders'!$B$2:$B$501,'SC Change Orders'!$B$2:$B$501,"&gt;"&amp;$B14,'SC Change Orders'!$C$2:$C$501,"&gt;="&amp;Controls!$C$5,'SC Change Orders'!$C$2:$C$501,"&lt;="&amp;Controls!$C$6),0))</f>
        <v>10138</v>
      </c>
      <c r="D15" s="0" t="n">
        <f aca="false">IF($B14="",0,IFERROR(_xlfn.MINIFS(_MainTable!$F$2:$F$2001,_MainTable!$F$2:$F$2001,"&gt;"&amp;$B14,_MainTable!$G$2:$G$2001,"&gt;="&amp;Controls!$C$5,_MainTable!$G$2:$G$2001,"&lt;="&amp;Controls!$C$6),0))</f>
        <v>9916</v>
      </c>
      <c r="F15" s="0" t="str">
        <f aca="false">IF('PO Tracker'!$A15="","",'PO Tracker'!$A15)</f>
        <v>SOLVENTUM HEALTH INFO SYSTEM</v>
      </c>
      <c r="G15" s="0" t="n">
        <f aca="false">IF($F15="","",IF(COUNTIF($F$5:$F15,$F15)=1,MAX($G$5:G14)+1,""))</f>
        <v>7</v>
      </c>
      <c r="H15" s="0" t="str">
        <f aca="false">IFERROR(INDEX($F$5:$F$84,MATCH($A15,$G$5:$G$84,0)),"")</f>
        <v>FINTHRIVE HEALTHCARE INC</v>
      </c>
      <c r="I15" s="0" t="n">
        <f aca="false">IF($H15="","",COUNTIF($H$5:$H$84,"&lt;"&amp;$H15)+1)</f>
        <v>63</v>
      </c>
      <c r="J15" s="0" t="str">
        <f aca="false">IFERROR(INDEX($H$5:$H$84,MATCH(SMALL($I$5:$I$84,$A15),$I$5:$I$84,0)),"")</f>
        <v>GUIDEHOUSE INC</v>
      </c>
    </row>
    <row r="16" customFormat="false" ht="15" hidden="false" customHeight="false" outlineLevel="0" collapsed="false">
      <c r="A16" s="0" t="n">
        <v>12</v>
      </c>
      <c r="B16" s="0" t="n">
        <f aca="false">IF(AND($C16=0,$D16=0),"",IF($C16=0,$D16,IF($D16=0,$C16,MIN($C16,$D16))))</f>
        <v>10118</v>
      </c>
      <c r="C16" s="0" t="n">
        <f aca="false">IF($B15="",0,IFERROR(_xlfn.MINIFS('SC Change Orders'!$B$2:$B$501,'SC Change Orders'!$B$2:$B$501,"&gt;"&amp;$B15,'SC Change Orders'!$C$2:$C$501,"&gt;="&amp;Controls!$C$5,'SC Change Orders'!$C$2:$C$501,"&lt;="&amp;Controls!$C$6),0))</f>
        <v>10138</v>
      </c>
      <c r="D16" s="0" t="n">
        <f aca="false">IF($B15="",0,IFERROR(_xlfn.MINIFS(_MainTable!$F$2:$F$2001,_MainTable!$F$2:$F$2001,"&gt;"&amp;$B15,_MainTable!$G$2:$G$2001,"&gt;="&amp;Controls!$C$5,_MainTable!$G$2:$G$2001,"&lt;="&amp;Controls!$C$6),0))</f>
        <v>10118</v>
      </c>
      <c r="F16" s="0" t="str">
        <f aca="false">IF('PO Tracker'!$A16="","",'PO Tracker'!$A16)</f>
        <v>TERNIUM LLC</v>
      </c>
      <c r="G16" s="0" t="n">
        <f aca="false">IF($F16="","",IF(COUNTIF($F$5:$F16,$F16)=1,MAX($G$5:G15)+1,""))</f>
        <v>8</v>
      </c>
      <c r="H16" s="0" t="str">
        <f aca="false">IFERROR(INDEX($F$5:$F$84,MATCH($A16,$G$5:$G$84,0)),"")</f>
        <v>RMP LLC</v>
      </c>
      <c r="I16" s="0" t="n">
        <f aca="false">IF($H16="","",COUNTIF($H$5:$H$84,"&lt;"&amp;$H16)+1)</f>
        <v>75</v>
      </c>
      <c r="J16" s="0" t="str">
        <f aca="false">IFERROR(INDEX($H$5:$H$84,MATCH(SMALL($I$5:$I$84,$A16),$I$5:$I$84,0)),"")</f>
        <v>HAWLEY TROXELL ENNIS HAWLEY</v>
      </c>
    </row>
    <row r="17" customFormat="false" ht="15" hidden="false" customHeight="false" outlineLevel="0" collapsed="false">
      <c r="A17" s="0" t="n">
        <v>13</v>
      </c>
      <c r="B17" s="0" t="n">
        <f aca="false">IF(AND($C17=0,$D17=0),"",IF($C17=0,$D17,IF($D17=0,$C17,MIN($C17,$D17))))</f>
        <v>10138</v>
      </c>
      <c r="C17" s="0" t="n">
        <f aca="false">IF($B16="",0,IFERROR(_xlfn.MINIFS('SC Change Orders'!$B$2:$B$501,'SC Change Orders'!$B$2:$B$501,"&gt;"&amp;$B16,'SC Change Orders'!$C$2:$C$501,"&gt;="&amp;Controls!$C$5,'SC Change Orders'!$C$2:$C$501,"&lt;="&amp;Controls!$C$6),0))</f>
        <v>10138</v>
      </c>
      <c r="D17" s="0" t="n">
        <f aca="false">IF($B16="",0,IFERROR(_xlfn.MINIFS(_MainTable!$F$2:$F$2001,_MainTable!$F$2:$F$2001,"&gt;"&amp;$B16,_MainTable!$G$2:$G$2001,"&gt;="&amp;Controls!$C$5,_MainTable!$G$2:$G$2001,"&lt;="&amp;Controls!$C$6),0))</f>
        <v>10138</v>
      </c>
      <c r="F17" s="0" t="str">
        <f aca="false">IF('PO Tracker'!$A17="","",'PO Tracker'!$A17)</f>
        <v>EPIC ADVISORS GROUP LLC</v>
      </c>
      <c r="G17" s="0" t="n">
        <f aca="false">IF($F17="","",IF(COUNTIF($F$5:$F17,$F17)=1,MAX($G$5:G16)+1,""))</f>
        <v>9</v>
      </c>
      <c r="H17" s="0" t="str">
        <f aca="false">IFERROR(INDEX($F$5:$F$84,MATCH($A17,$G$5:$G$84,0)),"")</f>
        <v>REVSPRING INC</v>
      </c>
      <c r="I17" s="0" t="n">
        <f aca="false">IF($H17="","",COUNTIF($H$5:$H$84,"&lt;"&amp;$H17)+1)</f>
        <v>74</v>
      </c>
      <c r="J17" s="0" t="str">
        <f aca="false">IFERROR(INDEX($H$5:$H$84,MATCH(SMALL($I$5:$I$84,$A17),$I$5:$I$84,0)),"")</f>
        <v>HEALTHFUSE LLC</v>
      </c>
    </row>
    <row r="18" customFormat="false" ht="15" hidden="false" customHeight="false" outlineLevel="0" collapsed="false">
      <c r="A18" s="0" t="n">
        <v>14</v>
      </c>
      <c r="B18" s="0" t="n">
        <f aca="false">IF(AND($C18=0,$D18=0),"",IF($C18=0,$D18,IF($D18=0,$C18,MIN($C18,$D18))))</f>
        <v>10200</v>
      </c>
      <c r="C18" s="0" t="n">
        <f aca="false">IF($B17="",0,IFERROR(_xlfn.MINIFS('SC Change Orders'!$B$2:$B$501,'SC Change Orders'!$B$2:$B$501,"&gt;"&amp;$B17,'SC Change Orders'!$C$2:$C$501,"&gt;="&amp;Controls!$C$5,'SC Change Orders'!$C$2:$C$501,"&lt;="&amp;Controls!$C$6),0))</f>
        <v>10200</v>
      </c>
      <c r="D18" s="0" t="n">
        <f aca="false">IF($B17="",0,IFERROR(_xlfn.MINIFS(_MainTable!$F$2:$F$2001,_MainTable!$F$2:$F$2001,"&gt;"&amp;$B17,_MainTable!$G$2:$G$2001,"&gt;="&amp;Controls!$C$5,_MainTable!$G$2:$G$2001,"&lt;="&amp;Controls!$C$6),0))</f>
        <v>10200</v>
      </c>
      <c r="F18" s="0" t="str">
        <f aca="false">IF('PO Tracker'!$A18="","",'PO Tracker'!$A18)</f>
        <v>ASPIRION HEALTH RESOURCES</v>
      </c>
      <c r="G18" s="0" t="n">
        <f aca="false">IF($F18="","",IF(COUNTIF($F$5:$F18,$F18)=1,MAX($G$5:G17)+1,""))</f>
        <v>10</v>
      </c>
      <c r="H18" s="0" t="str">
        <f aca="false">IFERROR(INDEX($F$5:$F$84,MATCH($A18,$G$5:$G$84,0)),"")</f>
        <v>EXPERIAN HEALTH</v>
      </c>
      <c r="I18" s="0" t="n">
        <f aca="false">IF($H18="","",COUNTIF($H$5:$H$84,"&lt;"&amp;$H18)+1)</f>
        <v>62</v>
      </c>
      <c r="J18" s="0" t="str">
        <f aca="false">IFERROR(INDEX($H$5:$H$84,MATCH(SMALL($I$5:$I$84,$A18),$I$5:$I$84,0)),"")</f>
        <v>HEALTHSTREAM</v>
      </c>
    </row>
    <row r="19" customFormat="false" ht="15" hidden="false" customHeight="false" outlineLevel="0" collapsed="false">
      <c r="A19" s="0" t="n">
        <v>15</v>
      </c>
      <c r="B19" s="0" t="n">
        <f aca="false">IF(AND($C19=0,$D19=0),"",IF($C19=0,$D19,IF($D19=0,$C19,MIN($C19,$D19))))</f>
        <v>10406</v>
      </c>
      <c r="C19" s="0" t="n">
        <f aca="false">IF($B18="",0,IFERROR(_xlfn.MINIFS('SC Change Orders'!$B$2:$B$501,'SC Change Orders'!$B$2:$B$501,"&gt;"&amp;$B18,'SC Change Orders'!$C$2:$C$501,"&gt;="&amp;Controls!$C$5,'SC Change Orders'!$C$2:$C$501,"&lt;="&amp;Controls!$C$6),0))</f>
        <v>10473</v>
      </c>
      <c r="D19" s="0" t="n">
        <f aca="false">IF($B18="",0,IFERROR(_xlfn.MINIFS(_MainTable!$F$2:$F$2001,_MainTable!$F$2:$F$2001,"&gt;"&amp;$B18,_MainTable!$G$2:$G$2001,"&gt;="&amp;Controls!$C$5,_MainTable!$G$2:$G$2001,"&lt;="&amp;Controls!$C$6),0))</f>
        <v>10406</v>
      </c>
      <c r="F19" s="0" t="str">
        <f aca="false">IF('PO Tracker'!$A19="","",'PO Tracker'!$A19)</f>
        <v>FINTHRIVE HEALTHCARE INC</v>
      </c>
      <c r="G19" s="0" t="n">
        <f aca="false">IF($F19="","",IF(COUNTIF($F$5:$F19,$F19)=1,MAX($G$5:G18)+1,""))</f>
        <v>11</v>
      </c>
      <c r="H19" s="0" t="str">
        <f aca="false">IFERROR(INDEX($F$5:$F$84,MATCH($A19,$G$5:$G$84,0)),"")</f>
        <v>MCBEE ASSOCIATES INC</v>
      </c>
      <c r="I19" s="0" t="n">
        <f aca="false">IF($H19="","",COUNTIF($H$5:$H$84,"&lt;"&amp;$H19)+1)</f>
        <v>72</v>
      </c>
      <c r="J19" s="0" t="str">
        <f aca="false">IFERROR(INDEX($H$5:$H$84,MATCH(SMALL($I$5:$I$84,$A19),$I$5:$I$84,0)),"")</f>
        <v>HIMAGINE SOLUTIONS INC</v>
      </c>
    </row>
    <row r="20" customFormat="false" ht="15" hidden="false" customHeight="false" outlineLevel="0" collapsed="false">
      <c r="A20" s="0" t="n">
        <v>16</v>
      </c>
      <c r="B20" s="0" t="n">
        <f aca="false">IF(AND($C20=0,$D20=0),"",IF($C20=0,$D20,IF($D20=0,$C20,MIN($C20,$D20))))</f>
        <v>10407</v>
      </c>
      <c r="C20" s="0" t="n">
        <f aca="false">IF($B19="",0,IFERROR(_xlfn.MINIFS('SC Change Orders'!$B$2:$B$501,'SC Change Orders'!$B$2:$B$501,"&gt;"&amp;$B19,'SC Change Orders'!$C$2:$C$501,"&gt;="&amp;Controls!$C$5,'SC Change Orders'!$C$2:$C$501,"&lt;="&amp;Controls!$C$6),0))</f>
        <v>10473</v>
      </c>
      <c r="D20" s="0" t="n">
        <f aca="false">IF($B19="",0,IFERROR(_xlfn.MINIFS(_MainTable!$F$2:$F$2001,_MainTable!$F$2:$F$2001,"&gt;"&amp;$B19,_MainTable!$G$2:$G$2001,"&gt;="&amp;Controls!$C$5,_MainTable!$G$2:$G$2001,"&lt;="&amp;Controls!$C$6),0))</f>
        <v>10407</v>
      </c>
      <c r="F20" s="0" t="str">
        <f aca="false">IF('PO Tracker'!$A20="","",'PO Tracker'!$A20)</f>
        <v>FMS INC</v>
      </c>
      <c r="G20" s="0" t="str">
        <f aca="false">IF($F20="","",IF(COUNTIF($F$5:$F20,$F20)=1,MAX($G$5:G19)+1,""))</f>
        <v/>
      </c>
      <c r="H20" s="0" t="str">
        <f aca="false">IFERROR(INDEX($F$5:$F$84,MATCH($A20,$G$5:$G$84,0)),"")</f>
        <v>GUIDEHOUSE INC</v>
      </c>
      <c r="I20" s="0" t="n">
        <f aca="false">IF($H20="","",COUNTIF($H$5:$H$84,"&lt;"&amp;$H20)+1)</f>
        <v>66</v>
      </c>
      <c r="J20" s="0" t="str">
        <f aca="false">IFERROR(INDEX($H$5:$H$84,MATCH(SMALL($I$5:$I$84,$A20),$I$5:$I$84,0)),"")</f>
        <v>HYVE HEALTHCARE</v>
      </c>
    </row>
    <row r="21" customFormat="false" ht="15" hidden="false" customHeight="false" outlineLevel="0" collapsed="false">
      <c r="A21" s="0" t="n">
        <v>17</v>
      </c>
      <c r="B21" s="0" t="n">
        <f aca="false">IF(AND($C21=0,$D21=0),"",IF($C21=0,$D21,IF($D21=0,$C21,MIN($C21,$D21))))</f>
        <v>10410</v>
      </c>
      <c r="C21" s="0" t="n">
        <f aca="false">IF($B20="",0,IFERROR(_xlfn.MINIFS('SC Change Orders'!$B$2:$B$501,'SC Change Orders'!$B$2:$B$501,"&gt;"&amp;$B20,'SC Change Orders'!$C$2:$C$501,"&gt;="&amp;Controls!$C$5,'SC Change Orders'!$C$2:$C$501,"&lt;="&amp;Controls!$C$6),0))</f>
        <v>10473</v>
      </c>
      <c r="D21" s="0" t="n">
        <f aca="false">IF($B20="",0,IFERROR(_xlfn.MINIFS(_MainTable!$F$2:$F$2001,_MainTable!$F$2:$F$2001,"&gt;"&amp;$B20,_MainTable!$G$2:$G$2001,"&gt;="&amp;Controls!$C$5,_MainTable!$G$2:$G$2001,"&lt;="&amp;Controls!$C$6),0))</f>
        <v>10410</v>
      </c>
      <c r="F21" s="0" t="str">
        <f aca="false">IF('PO Tracker'!$A21="","",'PO Tracker'!$A21)</f>
        <v>FMS INC</v>
      </c>
      <c r="G21" s="0" t="str">
        <f aca="false">IF($F21="","",IF(COUNTIF($F$5:$F21,$F21)=1,MAX($G$5:G20)+1,""))</f>
        <v/>
      </c>
      <c r="H21" s="0" t="str">
        <f aca="false">IFERROR(INDEX($F$5:$F$84,MATCH($A21,$G$5:$G$84,0)),"")</f>
        <v>HIMAGINE SOLUTIONS INC</v>
      </c>
      <c r="I21" s="0" t="n">
        <f aca="false">IF($H21="","",COUNTIF($H$5:$H$84,"&lt;"&amp;$H21)+1)</f>
        <v>70</v>
      </c>
      <c r="J21" s="0" t="str">
        <f aca="false">IFERROR(INDEX($H$5:$H$84,MATCH(SMALL($I$5:$I$84,$A21),$I$5:$I$84,0)),"")</f>
        <v>MCBEE ASSOCIATES INC</v>
      </c>
    </row>
    <row r="22" customFormat="false" ht="15" hidden="false" customHeight="false" outlineLevel="0" collapsed="false">
      <c r="A22" s="0" t="n">
        <v>18</v>
      </c>
      <c r="B22" s="0" t="n">
        <f aca="false">IF(AND($C22=0,$D22=0),"",IF($C22=0,$D22,IF($D22=0,$C22,MIN($C22,$D22))))</f>
        <v>10415</v>
      </c>
      <c r="C22" s="0" t="n">
        <f aca="false">IF($B21="",0,IFERROR(_xlfn.MINIFS('SC Change Orders'!$B$2:$B$501,'SC Change Orders'!$B$2:$B$501,"&gt;"&amp;$B21,'SC Change Orders'!$C$2:$C$501,"&gt;="&amp;Controls!$C$5,'SC Change Orders'!$C$2:$C$501,"&lt;="&amp;Controls!$C$6),0))</f>
        <v>10473</v>
      </c>
      <c r="D22" s="0" t="n">
        <f aca="false">IF($B21="",0,IFERROR(_xlfn.MINIFS(_MainTable!$F$2:$F$2001,_MainTable!$F$2:$F$2001,"&gt;"&amp;$B21,_MainTable!$G$2:$G$2001,"&gt;="&amp;Controls!$C$5,_MainTable!$G$2:$G$2001,"&lt;="&amp;Controls!$C$6),0))</f>
        <v>10415</v>
      </c>
      <c r="F22" s="0" t="str">
        <f aca="false">IF('PO Tracker'!$A22="","",'PO Tracker'!$A22)</f>
        <v>RMP LLC</v>
      </c>
      <c r="G22" s="0" t="n">
        <f aca="false">IF($F22="","",IF(COUNTIF($F$5:$F22,$F22)=1,MAX($G$5:G21)+1,""))</f>
        <v>12</v>
      </c>
      <c r="H22" s="0" t="str">
        <f aca="false">IFERROR(INDEX($F$5:$F$84,MATCH($A22,$G$5:$G$84,0)),"")</f>
        <v>UNIFIED HEALTH SERVICES LLC</v>
      </c>
      <c r="I22" s="0" t="n">
        <f aca="false">IF($H22="","",COUNTIF($H$5:$H$84,"&lt;"&amp;$H22)+1)</f>
        <v>78</v>
      </c>
      <c r="J22" s="0" t="str">
        <f aca="false">IFERROR(INDEX($H$5:$H$84,MATCH(SMALL($I$5:$I$84,$A22),$I$5:$I$84,0)),"")</f>
        <v>MEDLYTIX LLC</v>
      </c>
    </row>
    <row r="23" customFormat="false" ht="15" hidden="false" customHeight="false" outlineLevel="0" collapsed="false">
      <c r="A23" s="0" t="n">
        <v>19</v>
      </c>
      <c r="B23" s="0" t="n">
        <f aca="false">IF(AND($C23=0,$D23=0),"",IF($C23=0,$D23,IF($D23=0,$C23,MIN($C23,$D23))))</f>
        <v>10417</v>
      </c>
      <c r="C23" s="0" t="n">
        <f aca="false">IF($B22="",0,IFERROR(_xlfn.MINIFS('SC Change Orders'!$B$2:$B$501,'SC Change Orders'!$B$2:$B$501,"&gt;"&amp;$B22,'SC Change Orders'!$C$2:$C$501,"&gt;="&amp;Controls!$C$5,'SC Change Orders'!$C$2:$C$501,"&lt;="&amp;Controls!$C$6),0))</f>
        <v>10473</v>
      </c>
      <c r="D23" s="0" t="n">
        <f aca="false">IF($B22="",0,IFERROR(_xlfn.MINIFS(_MainTable!$F$2:$F$2001,_MainTable!$F$2:$F$2001,"&gt;"&amp;$B22,_MainTable!$G$2:$G$2001,"&gt;="&amp;Controls!$C$5,_MainTable!$G$2:$G$2001,"&lt;="&amp;Controls!$C$6),0))</f>
        <v>10417</v>
      </c>
      <c r="F23" s="0" t="str">
        <f aca="false">IF('PO Tracker'!$A23="","",'PO Tracker'!$A23)</f>
        <v>RMP LLC</v>
      </c>
      <c r="G23" s="0" t="str">
        <f aca="false">IF($F23="","",IF(COUNTIF($F$5:$F23,$F23)=1,MAX($G$5:G22)+1,""))</f>
        <v/>
      </c>
      <c r="H23" s="0" t="str">
        <f aca="false">IFERROR(INDEX($F$5:$F$84,MATCH($A23,$G$5:$G$84,0)),"")</f>
        <v>WAYSTAR HEALTH</v>
      </c>
      <c r="I23" s="0" t="n">
        <f aca="false">IF($H23="","",COUNTIF($H$5:$H$84,"&lt;"&amp;$H23)+1)</f>
        <v>80</v>
      </c>
      <c r="J23" s="0" t="str">
        <f aca="false">IFERROR(INDEX($H$5:$H$84,MATCH(SMALL($I$5:$I$84,$A23),$I$5:$I$84,0)),"")</f>
        <v>REVSPRING INC</v>
      </c>
    </row>
    <row r="24" customFormat="false" ht="15" hidden="false" customHeight="false" outlineLevel="0" collapsed="false">
      <c r="A24" s="0" t="n">
        <v>20</v>
      </c>
      <c r="B24" s="0" t="n">
        <f aca="false">IF(AND($C24=0,$D24=0),"",IF($C24=0,$D24,IF($D24=0,$C24,MIN($C24,$D24))))</f>
        <v>10418</v>
      </c>
      <c r="C24" s="0" t="n">
        <f aca="false">IF($B23="",0,IFERROR(_xlfn.MINIFS('SC Change Orders'!$B$2:$B$501,'SC Change Orders'!$B$2:$B$501,"&gt;"&amp;$B23,'SC Change Orders'!$C$2:$C$501,"&gt;="&amp;Controls!$C$5,'SC Change Orders'!$C$2:$C$501,"&lt;="&amp;Controls!$C$6),0))</f>
        <v>10473</v>
      </c>
      <c r="D24" s="0" t="n">
        <f aca="false">IF($B23="",0,IFERROR(_xlfn.MINIFS(_MainTable!$F$2:$F$2001,_MainTable!$F$2:$F$2001,"&gt;"&amp;$B23,_MainTable!$G$2:$G$2001,"&gt;="&amp;Controls!$C$5,_MainTable!$G$2:$G$2001,"&lt;="&amp;Controls!$C$6),0))</f>
        <v>10418</v>
      </c>
      <c r="F24" s="0" t="str">
        <f aca="false">IF('PO Tracker'!$A24="","",'PO Tracker'!$A24)</f>
        <v>RMP LLC</v>
      </c>
      <c r="G24" s="0" t="str">
        <f aca="false">IF($F24="","",IF(COUNTIF($F$5:$F24,$F24)=1,MAX($G$5:G23)+1,""))</f>
        <v/>
      </c>
      <c r="H24" s="0" t="str">
        <f aca="false">IFERROR(INDEX($F$5:$F$84,MATCH($A24,$G$5:$G$84,0)),"")</f>
        <v>ACCESSONE</v>
      </c>
      <c r="I24" s="0" t="n">
        <f aca="false">IF($H24="","",COUNTIF($H$5:$H$84,"&lt;"&amp;$H24)+1)</f>
        <v>56</v>
      </c>
      <c r="J24" s="0" t="str">
        <f aca="false">IFERROR(INDEX($H$5:$H$84,MATCH(SMALL($I$5:$I$84,$A24),$I$5:$I$84,0)),"")</f>
        <v>RMP LLC</v>
      </c>
    </row>
    <row r="25" customFormat="false" ht="15" hidden="false" customHeight="false" outlineLevel="0" collapsed="false">
      <c r="A25" s="0" t="n">
        <v>21</v>
      </c>
      <c r="B25" s="0" t="n">
        <f aca="false">IF(AND($C25=0,$D25=0),"",IF($C25=0,$D25,IF($D25=0,$C25,MIN($C25,$D25))))</f>
        <v>10419</v>
      </c>
      <c r="C25" s="0" t="n">
        <f aca="false">IF($B24="",0,IFERROR(_xlfn.MINIFS('SC Change Orders'!$B$2:$B$501,'SC Change Orders'!$B$2:$B$501,"&gt;"&amp;$B24,'SC Change Orders'!$C$2:$C$501,"&gt;="&amp;Controls!$C$5,'SC Change Orders'!$C$2:$C$501,"&lt;="&amp;Controls!$C$6),0))</f>
        <v>10473</v>
      </c>
      <c r="D25" s="0" t="n">
        <f aca="false">IF($B24="",0,IFERROR(_xlfn.MINIFS(_MainTable!$F$2:$F$2001,_MainTable!$F$2:$F$2001,"&gt;"&amp;$B24,_MainTable!$G$2:$G$2001,"&gt;="&amp;Controls!$C$5,_MainTable!$G$2:$G$2001,"&lt;="&amp;Controls!$C$6),0))</f>
        <v>10419</v>
      </c>
      <c r="F25" s="0" t="str">
        <f aca="false">IF('PO Tracker'!$A25="","",'PO Tracker'!$A25)</f>
        <v>RMP LLC</v>
      </c>
      <c r="G25" s="0" t="str">
        <f aca="false">IF($F25="","",IF(COUNTIF($F$5:$F25,$F25)=1,MAX($G$5:G24)+1,""))</f>
        <v/>
      </c>
      <c r="H25" s="0" t="str">
        <f aca="false">IFERROR(INDEX($F$5:$F$84,MATCH($A25,$G$5:$G$84,0)),"")</f>
        <v>CIOX HEALTH LLC</v>
      </c>
      <c r="I25" s="0" t="n">
        <f aca="false">IF($H25="","",COUNTIF($H$5:$H$84,"&lt;"&amp;$H25)+1)</f>
        <v>58</v>
      </c>
      <c r="J25" s="0" t="str">
        <f aca="false">IFERROR(INDEX($H$5:$H$84,MATCH(SMALL($I$5:$I$84,$A25),$I$5:$I$84,0)),"")</f>
        <v>SOLVENTUM HEALTH INFO SYSTEM</v>
      </c>
    </row>
    <row r="26" customFormat="false" ht="15" hidden="false" customHeight="false" outlineLevel="0" collapsed="false">
      <c r="A26" s="0" t="n">
        <v>22</v>
      </c>
      <c r="B26" s="0" t="n">
        <f aca="false">IF(AND($C26=0,$D26=0),"",IF($C26=0,$D26,IF($D26=0,$C26,MIN($C26,$D26))))</f>
        <v>10420</v>
      </c>
      <c r="C26" s="0" t="n">
        <f aca="false">IF($B25="",0,IFERROR(_xlfn.MINIFS('SC Change Orders'!$B$2:$B$501,'SC Change Orders'!$B$2:$B$501,"&gt;"&amp;$B25,'SC Change Orders'!$C$2:$C$501,"&gt;="&amp;Controls!$C$5,'SC Change Orders'!$C$2:$C$501,"&lt;="&amp;Controls!$C$6),0))</f>
        <v>10473</v>
      </c>
      <c r="D26" s="0" t="n">
        <f aca="false">IF($B25="",0,IFERROR(_xlfn.MINIFS(_MainTable!$F$2:$F$2001,_MainTable!$F$2:$F$2001,"&gt;"&amp;$B25,_MainTable!$G$2:$G$2001,"&gt;="&amp;Controls!$C$5,_MainTable!$G$2:$G$2001,"&lt;="&amp;Controls!$C$6),0))</f>
        <v>10420</v>
      </c>
      <c r="F26" s="0" t="str">
        <f aca="false">IF('PO Tracker'!$A26="","",'PO Tracker'!$A26)</f>
        <v>RMP LLC</v>
      </c>
      <c r="G26" s="0" t="str">
        <f aca="false">IF($F26="","",IF(COUNTIF($F$5:$F26,$F26)=1,MAX($G$5:G25)+1,""))</f>
        <v/>
      </c>
      <c r="H26" s="0" t="str">
        <f aca="false">IFERROR(INDEX($F$5:$F$84,MATCH($A26,$G$5:$G$84,0)),"")</f>
        <v>HEALTHSTREAM</v>
      </c>
      <c r="I26" s="0" t="n">
        <f aca="false">IF($H26="","",COUNTIF($H$5:$H$84,"&lt;"&amp;$H26)+1)</f>
        <v>69</v>
      </c>
      <c r="J26" s="0" t="str">
        <f aca="false">IFERROR(INDEX($H$5:$H$84,MATCH(SMALL($I$5:$I$84,$A26),$I$5:$I$84,0)),"")</f>
        <v>TERNIUM LLC</v>
      </c>
    </row>
    <row r="27" customFormat="false" ht="15" hidden="false" customHeight="false" outlineLevel="0" collapsed="false">
      <c r="A27" s="0" t="n">
        <v>23</v>
      </c>
      <c r="B27" s="0" t="n">
        <f aca="false">IF(AND($C27=0,$D27=0),"",IF($C27=0,$D27,IF($D27=0,$C27,MIN($C27,$D27))))</f>
        <v>10423</v>
      </c>
      <c r="C27" s="0" t="n">
        <f aca="false">IF($B26="",0,IFERROR(_xlfn.MINIFS('SC Change Orders'!$B$2:$B$501,'SC Change Orders'!$B$2:$B$501,"&gt;"&amp;$B26,'SC Change Orders'!$C$2:$C$501,"&gt;="&amp;Controls!$C$5,'SC Change Orders'!$C$2:$C$501,"&lt;="&amp;Controls!$C$6),0))</f>
        <v>10473</v>
      </c>
      <c r="D27" s="0" t="n">
        <f aca="false">IF($B26="",0,IFERROR(_xlfn.MINIFS(_MainTable!$F$2:$F$2001,_MainTable!$F$2:$F$2001,"&gt;"&amp;$B26,_MainTable!$G$2:$G$2001,"&gt;="&amp;Controls!$C$5,_MainTable!$G$2:$G$2001,"&lt;="&amp;Controls!$C$6),0))</f>
        <v>10423</v>
      </c>
      <c r="F27" s="0" t="str">
        <f aca="false">IF('PO Tracker'!$A27="","",'PO Tracker'!$A27)</f>
        <v>REVSPRING INC</v>
      </c>
      <c r="G27" s="0" t="n">
        <f aca="false">IF($F27="","",IF(COUNTIF($F$5:$F27,$F27)=1,MAX($G$5:G26)+1,""))</f>
        <v>13</v>
      </c>
      <c r="H27" s="0" t="str">
        <f aca="false">IFERROR(INDEX($F$5:$F$84,MATCH($A27,$G$5:$G$84,0)),"")</f>
        <v>MEDLYTIX LLC</v>
      </c>
      <c r="I27" s="0" t="n">
        <f aca="false">IF($H27="","",COUNTIF($H$5:$H$84,"&lt;"&amp;$H27)+1)</f>
        <v>73</v>
      </c>
      <c r="J27" s="0" t="str">
        <f aca="false">IFERROR(INDEX($H$5:$H$84,MATCH(SMALL($I$5:$I$84,$A27),$I$5:$I$84,0)),"")</f>
        <v>UNIFIED HEALTH SERVICES LLC</v>
      </c>
    </row>
    <row r="28" customFormat="false" ht="15" hidden="false" customHeight="false" outlineLevel="0" collapsed="false">
      <c r="A28" s="0" t="n">
        <v>24</v>
      </c>
      <c r="B28" s="0" t="n">
        <f aca="false">IF(AND($C28=0,$D28=0),"",IF($C28=0,$D28,IF($D28=0,$C28,MIN($C28,$D28))))</f>
        <v>10424</v>
      </c>
      <c r="C28" s="0" t="n">
        <f aca="false">IF($B27="",0,IFERROR(_xlfn.MINIFS('SC Change Orders'!$B$2:$B$501,'SC Change Orders'!$B$2:$B$501,"&gt;"&amp;$B27,'SC Change Orders'!$C$2:$C$501,"&gt;="&amp;Controls!$C$5,'SC Change Orders'!$C$2:$C$501,"&lt;="&amp;Controls!$C$6),0))</f>
        <v>10473</v>
      </c>
      <c r="D28" s="0" t="n">
        <f aca="false">IF($B27="",0,IFERROR(_xlfn.MINIFS(_MainTable!$F$2:$F$2001,_MainTable!$F$2:$F$2001,"&gt;"&amp;$B27,_MainTable!$G$2:$G$2001,"&gt;="&amp;Controls!$C$5,_MainTable!$G$2:$G$2001,"&lt;="&amp;Controls!$C$6),0))</f>
        <v>10424</v>
      </c>
      <c r="F28" s="0" t="str">
        <f aca="false">IF('PO Tracker'!$A28="","",'PO Tracker'!$A28)</f>
        <v>REVSPRING INC</v>
      </c>
      <c r="G28" s="0" t="str">
        <f aca="false">IF($F28="","",IF(COUNTIF($F$5:$F28,$F28)=1,MAX($G$5:G27)+1,""))</f>
        <v/>
      </c>
      <c r="H28" s="0" t="str">
        <f aca="false">IFERROR(INDEX($F$5:$F$84,MATCH($A28,$G$5:$G$84,0)),"")</f>
        <v>HYVE HEALTHCARE</v>
      </c>
      <c r="I28" s="0" t="n">
        <f aca="false">IF($H28="","",COUNTIF($H$5:$H$84,"&lt;"&amp;$H28)+1)</f>
        <v>71</v>
      </c>
      <c r="J28" s="0" t="str">
        <f aca="false">IFERROR(INDEX($H$5:$H$84,MATCH(SMALL($I$5:$I$84,$A28),$I$5:$I$84,0)),"")</f>
        <v>UNITED AUDIT SYSTEMS INC</v>
      </c>
    </row>
    <row r="29" customFormat="false" ht="15" hidden="false" customHeight="false" outlineLevel="0" collapsed="false">
      <c r="A29" s="0" t="n">
        <v>25</v>
      </c>
      <c r="B29" s="0" t="n">
        <f aca="false">IF(AND($C29=0,$D29=0),"",IF($C29=0,$D29,IF($D29=0,$C29,MIN($C29,$D29))))</f>
        <v>10473</v>
      </c>
      <c r="C29" s="0" t="n">
        <f aca="false">IF($B28="",0,IFERROR(_xlfn.MINIFS('SC Change Orders'!$B$2:$B$501,'SC Change Orders'!$B$2:$B$501,"&gt;"&amp;$B28,'SC Change Orders'!$C$2:$C$501,"&gt;="&amp;Controls!$C$5,'SC Change Orders'!$C$2:$C$501,"&lt;="&amp;Controls!$C$6),0))</f>
        <v>10473</v>
      </c>
      <c r="D29" s="0" t="n">
        <f aca="false">IF($B28="",0,IFERROR(_xlfn.MINIFS(_MainTable!$F$2:$F$2001,_MainTable!$F$2:$F$2001,"&gt;"&amp;$B28,_MainTable!$G$2:$G$2001,"&gt;="&amp;Controls!$C$5,_MainTable!$G$2:$G$2001,"&lt;="&amp;Controls!$C$6),0))</f>
        <v>10473</v>
      </c>
      <c r="F29" s="0" t="str">
        <f aca="false">IF('PO Tracker'!$A29="","",'PO Tracker'!$A29)</f>
        <v>EXPERIAN HEALTH</v>
      </c>
      <c r="G29" s="0" t="n">
        <f aca="false">IF($F29="","",IF(COUNTIF($F$5:$F29,$F29)=1,MAX($G$5:G28)+1,""))</f>
        <v>14</v>
      </c>
      <c r="H29" s="0" t="str">
        <f aca="false">IFERROR(INDEX($F$5:$F$84,MATCH($A29,$G$5:$G$84,0)),"")</f>
        <v>UNITED AUDIT SYSTEMS INC</v>
      </c>
      <c r="I29" s="0" t="n">
        <f aca="false">IF($H29="","",COUNTIF($H$5:$H$84,"&lt;"&amp;$H29)+1)</f>
        <v>79</v>
      </c>
      <c r="J29" s="0" t="str">
        <f aca="false">IFERROR(INDEX($H$5:$H$84,MATCH(SMALL($I$5:$I$84,$A29),$I$5:$I$84,0)),"")</f>
        <v>WAYSTAR HEALTH</v>
      </c>
    </row>
    <row r="30" customFormat="false" ht="15" hidden="false" customHeight="false" outlineLevel="0" collapsed="false">
      <c r="A30" s="0" t="n">
        <v>26</v>
      </c>
      <c r="B30" s="0" t="n">
        <f aca="false">IF(AND($C30=0,$D30=0),"",IF($C30=0,$D30,IF($D30=0,$C30,MIN($C30,$D30))))</f>
        <v>10479</v>
      </c>
      <c r="C30" s="0" t="n">
        <f aca="false">IF($B29="",0,IFERROR(_xlfn.MINIFS('SC Change Orders'!$B$2:$B$501,'SC Change Orders'!$B$2:$B$501,"&gt;"&amp;$B29,'SC Change Orders'!$C$2:$C$501,"&gt;="&amp;Controls!$C$5,'SC Change Orders'!$C$2:$C$501,"&lt;="&amp;Controls!$C$6),0))</f>
        <v>10782</v>
      </c>
      <c r="D30" s="0" t="n">
        <f aca="false">IF($B29="",0,IFERROR(_xlfn.MINIFS(_MainTable!$F$2:$F$2001,_MainTable!$F$2:$F$2001,"&gt;"&amp;$B29,_MainTable!$G$2:$G$2001,"&gt;="&amp;Controls!$C$5,_MainTable!$G$2:$G$2001,"&lt;="&amp;Controls!$C$6),0))</f>
        <v>10479</v>
      </c>
      <c r="F30" s="0" t="str">
        <f aca="false">IF('PO Tracker'!$A30="","",'PO Tracker'!$A30)</f>
        <v>MCBEE ASSOCIATES INC</v>
      </c>
      <c r="G30" s="0" t="n">
        <f aca="false">IF($F30="","",IF(COUNTIF($F$5:$F30,$F30)=1,MAX($G$5:G29)+1,""))</f>
        <v>15</v>
      </c>
      <c r="H30" s="0" t="str">
        <f aca="false">IFERROR(INDEX($F$5:$F$84,MATCH($A30,$G$5:$G$84,0)),"")</f>
        <v/>
      </c>
      <c r="I30" s="0" t="str">
        <f aca="false">IF($H30="","",COUNTIF($H$5:$H$84,"&lt;"&amp;$H30)+1)</f>
        <v/>
      </c>
      <c r="J30" s="0" t="str">
        <f aca="false">IFERROR(INDEX($H$5:$H$84,MATCH(SMALL($I$5:$I$84,$A30),$I$5:$I$84,0)),"")</f>
        <v/>
      </c>
    </row>
    <row r="31" customFormat="false" ht="15" hidden="false" customHeight="false" outlineLevel="0" collapsed="false">
      <c r="A31" s="0" t="n">
        <v>27</v>
      </c>
      <c r="B31" s="0" t="n">
        <f aca="false">IF(AND($C31=0,$D31=0),"",IF($C31=0,$D31,IF($D31=0,$C31,MIN($C31,$D31))))</f>
        <v>10782</v>
      </c>
      <c r="C31" s="0" t="n">
        <f aca="false">IF($B30="",0,IFERROR(_xlfn.MINIFS('SC Change Orders'!$B$2:$B$501,'SC Change Orders'!$B$2:$B$501,"&gt;"&amp;$B30,'SC Change Orders'!$C$2:$C$501,"&gt;="&amp;Controls!$C$5,'SC Change Orders'!$C$2:$C$501,"&lt;="&amp;Controls!$C$6),0))</f>
        <v>10782</v>
      </c>
      <c r="D31" s="0" t="n">
        <f aca="false">IF($B30="",0,IFERROR(_xlfn.MINIFS(_MainTable!$F$2:$F$2001,_MainTable!$F$2:$F$2001,"&gt;"&amp;$B30,_MainTable!$G$2:$G$2001,"&gt;="&amp;Controls!$C$5,_MainTable!$G$2:$G$2001,"&lt;="&amp;Controls!$C$6),0))</f>
        <v>10782</v>
      </c>
      <c r="F31" s="0" t="str">
        <f aca="false">IF('PO Tracker'!$A31="","",'PO Tracker'!$A31)</f>
        <v>GUIDEHOUSE INC</v>
      </c>
      <c r="G31" s="0" t="n">
        <f aca="false">IF($F31="","",IF(COUNTIF($F$5:$F31,$F31)=1,MAX($G$5:G30)+1,""))</f>
        <v>16</v>
      </c>
      <c r="H31" s="0" t="str">
        <f aca="false">IFERROR(INDEX($F$5:$F$84,MATCH($A31,$G$5:$G$84,0)),"")</f>
        <v/>
      </c>
      <c r="I31" s="0" t="str">
        <f aca="false">IF($H31="","",COUNTIF($H$5:$H$84,"&lt;"&amp;$H31)+1)</f>
        <v/>
      </c>
      <c r="J31" s="0" t="str">
        <f aca="false">IFERROR(INDEX($H$5:$H$84,MATCH(SMALL($I$5:$I$84,$A31),$I$5:$I$84,0)),"")</f>
        <v/>
      </c>
    </row>
    <row r="32" customFormat="false" ht="15" hidden="false" customHeight="false" outlineLevel="0" collapsed="false">
      <c r="A32" s="0" t="n">
        <v>28</v>
      </c>
      <c r="B32" s="0" t="n">
        <f aca="false">IF(AND($C32=0,$D32=0),"",IF($C32=0,$D32,IF($D32=0,$C32,MIN($C32,$D32))))</f>
        <v>10783</v>
      </c>
      <c r="C32" s="0" t="n">
        <f aca="false">IF($B31="",0,IFERROR(_xlfn.MINIFS('SC Change Orders'!$B$2:$B$501,'SC Change Orders'!$B$2:$B$501,"&gt;"&amp;$B31,'SC Change Orders'!$C$2:$C$501,"&gt;="&amp;Controls!$C$5,'SC Change Orders'!$C$2:$C$501,"&lt;="&amp;Controls!$C$6),0))</f>
        <v>10783</v>
      </c>
      <c r="D32" s="0" t="n">
        <f aca="false">IF($B31="",0,IFERROR(_xlfn.MINIFS(_MainTable!$F$2:$F$2001,_MainTable!$F$2:$F$2001,"&gt;"&amp;$B31,_MainTable!$G$2:$G$2001,"&gt;="&amp;Controls!$C$5,_MainTable!$G$2:$G$2001,"&lt;="&amp;Controls!$C$6),0))</f>
        <v>10783</v>
      </c>
      <c r="F32" s="0" t="str">
        <f aca="false">IF('PO Tracker'!$A32="","",'PO Tracker'!$A32)</f>
        <v>GUIDEHOUSE INC</v>
      </c>
      <c r="G32" s="0" t="str">
        <f aca="false">IF($F32="","",IF(COUNTIF($F$5:$F32,$F32)=1,MAX($G$5:G31)+1,""))</f>
        <v/>
      </c>
      <c r="H32" s="0" t="str">
        <f aca="false">IFERROR(INDEX($F$5:$F$84,MATCH($A32,$G$5:$G$84,0)),"")</f>
        <v/>
      </c>
      <c r="I32" s="0" t="str">
        <f aca="false">IF($H32="","",COUNTIF($H$5:$H$84,"&lt;"&amp;$H32)+1)</f>
        <v/>
      </c>
      <c r="J32" s="0" t="str">
        <f aca="false">IFERROR(INDEX($H$5:$H$84,MATCH(SMALL($I$5:$I$84,$A32),$I$5:$I$84,0)),"")</f>
        <v/>
      </c>
    </row>
    <row r="33" customFormat="false" ht="15" hidden="false" customHeight="false" outlineLevel="0" collapsed="false">
      <c r="A33" s="0" t="n">
        <v>29</v>
      </c>
      <c r="B33" s="0" t="n">
        <f aca="false">IF(AND($C33=0,$D33=0),"",IF($C33=0,$D33,IF($D33=0,$C33,MIN($C33,$D33))))</f>
        <v>10798</v>
      </c>
      <c r="C33" s="0" t="n">
        <f aca="false">IF($B32="",0,IFERROR(_xlfn.MINIFS('SC Change Orders'!$B$2:$B$501,'SC Change Orders'!$B$2:$B$501,"&gt;"&amp;$B32,'SC Change Orders'!$C$2:$C$501,"&gt;="&amp;Controls!$C$5,'SC Change Orders'!$C$2:$C$501,"&lt;="&amp;Controls!$C$6),0))</f>
        <v>10798</v>
      </c>
      <c r="D33" s="0" t="n">
        <f aca="false">IF($B32="",0,IFERROR(_xlfn.MINIFS(_MainTable!$F$2:$F$2001,_MainTable!$F$2:$F$2001,"&gt;"&amp;$B32,_MainTable!$G$2:$G$2001,"&gt;="&amp;Controls!$C$5,_MainTable!$G$2:$G$2001,"&lt;="&amp;Controls!$C$6),0))</f>
        <v>10798</v>
      </c>
      <c r="F33" s="0" t="str">
        <f aca="false">IF('PO Tracker'!$A33="","",'PO Tracker'!$A33)</f>
        <v>CLOUDMED</v>
      </c>
      <c r="G33" s="0" t="str">
        <f aca="false">IF($F33="","",IF(COUNTIF($F$5:$F33,$F33)=1,MAX($G$5:G32)+1,""))</f>
        <v/>
      </c>
      <c r="H33" s="0" t="str">
        <f aca="false">IFERROR(INDEX($F$5:$F$84,MATCH($A33,$G$5:$G$84,0)),"")</f>
        <v/>
      </c>
      <c r="I33" s="0" t="str">
        <f aca="false">IF($H33="","",COUNTIF($H$5:$H$84,"&lt;"&amp;$H33)+1)</f>
        <v/>
      </c>
      <c r="J33" s="0" t="str">
        <f aca="false">IFERROR(INDEX($H$5:$H$84,MATCH(SMALL($I$5:$I$84,$A33),$I$5:$I$84,0)),"")</f>
        <v/>
      </c>
    </row>
    <row r="34" customFormat="false" ht="15" hidden="false" customHeight="false" outlineLevel="0" collapsed="false">
      <c r="A34" s="0" t="n">
        <v>30</v>
      </c>
      <c r="B34" s="0" t="n">
        <f aca="false">IF(AND($C34=0,$D34=0),"",IF($C34=0,$D34,IF($D34=0,$C34,MIN($C34,$D34))))</f>
        <v>10800</v>
      </c>
      <c r="C34" s="0" t="n">
        <f aca="false">IF($B33="",0,IFERROR(_xlfn.MINIFS('SC Change Orders'!$B$2:$B$501,'SC Change Orders'!$B$2:$B$501,"&gt;"&amp;$B33,'SC Change Orders'!$C$2:$C$501,"&gt;="&amp;Controls!$C$5,'SC Change Orders'!$C$2:$C$501,"&lt;="&amp;Controls!$C$6),0))</f>
        <v>11053</v>
      </c>
      <c r="D34" s="0" t="n">
        <f aca="false">IF($B33="",0,IFERROR(_xlfn.MINIFS(_MainTable!$F$2:$F$2001,_MainTable!$F$2:$F$2001,"&gt;"&amp;$B33,_MainTable!$G$2:$G$2001,"&gt;="&amp;Controls!$C$5,_MainTable!$G$2:$G$2001,"&lt;="&amp;Controls!$C$6),0))</f>
        <v>10800</v>
      </c>
      <c r="F34" s="0" t="str">
        <f aca="false">IF('PO Tracker'!$A34="","",'PO Tracker'!$A34)</f>
        <v>HIMAGINE SOLUTIONS INC</v>
      </c>
      <c r="G34" s="0" t="n">
        <f aca="false">IF($F34="","",IF(COUNTIF($F$5:$F34,$F34)=1,MAX($G$5:G33)+1,""))</f>
        <v>17</v>
      </c>
      <c r="H34" s="0" t="str">
        <f aca="false">IFERROR(INDEX($F$5:$F$84,MATCH($A34,$G$5:$G$84,0)),"")</f>
        <v/>
      </c>
      <c r="I34" s="0" t="str">
        <f aca="false">IF($H34="","",COUNTIF($H$5:$H$84,"&lt;"&amp;$H34)+1)</f>
        <v/>
      </c>
      <c r="J34" s="0" t="str">
        <f aca="false">IFERROR(INDEX($H$5:$H$84,MATCH(SMALL($I$5:$I$84,$A34),$I$5:$I$84,0)),"")</f>
        <v/>
      </c>
    </row>
    <row r="35" customFormat="false" ht="15" hidden="false" customHeight="false" outlineLevel="0" collapsed="false">
      <c r="A35" s="0" t="n">
        <v>31</v>
      </c>
      <c r="B35" s="0" t="n">
        <f aca="false">IF(AND($C35=0,$D35=0),"",IF($C35=0,$D35,IF($D35=0,$C35,MIN($C35,$D35))))</f>
        <v>10824</v>
      </c>
      <c r="C35" s="0" t="n">
        <f aca="false">IF($B34="",0,IFERROR(_xlfn.MINIFS('SC Change Orders'!$B$2:$B$501,'SC Change Orders'!$B$2:$B$501,"&gt;"&amp;$B34,'SC Change Orders'!$C$2:$C$501,"&gt;="&amp;Controls!$C$5,'SC Change Orders'!$C$2:$C$501,"&lt;="&amp;Controls!$C$6),0))</f>
        <v>11053</v>
      </c>
      <c r="D35" s="0" t="n">
        <f aca="false">IF($B34="",0,IFERROR(_xlfn.MINIFS(_MainTable!$F$2:$F$2001,_MainTable!$F$2:$F$2001,"&gt;"&amp;$B34,_MainTable!$G$2:$G$2001,"&gt;="&amp;Controls!$C$5,_MainTable!$G$2:$G$2001,"&lt;="&amp;Controls!$C$6),0))</f>
        <v>10824</v>
      </c>
      <c r="F35" s="0" t="str">
        <f aca="false">IF('PO Tracker'!$A35="","",'PO Tracker'!$A35)</f>
        <v>UNIFIED HEALTH SERVICES LLC</v>
      </c>
      <c r="G35" s="0" t="n">
        <f aca="false">IF($F35="","",IF(COUNTIF($F$5:$F35,$F35)=1,MAX($G$5:G34)+1,""))</f>
        <v>18</v>
      </c>
      <c r="H35" s="0" t="str">
        <f aca="false">IFERROR(INDEX($F$5:$F$84,MATCH($A35,$G$5:$G$84,0)),"")</f>
        <v/>
      </c>
      <c r="I35" s="0" t="str">
        <f aca="false">IF($H35="","",COUNTIF($H$5:$H$84,"&lt;"&amp;$H35)+1)</f>
        <v/>
      </c>
      <c r="J35" s="0" t="str">
        <f aca="false">IFERROR(INDEX($H$5:$H$84,MATCH(SMALL($I$5:$I$84,$A35),$I$5:$I$84,0)),"")</f>
        <v/>
      </c>
    </row>
    <row r="36" customFormat="false" ht="15" hidden="false" customHeight="false" outlineLevel="0" collapsed="false">
      <c r="A36" s="0" t="n">
        <v>32</v>
      </c>
      <c r="B36" s="0" t="n">
        <f aca="false">IF(AND($C36=0,$D36=0),"",IF($C36=0,$D36,IF($D36=0,$C36,MIN($C36,$D36))))</f>
        <v>10833</v>
      </c>
      <c r="C36" s="0" t="n">
        <f aca="false">IF($B35="",0,IFERROR(_xlfn.MINIFS('SC Change Orders'!$B$2:$B$501,'SC Change Orders'!$B$2:$B$501,"&gt;"&amp;$B35,'SC Change Orders'!$C$2:$C$501,"&gt;="&amp;Controls!$C$5,'SC Change Orders'!$C$2:$C$501,"&lt;="&amp;Controls!$C$6),0))</f>
        <v>11053</v>
      </c>
      <c r="D36" s="0" t="n">
        <f aca="false">IF($B35="",0,IFERROR(_xlfn.MINIFS(_MainTable!$F$2:$F$2001,_MainTable!$F$2:$F$2001,"&gt;"&amp;$B35,_MainTable!$G$2:$G$2001,"&gt;="&amp;Controls!$C$5,_MainTable!$G$2:$G$2001,"&lt;="&amp;Controls!$C$6),0))</f>
        <v>10833</v>
      </c>
      <c r="F36" s="0" t="str">
        <f aca="false">IF('PO Tracker'!$A36="","",'PO Tracker'!$A36)</f>
        <v>WAYSTAR HEALTH</v>
      </c>
      <c r="G36" s="0" t="n">
        <f aca="false">IF($F36="","",IF(COUNTIF($F$5:$F36,$F36)=1,MAX($G$5:G35)+1,""))</f>
        <v>19</v>
      </c>
      <c r="H36" s="0" t="str">
        <f aca="false">IFERROR(INDEX($F$5:$F$84,MATCH($A36,$G$5:$G$84,0)),"")</f>
        <v/>
      </c>
      <c r="I36" s="0" t="str">
        <f aca="false">IF($H36="","",COUNTIF($H$5:$H$84,"&lt;"&amp;$H36)+1)</f>
        <v/>
      </c>
      <c r="J36" s="0" t="str">
        <f aca="false">IFERROR(INDEX($H$5:$H$84,MATCH(SMALL($I$5:$I$84,$A36),$I$5:$I$84,0)),"")</f>
        <v/>
      </c>
    </row>
    <row r="37" customFormat="false" ht="15" hidden="false" customHeight="false" outlineLevel="0" collapsed="false">
      <c r="A37" s="0" t="n">
        <v>33</v>
      </c>
      <c r="B37" s="0" t="n">
        <f aca="false">IF(AND($C37=0,$D37=0),"",IF($C37=0,$D37,IF($D37=0,$C37,MIN($C37,$D37))))</f>
        <v>10891</v>
      </c>
      <c r="C37" s="0" t="n">
        <f aca="false">IF($B36="",0,IFERROR(_xlfn.MINIFS('SC Change Orders'!$B$2:$B$501,'SC Change Orders'!$B$2:$B$501,"&gt;"&amp;$B36,'SC Change Orders'!$C$2:$C$501,"&gt;="&amp;Controls!$C$5,'SC Change Orders'!$C$2:$C$501,"&lt;="&amp;Controls!$C$6),0))</f>
        <v>11053</v>
      </c>
      <c r="D37" s="0" t="n">
        <f aca="false">IF($B36="",0,IFERROR(_xlfn.MINIFS(_MainTable!$F$2:$F$2001,_MainTable!$F$2:$F$2001,"&gt;"&amp;$B36,_MainTable!$G$2:$G$2001,"&gt;="&amp;Controls!$C$5,_MainTable!$G$2:$G$2001,"&lt;="&amp;Controls!$C$6),0))</f>
        <v>10891</v>
      </c>
      <c r="F37" s="0" t="str">
        <f aca="false">IF('PO Tracker'!$A37="","",'PO Tracker'!$A37)</f>
        <v>ACCESSONE</v>
      </c>
      <c r="G37" s="0" t="n">
        <f aca="false">IF($F37="","",IF(COUNTIF($F$5:$F37,$F37)=1,MAX($G$5:G36)+1,""))</f>
        <v>20</v>
      </c>
      <c r="H37" s="0" t="str">
        <f aca="false">IFERROR(INDEX($F$5:$F$84,MATCH($A37,$G$5:$G$84,0)),"")</f>
        <v/>
      </c>
      <c r="I37" s="0" t="str">
        <f aca="false">IF($H37="","",COUNTIF($H$5:$H$84,"&lt;"&amp;$H37)+1)</f>
        <v/>
      </c>
      <c r="J37" s="0" t="str">
        <f aca="false">IFERROR(INDEX($H$5:$H$84,MATCH(SMALL($I$5:$I$84,$A37),$I$5:$I$84,0)),"")</f>
        <v/>
      </c>
    </row>
    <row r="38" customFormat="false" ht="15" hidden="false" customHeight="false" outlineLevel="0" collapsed="false">
      <c r="A38" s="0" t="n">
        <v>34</v>
      </c>
      <c r="B38" s="0" t="n">
        <f aca="false">IF(AND($C38=0,$D38=0),"",IF($C38=0,$D38,IF($D38=0,$C38,MIN($C38,$D38))))</f>
        <v>11023</v>
      </c>
      <c r="C38" s="0" t="n">
        <f aca="false">IF($B37="",0,IFERROR(_xlfn.MINIFS('SC Change Orders'!$B$2:$B$501,'SC Change Orders'!$B$2:$B$501,"&gt;"&amp;$B37,'SC Change Orders'!$C$2:$C$501,"&gt;="&amp;Controls!$C$5,'SC Change Orders'!$C$2:$C$501,"&lt;="&amp;Controls!$C$6),0))</f>
        <v>11053</v>
      </c>
      <c r="D38" s="0" t="n">
        <f aca="false">IF($B37="",0,IFERROR(_xlfn.MINIFS(_MainTable!$F$2:$F$2001,_MainTable!$F$2:$F$2001,"&gt;"&amp;$B37,_MainTable!$G$2:$G$2001,"&gt;="&amp;Controls!$C$5,_MainTable!$G$2:$G$2001,"&lt;="&amp;Controls!$C$6),0))</f>
        <v>11023</v>
      </c>
      <c r="F38" s="0" t="str">
        <f aca="false">IF('PO Tracker'!$A38="","",'PO Tracker'!$A38)</f>
        <v>CIOX HEALTH LLC</v>
      </c>
      <c r="G38" s="0" t="n">
        <f aca="false">IF($F38="","",IF(COUNTIF($F$5:$F38,$F38)=1,MAX($G$5:G37)+1,""))</f>
        <v>21</v>
      </c>
      <c r="H38" s="0" t="str">
        <f aca="false">IFERROR(INDEX($F$5:$F$84,MATCH($A38,$G$5:$G$84,0)),"")</f>
        <v/>
      </c>
      <c r="I38" s="0" t="str">
        <f aca="false">IF($H38="","",COUNTIF($H$5:$H$84,"&lt;"&amp;$H38)+1)</f>
        <v/>
      </c>
      <c r="J38" s="0" t="str">
        <f aca="false">IFERROR(INDEX($H$5:$H$84,MATCH(SMALL($I$5:$I$84,$A38),$I$5:$I$84,0)),"")</f>
        <v/>
      </c>
    </row>
    <row r="39" customFormat="false" ht="15" hidden="false" customHeight="false" outlineLevel="0" collapsed="false">
      <c r="A39" s="0" t="n">
        <v>35</v>
      </c>
      <c r="B39" s="0" t="n">
        <f aca="false">IF(AND($C39=0,$D39=0),"",IF($C39=0,$D39,IF($D39=0,$C39,MIN($C39,$D39))))</f>
        <v>11053</v>
      </c>
      <c r="C39" s="0" t="n">
        <f aca="false">IF($B38="",0,IFERROR(_xlfn.MINIFS('SC Change Orders'!$B$2:$B$501,'SC Change Orders'!$B$2:$B$501,"&gt;"&amp;$B38,'SC Change Orders'!$C$2:$C$501,"&gt;="&amp;Controls!$C$5,'SC Change Orders'!$C$2:$C$501,"&lt;="&amp;Controls!$C$6),0))</f>
        <v>11053</v>
      </c>
      <c r="D39" s="0" t="n">
        <f aca="false">IF($B38="",0,IFERROR(_xlfn.MINIFS(_MainTable!$F$2:$F$2001,_MainTable!$F$2:$F$2001,"&gt;"&amp;$B38,_MainTable!$G$2:$G$2001,"&gt;="&amp;Controls!$C$5,_MainTable!$G$2:$G$2001,"&lt;="&amp;Controls!$C$6),0))</f>
        <v>11053</v>
      </c>
      <c r="F39" s="0" t="str">
        <f aca="false">IF('PO Tracker'!$A39="","",'PO Tracker'!$A39)</f>
        <v>WAYSTAR HEALTH</v>
      </c>
      <c r="G39" s="0" t="str">
        <f aca="false">IF($F39="","",IF(COUNTIF($F$5:$F39,$F39)=1,MAX($G$5:G38)+1,""))</f>
        <v/>
      </c>
      <c r="H39" s="0" t="str">
        <f aca="false">IFERROR(INDEX($F$5:$F$84,MATCH($A39,$G$5:$G$84,0)),"")</f>
        <v/>
      </c>
      <c r="I39" s="0" t="str">
        <f aca="false">IF($H39="","",COUNTIF($H$5:$H$84,"&lt;"&amp;$H39)+1)</f>
        <v/>
      </c>
      <c r="J39" s="0" t="str">
        <f aca="false">IFERROR(INDEX($H$5:$H$84,MATCH(SMALL($I$5:$I$84,$A39),$I$5:$I$84,0)),"")</f>
        <v/>
      </c>
    </row>
    <row r="40" customFormat="false" ht="15" hidden="false" customHeight="false" outlineLevel="0" collapsed="false">
      <c r="A40" s="0" t="n">
        <v>36</v>
      </c>
      <c r="B40" s="0" t="n">
        <f aca="false">IF(AND($C40=0,$D40=0),"",IF($C40=0,$D40,IF($D40=0,$C40,MIN($C40,$D40))))</f>
        <v>11172</v>
      </c>
      <c r="C40" s="0" t="n">
        <f aca="false">IF($B39="",0,IFERROR(_xlfn.MINIFS('SC Change Orders'!$B$2:$B$501,'SC Change Orders'!$B$2:$B$501,"&gt;"&amp;$B39,'SC Change Orders'!$C$2:$C$501,"&gt;="&amp;Controls!$C$5,'SC Change Orders'!$C$2:$C$501,"&lt;="&amp;Controls!$C$6),0))</f>
        <v>11172</v>
      </c>
      <c r="D40" s="0" t="n">
        <f aca="false">IF($B39="",0,IFERROR(_xlfn.MINIFS(_MainTable!$F$2:$F$2001,_MainTable!$F$2:$F$2001,"&gt;"&amp;$B39,_MainTable!$G$2:$G$2001,"&gt;="&amp;Controls!$C$5,_MainTable!$G$2:$G$2001,"&lt;="&amp;Controls!$C$6),0))</f>
        <v>11172</v>
      </c>
      <c r="F40" s="0" t="str">
        <f aca="false">IF('PO Tracker'!$A40="","",'PO Tracker'!$A40)</f>
        <v>CLOUDMED</v>
      </c>
      <c r="G40" s="0" t="str">
        <f aca="false">IF($F40="","",IF(COUNTIF($F$5:$F40,$F40)=1,MAX($G$5:G39)+1,""))</f>
        <v/>
      </c>
      <c r="H40" s="0" t="str">
        <f aca="false">IFERROR(INDEX($F$5:$F$84,MATCH($A40,$G$5:$G$84,0)),"")</f>
        <v/>
      </c>
      <c r="I40" s="0" t="str">
        <f aca="false">IF($H40="","",COUNTIF($H$5:$H$84,"&lt;"&amp;$H40)+1)</f>
        <v/>
      </c>
      <c r="J40" s="0" t="str">
        <f aca="false">IFERROR(INDEX($H$5:$H$84,MATCH(SMALL($I$5:$I$84,$A40),$I$5:$I$84,0)),"")</f>
        <v/>
      </c>
    </row>
    <row r="41" customFormat="false" ht="15" hidden="false" customHeight="false" outlineLevel="0" collapsed="false">
      <c r="A41" s="0" t="n">
        <v>37</v>
      </c>
      <c r="B41" s="0" t="n">
        <f aca="false">IF(AND($C41=0,$D41=0),"",IF($C41=0,$D41,IF($D41=0,$C41,MIN($C41,$D41))))</f>
        <v>11217</v>
      </c>
      <c r="C41" s="0" t="n">
        <f aca="false">IF($B40="",0,IFERROR(_xlfn.MINIFS('SC Change Orders'!$B$2:$B$501,'SC Change Orders'!$B$2:$B$501,"&gt;"&amp;$B40,'SC Change Orders'!$C$2:$C$501,"&gt;="&amp;Controls!$C$5,'SC Change Orders'!$C$2:$C$501,"&lt;="&amp;Controls!$C$6),0))</f>
        <v>11631</v>
      </c>
      <c r="D41" s="0" t="n">
        <f aca="false">IF($B40="",0,IFERROR(_xlfn.MINIFS(_MainTable!$F$2:$F$2001,_MainTable!$F$2:$F$2001,"&gt;"&amp;$B40,_MainTable!$G$2:$G$2001,"&gt;="&amp;Controls!$C$5,_MainTable!$G$2:$G$2001,"&lt;="&amp;Controls!$C$6),0))</f>
        <v>11217</v>
      </c>
      <c r="F41" s="0" t="str">
        <f aca="false">IF('PO Tracker'!$A41="","",'PO Tracker'!$A41)</f>
        <v>SOLVENTUM HEALTH INFO SYSTEM</v>
      </c>
      <c r="G41" s="0" t="str">
        <f aca="false">IF($F41="","",IF(COUNTIF($F$5:$F41,$F41)=1,MAX($G$5:G40)+1,""))</f>
        <v/>
      </c>
      <c r="H41" s="0" t="str">
        <f aca="false">IFERROR(INDEX($F$5:$F$84,MATCH($A41,$G$5:$G$84,0)),"")</f>
        <v/>
      </c>
      <c r="I41" s="0" t="str">
        <f aca="false">IF($H41="","",COUNTIF($H$5:$H$84,"&lt;"&amp;$H41)+1)</f>
        <v/>
      </c>
      <c r="J41" s="0" t="str">
        <f aca="false">IFERROR(INDEX($H$5:$H$84,MATCH(SMALL($I$5:$I$84,$A41),$I$5:$I$84,0)),"")</f>
        <v/>
      </c>
    </row>
    <row r="42" customFormat="false" ht="15" hidden="false" customHeight="false" outlineLevel="0" collapsed="false">
      <c r="A42" s="0" t="n">
        <v>38</v>
      </c>
      <c r="B42" s="0" t="n">
        <f aca="false">IF(AND($C42=0,$D42=0),"",IF($C42=0,$D42,IF($D42=0,$C42,MIN($C42,$D42))))</f>
        <v>11587</v>
      </c>
      <c r="C42" s="0" t="n">
        <f aca="false">IF($B41="",0,IFERROR(_xlfn.MINIFS('SC Change Orders'!$B$2:$B$501,'SC Change Orders'!$B$2:$B$501,"&gt;"&amp;$B41,'SC Change Orders'!$C$2:$C$501,"&gt;="&amp;Controls!$C$5,'SC Change Orders'!$C$2:$C$501,"&lt;="&amp;Controls!$C$6),0))</f>
        <v>11631</v>
      </c>
      <c r="D42" s="0" t="n">
        <f aca="false">IF($B41="",0,IFERROR(_xlfn.MINIFS(_MainTable!$F$2:$F$2001,_MainTable!$F$2:$F$2001,"&gt;"&amp;$B41,_MainTable!$G$2:$G$2001,"&gt;="&amp;Controls!$C$5,_MainTable!$G$2:$G$2001,"&lt;="&amp;Controls!$C$6),0))</f>
        <v>11587</v>
      </c>
      <c r="F42" s="0" t="str">
        <f aca="false">IF('PO Tracker'!$A42="","",'PO Tracker'!$A42)</f>
        <v>GUIDEHOUSE INC</v>
      </c>
      <c r="G42" s="0" t="str">
        <f aca="false">IF($F42="","",IF(COUNTIF($F$5:$F42,$F42)=1,MAX($G$5:G41)+1,""))</f>
        <v/>
      </c>
      <c r="H42" s="0" t="str">
        <f aca="false">IFERROR(INDEX($F$5:$F$84,MATCH($A42,$G$5:$G$84,0)),"")</f>
        <v/>
      </c>
      <c r="I42" s="0" t="str">
        <f aca="false">IF($H42="","",COUNTIF($H$5:$H$84,"&lt;"&amp;$H42)+1)</f>
        <v/>
      </c>
      <c r="J42" s="0" t="str">
        <f aca="false">IFERROR(INDEX($H$5:$H$84,MATCH(SMALL($I$5:$I$84,$A42),$I$5:$I$84,0)),"")</f>
        <v/>
      </c>
    </row>
    <row r="43" customFormat="false" ht="15" hidden="false" customHeight="false" outlineLevel="0" collapsed="false">
      <c r="A43" s="0" t="n">
        <v>39</v>
      </c>
      <c r="B43" s="0" t="n">
        <f aca="false">IF(AND($C43=0,$D43=0),"",IF($C43=0,$D43,IF($D43=0,$C43,MIN($C43,$D43))))</f>
        <v>11631</v>
      </c>
      <c r="C43" s="0" t="n">
        <f aca="false">IF($B42="",0,IFERROR(_xlfn.MINIFS('SC Change Orders'!$B$2:$B$501,'SC Change Orders'!$B$2:$B$501,"&gt;"&amp;$B42,'SC Change Orders'!$C$2:$C$501,"&gt;="&amp;Controls!$C$5,'SC Change Orders'!$C$2:$C$501,"&lt;="&amp;Controls!$C$6),0))</f>
        <v>11631</v>
      </c>
      <c r="D43" s="0" t="n">
        <f aca="false">IF($B42="",0,IFERROR(_xlfn.MINIFS(_MainTable!$F$2:$F$2001,_MainTable!$F$2:$F$2001,"&gt;"&amp;$B42,_MainTable!$G$2:$G$2001,"&gt;="&amp;Controls!$C$5,_MainTable!$G$2:$G$2001,"&lt;="&amp;Controls!$C$6),0))</f>
        <v>11631</v>
      </c>
      <c r="F43" s="0" t="str">
        <f aca="false">IF('PO Tracker'!$A43="","",'PO Tracker'!$A43)</f>
        <v>WAYSTAR HEALTH</v>
      </c>
      <c r="G43" s="0" t="str">
        <f aca="false">IF($F43="","",IF(COUNTIF($F$5:$F43,$F43)=1,MAX($G$5:G42)+1,""))</f>
        <v/>
      </c>
      <c r="H43" s="0" t="str">
        <f aca="false">IFERROR(INDEX($F$5:$F$84,MATCH($A43,$G$5:$G$84,0)),"")</f>
        <v/>
      </c>
      <c r="I43" s="0" t="str">
        <f aca="false">IF($H43="","",COUNTIF($H$5:$H$84,"&lt;"&amp;$H43)+1)</f>
        <v/>
      </c>
      <c r="J43" s="0" t="str">
        <f aca="false">IFERROR(INDEX($H$5:$H$84,MATCH(SMALL($I$5:$I$84,$A43),$I$5:$I$84,0)),"")</f>
        <v/>
      </c>
    </row>
    <row r="44" customFormat="false" ht="15" hidden="false" customHeight="false" outlineLevel="0" collapsed="false">
      <c r="A44" s="0" t="n">
        <v>40</v>
      </c>
      <c r="B44" s="0" t="n">
        <f aca="false">IF(AND($C44=0,$D44=0),"",IF($C44=0,$D44,IF($D44=0,$C44,MIN($C44,$D44))))</f>
        <v>11778</v>
      </c>
      <c r="C44" s="0" t="n">
        <f aca="false">IF($B43="",0,IFERROR(_xlfn.MINIFS('SC Change Orders'!$B$2:$B$501,'SC Change Orders'!$B$2:$B$501,"&gt;"&amp;$B43,'SC Change Orders'!$C$2:$C$501,"&gt;="&amp;Controls!$C$5,'SC Change Orders'!$C$2:$C$501,"&lt;="&amp;Controls!$C$6),0))</f>
        <v>12088</v>
      </c>
      <c r="D44" s="0" t="n">
        <f aca="false">IF($B43="",0,IFERROR(_xlfn.MINIFS(_MainTable!$F$2:$F$2001,_MainTable!$F$2:$F$2001,"&gt;"&amp;$B43,_MainTable!$G$2:$G$2001,"&gt;="&amp;Controls!$C$5,_MainTable!$G$2:$G$2001,"&lt;="&amp;Controls!$C$6),0))</f>
        <v>11778</v>
      </c>
      <c r="F44" s="0" t="str">
        <f aca="false">IF('PO Tracker'!$A44="","",'PO Tracker'!$A44)</f>
        <v>HEALTHSTREAM</v>
      </c>
      <c r="G44" s="0" t="n">
        <f aca="false">IF($F44="","",IF(COUNTIF($F$5:$F44,$F44)=1,MAX($G$5:G43)+1,""))</f>
        <v>22</v>
      </c>
      <c r="H44" s="0" t="str">
        <f aca="false">IFERROR(INDEX($F$5:$F$84,MATCH($A44,$G$5:$G$84,0)),"")</f>
        <v/>
      </c>
      <c r="I44" s="0" t="str">
        <f aca="false">IF($H44="","",COUNTIF($H$5:$H$84,"&lt;"&amp;$H44)+1)</f>
        <v/>
      </c>
      <c r="J44" s="0" t="str">
        <f aca="false">IFERROR(INDEX($H$5:$H$84,MATCH(SMALL($I$5:$I$84,$A44),$I$5:$I$84,0)),"")</f>
        <v/>
      </c>
    </row>
    <row r="45" customFormat="false" ht="15" hidden="false" customHeight="false" outlineLevel="0" collapsed="false">
      <c r="A45" s="0" t="n">
        <v>41</v>
      </c>
      <c r="B45" s="0" t="n">
        <f aca="false">IF(AND($C45=0,$D45=0),"",IF($C45=0,$D45,IF($D45=0,$C45,MIN($C45,$D45))))</f>
        <v>12088</v>
      </c>
      <c r="C45" s="0" t="n">
        <f aca="false">IF($B44="",0,IFERROR(_xlfn.MINIFS('SC Change Orders'!$B$2:$B$501,'SC Change Orders'!$B$2:$B$501,"&gt;"&amp;$B44,'SC Change Orders'!$C$2:$C$501,"&gt;="&amp;Controls!$C$5,'SC Change Orders'!$C$2:$C$501,"&lt;="&amp;Controls!$C$6),0))</f>
        <v>12088</v>
      </c>
      <c r="D45" s="0" t="n">
        <f aca="false">IF($B44="",0,IFERROR(_xlfn.MINIFS(_MainTable!$F$2:$F$2001,_MainTable!$F$2:$F$2001,"&gt;"&amp;$B44,_MainTable!$G$2:$G$2001,"&gt;="&amp;Controls!$C$5,_MainTable!$G$2:$G$2001,"&lt;="&amp;Controls!$C$6),0))</f>
        <v>12088</v>
      </c>
      <c r="F45" s="0" t="str">
        <f aca="false">IF('PO Tracker'!$A45="","",'PO Tracker'!$A45)</f>
        <v>MEDLYTIX LLC</v>
      </c>
      <c r="G45" s="0" t="n">
        <f aca="false">IF($F45="","",IF(COUNTIF($F$5:$F45,$F45)=1,MAX($G$5:G44)+1,""))</f>
        <v>23</v>
      </c>
      <c r="H45" s="0" t="str">
        <f aca="false">IFERROR(INDEX($F$5:$F$84,MATCH($A45,$G$5:$G$84,0)),"")</f>
        <v/>
      </c>
      <c r="I45" s="0" t="str">
        <f aca="false">IF($H45="","",COUNTIF($H$5:$H$84,"&lt;"&amp;$H45)+1)</f>
        <v/>
      </c>
      <c r="J45" s="0" t="str">
        <f aca="false">IFERROR(INDEX($H$5:$H$84,MATCH(SMALL($I$5:$I$84,$A45),$I$5:$I$84,0)),"")</f>
        <v/>
      </c>
    </row>
    <row r="46" customFormat="false" ht="15" hidden="false" customHeight="false" outlineLevel="0" collapsed="false">
      <c r="A46" s="0" t="n">
        <v>42</v>
      </c>
      <c r="B46" s="0" t="n">
        <f aca="false">IF(AND($C46=0,$D46=0),"",IF($C46=0,$D46,IF($D46=0,$C46,MIN($C46,$D46))))</f>
        <v>12263</v>
      </c>
      <c r="C46" s="0" t="n">
        <f aca="false">IF($B45="",0,IFERROR(_xlfn.MINIFS('SC Change Orders'!$B$2:$B$501,'SC Change Orders'!$B$2:$B$501,"&gt;"&amp;$B45,'SC Change Orders'!$C$2:$C$501,"&gt;="&amp;Controls!$C$5,'SC Change Orders'!$C$2:$C$501,"&lt;="&amp;Controls!$C$6),0))</f>
        <v>12263</v>
      </c>
      <c r="D46" s="0" t="n">
        <f aca="false">IF($B45="",0,IFERROR(_xlfn.MINIFS(_MainTable!$F$2:$F$2001,_MainTable!$F$2:$F$2001,"&gt;"&amp;$B45,_MainTable!$G$2:$G$2001,"&gt;="&amp;Controls!$C$5,_MainTable!$G$2:$G$2001,"&lt;="&amp;Controls!$C$6),0))</f>
        <v>12584</v>
      </c>
      <c r="F46" s="0" t="str">
        <f aca="false">IF('PO Tracker'!$A46="","",'PO Tracker'!$A46)</f>
        <v>HYVE HEALTHCARE</v>
      </c>
      <c r="G46" s="0" t="n">
        <f aca="false">IF($F46="","",IF(COUNTIF($F$5:$F46,$F46)=1,MAX($G$5:G45)+1,""))</f>
        <v>24</v>
      </c>
      <c r="H46" s="0" t="str">
        <f aca="false">IFERROR(INDEX($F$5:$F$84,MATCH($A46,$G$5:$G$84,0)),"")</f>
        <v/>
      </c>
      <c r="I46" s="0" t="str">
        <f aca="false">IF($H46="","",COUNTIF($H$5:$H$84,"&lt;"&amp;$H46)+1)</f>
        <v/>
      </c>
      <c r="J46" s="0" t="str">
        <f aca="false">IFERROR(INDEX($H$5:$H$84,MATCH(SMALL($I$5:$I$84,$A46),$I$5:$I$84,0)),"")</f>
        <v/>
      </c>
    </row>
    <row r="47" customFormat="false" ht="15" hidden="false" customHeight="false" outlineLevel="0" collapsed="false">
      <c r="A47" s="0" t="n">
        <v>43</v>
      </c>
      <c r="B47" s="0" t="n">
        <f aca="false">IF(AND($C47=0,$D47=0),"",IF($C47=0,$D47,IF($D47=0,$C47,MIN($C47,$D47))))</f>
        <v>12584</v>
      </c>
      <c r="C47" s="0" t="n">
        <f aca="false">IF($B46="",0,IFERROR(_xlfn.MINIFS('SC Change Orders'!$B$2:$B$501,'SC Change Orders'!$B$2:$B$501,"&gt;"&amp;$B46,'SC Change Orders'!$C$2:$C$501,"&gt;="&amp;Controls!$C$5,'SC Change Orders'!$C$2:$C$501,"&lt;="&amp;Controls!$C$6),0))</f>
        <v>12584</v>
      </c>
      <c r="D47" s="0" t="n">
        <f aca="false">IF($B46="",0,IFERROR(_xlfn.MINIFS(_MainTable!$F$2:$F$2001,_MainTable!$F$2:$F$2001,"&gt;"&amp;$B46,_MainTable!$G$2:$G$2001,"&gt;="&amp;Controls!$C$5,_MainTable!$G$2:$G$2001,"&lt;="&amp;Controls!$C$6),0))</f>
        <v>12584</v>
      </c>
      <c r="F47" s="0" t="str">
        <f aca="false">IF('PO Tracker'!$A47="","",'PO Tracker'!$A47)</f>
        <v>UNITED AUDIT SYSTEMS INC</v>
      </c>
      <c r="G47" s="0" t="n">
        <f aca="false">IF($F47="","",IF(COUNTIF($F$5:$F47,$F47)=1,MAX($G$5:G46)+1,""))</f>
        <v>25</v>
      </c>
      <c r="H47" s="0" t="str">
        <f aca="false">IFERROR(INDEX($F$5:$F$84,MATCH($A47,$G$5:$G$84,0)),"")</f>
        <v/>
      </c>
      <c r="I47" s="0" t="str">
        <f aca="false">IF($H47="","",COUNTIF($H$5:$H$84,"&lt;"&amp;$H47)+1)</f>
        <v/>
      </c>
      <c r="J47" s="0" t="str">
        <f aca="false">IFERROR(INDEX($H$5:$H$84,MATCH(SMALL($I$5:$I$84,$A47),$I$5:$I$84,0)),"")</f>
        <v/>
      </c>
    </row>
    <row r="48" customFormat="false" ht="15" hidden="false" customHeight="false" outlineLevel="0" collapsed="false">
      <c r="A48" s="0" t="n">
        <v>44</v>
      </c>
      <c r="B48" s="0" t="str">
        <f aca="false">IF(AND($C48=0,$D48=0),"",IF($C48=0,$D48,IF($D48=0,$C48,MIN($C48,$D48))))</f>
        <v/>
      </c>
      <c r="C48" s="0" t="n">
        <f aca="false">IF($B47="",0,IFERROR(_xlfn.MINIFS('SC Change Orders'!$B$2:$B$501,'SC Change Orders'!$B$2:$B$501,"&gt;"&amp;$B47,'SC Change Orders'!$C$2:$C$501,"&gt;="&amp;Controls!$C$5,'SC Change Orders'!$C$2:$C$501,"&lt;="&amp;Controls!$C$6),0))</f>
        <v>0</v>
      </c>
      <c r="D48" s="0" t="n">
        <f aca="false">IF($B47="",0,IFERROR(_xlfn.MINIFS(_MainTable!$F$2:$F$2001,_MainTable!$F$2:$F$2001,"&gt;"&amp;$B47,_MainTable!$G$2:$G$2001,"&gt;="&amp;Controls!$C$5,_MainTable!$G$2:$G$2001,"&lt;="&amp;Controls!$C$6),0))</f>
        <v>0</v>
      </c>
      <c r="F48" s="0" t="str">
        <f aca="false">IF('PO Tracker'!$A48="","",'PO Tracker'!$A48)</f>
        <v/>
      </c>
      <c r="G48" s="0" t="str">
        <f aca="false">IF($F48="","",IF(COUNTIF($F$5:$F48,$F48)=1,MAX($G$5:G47)+1,""))</f>
        <v/>
      </c>
      <c r="H48" s="0" t="str">
        <f aca="false">IFERROR(INDEX($F$5:$F$84,MATCH($A48,$G$5:$G$84,0)),"")</f>
        <v/>
      </c>
      <c r="I48" s="0" t="str">
        <f aca="false">IF($H48="","",COUNTIF($H$5:$H$84,"&lt;"&amp;$H48)+1)</f>
        <v/>
      </c>
      <c r="J48" s="0" t="str">
        <f aca="false">IFERROR(INDEX($H$5:$H$84,MATCH(SMALL($I$5:$I$84,$A48),$I$5:$I$84,0)),"")</f>
        <v/>
      </c>
    </row>
    <row r="49" customFormat="false" ht="15" hidden="false" customHeight="false" outlineLevel="0" collapsed="false">
      <c r="A49" s="0" t="n">
        <v>45</v>
      </c>
      <c r="B49" s="0" t="str">
        <f aca="false">IF(AND($C49=0,$D49=0),"",IF($C49=0,$D49,IF($D49=0,$C49,MIN($C49,$D49))))</f>
        <v/>
      </c>
      <c r="C49" s="0" t="n">
        <f aca="false">IF($B48="",0,IFERROR(_xlfn.MINIFS('SC Change Orders'!$B$2:$B$501,'SC Change Orders'!$B$2:$B$501,"&gt;"&amp;$B48,'SC Change Orders'!$C$2:$C$501,"&gt;="&amp;Controls!$C$5,'SC Change Orders'!$C$2:$C$501,"&lt;="&amp;Controls!$C$6),0))</f>
        <v>0</v>
      </c>
      <c r="D49" s="0" t="n">
        <f aca="false">IF($B48="",0,IFERROR(_xlfn.MINIFS(_MainTable!$F$2:$F$2001,_MainTable!$F$2:$F$2001,"&gt;"&amp;$B48,_MainTable!$G$2:$G$2001,"&gt;="&amp;Controls!$C$5,_MainTable!$G$2:$G$2001,"&lt;="&amp;Controls!$C$6),0))</f>
        <v>0</v>
      </c>
      <c r="F49" s="0" t="str">
        <f aca="false">IF('PO Tracker'!$A49="","",'PO Tracker'!$A49)</f>
        <v/>
      </c>
      <c r="G49" s="0" t="str">
        <f aca="false">IF($F49="","",IF(COUNTIF($F$5:$F49,$F49)=1,MAX($G$5:G48)+1,""))</f>
        <v/>
      </c>
      <c r="H49" s="0" t="str">
        <f aca="false">IFERROR(INDEX($F$5:$F$84,MATCH($A49,$G$5:$G$84,0)),"")</f>
        <v/>
      </c>
      <c r="I49" s="0" t="str">
        <f aca="false">IF($H49="","",COUNTIF($H$5:$H$84,"&lt;"&amp;$H49)+1)</f>
        <v/>
      </c>
      <c r="J49" s="0" t="str">
        <f aca="false">IFERROR(INDEX($H$5:$H$84,MATCH(SMALL($I$5:$I$84,$A49),$I$5:$I$84,0)),"")</f>
        <v/>
      </c>
    </row>
    <row r="50" customFormat="false" ht="15" hidden="false" customHeight="false" outlineLevel="0" collapsed="false">
      <c r="A50" s="0" t="n">
        <v>46</v>
      </c>
      <c r="B50" s="0" t="str">
        <f aca="false">IF(AND($C50=0,$D50=0),"",IF($C50=0,$D50,IF($D50=0,$C50,MIN($C50,$D50))))</f>
        <v/>
      </c>
      <c r="C50" s="0" t="n">
        <f aca="false">IF($B49="",0,IFERROR(_xlfn.MINIFS('SC Change Orders'!$B$2:$B$501,'SC Change Orders'!$B$2:$B$501,"&gt;"&amp;$B49,'SC Change Orders'!$C$2:$C$501,"&gt;="&amp;Controls!$C$5,'SC Change Orders'!$C$2:$C$501,"&lt;="&amp;Controls!$C$6),0))</f>
        <v>0</v>
      </c>
      <c r="D50" s="0" t="n">
        <f aca="false">IF($B49="",0,IFERROR(_xlfn.MINIFS(_MainTable!$F$2:$F$2001,_MainTable!$F$2:$F$2001,"&gt;"&amp;$B49,_MainTable!$G$2:$G$2001,"&gt;="&amp;Controls!$C$5,_MainTable!$G$2:$G$2001,"&lt;="&amp;Controls!$C$6),0))</f>
        <v>0</v>
      </c>
      <c r="F50" s="0" t="str">
        <f aca="false">IF('PO Tracker'!$A50="","",'PO Tracker'!$A50)</f>
        <v/>
      </c>
      <c r="G50" s="0" t="str">
        <f aca="false">IF($F50="","",IF(COUNTIF($F$5:$F50,$F50)=1,MAX($G$5:G49)+1,""))</f>
        <v/>
      </c>
      <c r="H50" s="0" t="str">
        <f aca="false">IFERROR(INDEX($F$5:$F$84,MATCH($A50,$G$5:$G$84,0)),"")</f>
        <v/>
      </c>
      <c r="I50" s="0" t="str">
        <f aca="false">IF($H50="","",COUNTIF($H$5:$H$84,"&lt;"&amp;$H50)+1)</f>
        <v/>
      </c>
      <c r="J50" s="0" t="str">
        <f aca="false">IFERROR(INDEX($H$5:$H$84,MATCH(SMALL($I$5:$I$84,$A50),$I$5:$I$84,0)),"")</f>
        <v/>
      </c>
    </row>
    <row r="51" customFormat="false" ht="15" hidden="false" customHeight="false" outlineLevel="0" collapsed="false">
      <c r="A51" s="0" t="n">
        <v>47</v>
      </c>
      <c r="B51" s="0" t="str">
        <f aca="false">IF(AND($C51=0,$D51=0),"",IF($C51=0,$D51,IF($D51=0,$C51,MIN($C51,$D51))))</f>
        <v/>
      </c>
      <c r="C51" s="0" t="n">
        <f aca="false">IF($B50="",0,IFERROR(_xlfn.MINIFS('SC Change Orders'!$B$2:$B$501,'SC Change Orders'!$B$2:$B$501,"&gt;"&amp;$B50,'SC Change Orders'!$C$2:$C$501,"&gt;="&amp;Controls!$C$5,'SC Change Orders'!$C$2:$C$501,"&lt;="&amp;Controls!$C$6),0))</f>
        <v>0</v>
      </c>
      <c r="D51" s="0" t="n">
        <f aca="false">IF($B50="",0,IFERROR(_xlfn.MINIFS(_MainTable!$F$2:$F$2001,_MainTable!$F$2:$F$2001,"&gt;"&amp;$B50,_MainTable!$G$2:$G$2001,"&gt;="&amp;Controls!$C$5,_MainTable!$G$2:$G$2001,"&lt;="&amp;Controls!$C$6),0))</f>
        <v>0</v>
      </c>
      <c r="F51" s="0" t="str">
        <f aca="false">IF('PO Tracker'!$A51="","",'PO Tracker'!$A51)</f>
        <v/>
      </c>
      <c r="G51" s="0" t="str">
        <f aca="false">IF($F51="","",IF(COUNTIF($F$5:$F51,$F51)=1,MAX($G$5:G50)+1,""))</f>
        <v/>
      </c>
      <c r="H51" s="0" t="str">
        <f aca="false">IFERROR(INDEX($F$5:$F$84,MATCH($A51,$G$5:$G$84,0)),"")</f>
        <v/>
      </c>
      <c r="I51" s="0" t="str">
        <f aca="false">IF($H51="","",COUNTIF($H$5:$H$84,"&lt;"&amp;$H51)+1)</f>
        <v/>
      </c>
      <c r="J51" s="0" t="str">
        <f aca="false">IFERROR(INDEX($H$5:$H$84,MATCH(SMALL($I$5:$I$84,$A51),$I$5:$I$84,0)),"")</f>
        <v/>
      </c>
    </row>
    <row r="52" customFormat="false" ht="15" hidden="false" customHeight="false" outlineLevel="0" collapsed="false">
      <c r="A52" s="0" t="n">
        <v>48</v>
      </c>
      <c r="B52" s="0" t="str">
        <f aca="false">IF(AND($C52=0,$D52=0),"",IF($C52=0,$D52,IF($D52=0,$C52,MIN($C52,$D52))))</f>
        <v/>
      </c>
      <c r="C52" s="0" t="n">
        <f aca="false">IF($B51="",0,IFERROR(_xlfn.MINIFS('SC Change Orders'!$B$2:$B$501,'SC Change Orders'!$B$2:$B$501,"&gt;"&amp;$B51,'SC Change Orders'!$C$2:$C$501,"&gt;="&amp;Controls!$C$5,'SC Change Orders'!$C$2:$C$501,"&lt;="&amp;Controls!$C$6),0))</f>
        <v>0</v>
      </c>
      <c r="D52" s="0" t="n">
        <f aca="false">IF($B51="",0,IFERROR(_xlfn.MINIFS(_MainTable!$F$2:$F$2001,_MainTable!$F$2:$F$2001,"&gt;"&amp;$B51,_MainTable!$G$2:$G$2001,"&gt;="&amp;Controls!$C$5,_MainTable!$G$2:$G$2001,"&lt;="&amp;Controls!$C$6),0))</f>
        <v>0</v>
      </c>
      <c r="F52" s="0" t="str">
        <f aca="false">IF('PO Tracker'!$A52="","",'PO Tracker'!$A52)</f>
        <v/>
      </c>
      <c r="G52" s="0" t="str">
        <f aca="false">IF($F52="","",IF(COUNTIF($F$5:$F52,$F52)=1,MAX($G$5:G51)+1,""))</f>
        <v/>
      </c>
      <c r="H52" s="0" t="str">
        <f aca="false">IFERROR(INDEX($F$5:$F$84,MATCH($A52,$G$5:$G$84,0)),"")</f>
        <v/>
      </c>
      <c r="I52" s="0" t="str">
        <f aca="false">IF($H52="","",COUNTIF($H$5:$H$84,"&lt;"&amp;$H52)+1)</f>
        <v/>
      </c>
      <c r="J52" s="0" t="str">
        <f aca="false">IFERROR(INDEX($H$5:$H$84,MATCH(SMALL($I$5:$I$84,$A52),$I$5:$I$84,0)),"")</f>
        <v/>
      </c>
    </row>
    <row r="53" customFormat="false" ht="15" hidden="false" customHeight="false" outlineLevel="0" collapsed="false">
      <c r="A53" s="0" t="n">
        <v>49</v>
      </c>
      <c r="B53" s="0" t="str">
        <f aca="false">IF(AND($C53=0,$D53=0),"",IF($C53=0,$D53,IF($D53=0,$C53,MIN($C53,$D53))))</f>
        <v/>
      </c>
      <c r="C53" s="0" t="n">
        <f aca="false">IF($B52="",0,IFERROR(_xlfn.MINIFS('SC Change Orders'!$B$2:$B$501,'SC Change Orders'!$B$2:$B$501,"&gt;"&amp;$B52,'SC Change Orders'!$C$2:$C$501,"&gt;="&amp;Controls!$C$5,'SC Change Orders'!$C$2:$C$501,"&lt;="&amp;Controls!$C$6),0))</f>
        <v>0</v>
      </c>
      <c r="D53" s="0" t="n">
        <f aca="false">IF($B52="",0,IFERROR(_xlfn.MINIFS(_MainTable!$F$2:$F$2001,_MainTable!$F$2:$F$2001,"&gt;"&amp;$B52,_MainTable!$G$2:$G$2001,"&gt;="&amp;Controls!$C$5,_MainTable!$G$2:$G$2001,"&lt;="&amp;Controls!$C$6),0))</f>
        <v>0</v>
      </c>
      <c r="F53" s="0" t="str">
        <f aca="false">IF('PO Tracker'!$A53="","",'PO Tracker'!$A53)</f>
        <v/>
      </c>
      <c r="G53" s="0" t="str">
        <f aca="false">IF($F53="","",IF(COUNTIF($F$5:$F53,$F53)=1,MAX($G$5:G52)+1,""))</f>
        <v/>
      </c>
      <c r="H53" s="0" t="str">
        <f aca="false">IFERROR(INDEX($F$5:$F$84,MATCH($A53,$G$5:$G$84,0)),"")</f>
        <v/>
      </c>
      <c r="I53" s="0" t="str">
        <f aca="false">IF($H53="","",COUNTIF($H$5:$H$84,"&lt;"&amp;$H53)+1)</f>
        <v/>
      </c>
      <c r="J53" s="0" t="str">
        <f aca="false">IFERROR(INDEX($H$5:$H$84,MATCH(SMALL($I$5:$I$84,$A53),$I$5:$I$84,0)),"")</f>
        <v/>
      </c>
    </row>
    <row r="54" customFormat="false" ht="15" hidden="false" customHeight="false" outlineLevel="0" collapsed="false">
      <c r="A54" s="0" t="n">
        <v>50</v>
      </c>
      <c r="B54" s="0" t="str">
        <f aca="false">IF(AND($C54=0,$D54=0),"",IF($C54=0,$D54,IF($D54=0,$C54,MIN($C54,$D54))))</f>
        <v/>
      </c>
      <c r="C54" s="0" t="n">
        <f aca="false">IF($B53="",0,IFERROR(_xlfn.MINIFS('SC Change Orders'!$B$2:$B$501,'SC Change Orders'!$B$2:$B$501,"&gt;"&amp;$B53,'SC Change Orders'!$C$2:$C$501,"&gt;="&amp;Controls!$C$5,'SC Change Orders'!$C$2:$C$501,"&lt;="&amp;Controls!$C$6),0))</f>
        <v>0</v>
      </c>
      <c r="D54" s="0" t="n">
        <f aca="false">IF($B53="",0,IFERROR(_xlfn.MINIFS(_MainTable!$F$2:$F$2001,_MainTable!$F$2:$F$2001,"&gt;"&amp;$B53,_MainTable!$G$2:$G$2001,"&gt;="&amp;Controls!$C$5,_MainTable!$G$2:$G$2001,"&lt;="&amp;Controls!$C$6),0))</f>
        <v>0</v>
      </c>
      <c r="F54" s="0" t="str">
        <f aca="false">IF('PO Tracker'!$A54="","",'PO Tracker'!$A54)</f>
        <v/>
      </c>
      <c r="G54" s="0" t="str">
        <f aca="false">IF($F54="","",IF(COUNTIF($F$5:$F54,$F54)=1,MAX($G$5:G53)+1,""))</f>
        <v/>
      </c>
      <c r="H54" s="0" t="str">
        <f aca="false">IFERROR(INDEX($F$5:$F$84,MATCH($A54,$G$5:$G$84,0)),"")</f>
        <v/>
      </c>
      <c r="I54" s="0" t="str">
        <f aca="false">IF($H54="","",COUNTIF($H$5:$H$84,"&lt;"&amp;$H54)+1)</f>
        <v/>
      </c>
      <c r="J54" s="0" t="str">
        <f aca="false">IFERROR(INDEX($H$5:$H$84,MATCH(SMALL($I$5:$I$84,$A54),$I$5:$I$84,0)),"")</f>
        <v/>
      </c>
    </row>
    <row r="55" customFormat="false" ht="15" hidden="false" customHeight="false" outlineLevel="0" collapsed="false">
      <c r="A55" s="0" t="n">
        <v>51</v>
      </c>
      <c r="B55" s="0" t="str">
        <f aca="false">IF(AND($C55=0,$D55=0),"",IF($C55=0,$D55,IF($D55=0,$C55,MIN($C55,$D55))))</f>
        <v/>
      </c>
      <c r="C55" s="0" t="n">
        <f aca="false">IF($B54="",0,IFERROR(_xlfn.MINIFS('SC Change Orders'!$B$2:$B$501,'SC Change Orders'!$B$2:$B$501,"&gt;"&amp;$B54,'SC Change Orders'!$C$2:$C$501,"&gt;="&amp;Controls!$C$5,'SC Change Orders'!$C$2:$C$501,"&lt;="&amp;Controls!$C$6),0))</f>
        <v>0</v>
      </c>
      <c r="D55" s="0" t="n">
        <f aca="false">IF($B54="",0,IFERROR(_xlfn.MINIFS(_MainTable!$F$2:$F$2001,_MainTable!$F$2:$F$2001,"&gt;"&amp;$B54,_MainTable!$G$2:$G$2001,"&gt;="&amp;Controls!$C$5,_MainTable!$G$2:$G$2001,"&lt;="&amp;Controls!$C$6),0))</f>
        <v>0</v>
      </c>
      <c r="F55" s="0" t="str">
        <f aca="false">IF('PO Tracker'!$A55="","",'PO Tracker'!$A55)</f>
        <v/>
      </c>
      <c r="G55" s="0" t="str">
        <f aca="false">IF($F55="","",IF(COUNTIF($F$5:$F55,$F55)=1,MAX($G$5:G54)+1,""))</f>
        <v/>
      </c>
      <c r="H55" s="0" t="str">
        <f aca="false">IFERROR(INDEX($F$5:$F$84,MATCH($A55,$G$5:$G$84,0)),"")</f>
        <v/>
      </c>
      <c r="I55" s="0" t="str">
        <f aca="false">IF($H55="","",COUNTIF($H$5:$H$84,"&lt;"&amp;$H55)+1)</f>
        <v/>
      </c>
      <c r="J55" s="0" t="str">
        <f aca="false">IFERROR(INDEX($H$5:$H$84,MATCH(SMALL($I$5:$I$84,$A55),$I$5:$I$84,0)),"")</f>
        <v/>
      </c>
    </row>
    <row r="56" customFormat="false" ht="15" hidden="false" customHeight="false" outlineLevel="0" collapsed="false">
      <c r="A56" s="0" t="n">
        <v>52</v>
      </c>
      <c r="B56" s="0" t="str">
        <f aca="false">IF(AND($C56=0,$D56=0),"",IF($C56=0,$D56,IF($D56=0,$C56,MIN($C56,$D56))))</f>
        <v/>
      </c>
      <c r="C56" s="0" t="n">
        <f aca="false">IF($B55="",0,IFERROR(_xlfn.MINIFS('SC Change Orders'!$B$2:$B$501,'SC Change Orders'!$B$2:$B$501,"&gt;"&amp;$B55,'SC Change Orders'!$C$2:$C$501,"&gt;="&amp;Controls!$C$5,'SC Change Orders'!$C$2:$C$501,"&lt;="&amp;Controls!$C$6),0))</f>
        <v>0</v>
      </c>
      <c r="D56" s="0" t="n">
        <f aca="false">IF($B55="",0,IFERROR(_xlfn.MINIFS(_MainTable!$F$2:$F$2001,_MainTable!$F$2:$F$2001,"&gt;"&amp;$B55,_MainTable!$G$2:$G$2001,"&gt;="&amp;Controls!$C$5,_MainTable!$G$2:$G$2001,"&lt;="&amp;Controls!$C$6),0))</f>
        <v>0</v>
      </c>
      <c r="F56" s="0" t="str">
        <f aca="false">IF('PO Tracker'!$A56="","",'PO Tracker'!$A56)</f>
        <v/>
      </c>
      <c r="G56" s="0" t="str">
        <f aca="false">IF($F56="","",IF(COUNTIF($F$5:$F56,$F56)=1,MAX($G$5:G55)+1,""))</f>
        <v/>
      </c>
      <c r="H56" s="0" t="str">
        <f aca="false">IFERROR(INDEX($F$5:$F$84,MATCH($A56,$G$5:$G$84,0)),"")</f>
        <v/>
      </c>
      <c r="I56" s="0" t="str">
        <f aca="false">IF($H56="","",COUNTIF($H$5:$H$84,"&lt;"&amp;$H56)+1)</f>
        <v/>
      </c>
      <c r="J56" s="0" t="str">
        <f aca="false">IFERROR(INDEX($H$5:$H$84,MATCH(SMALL($I$5:$I$84,$A56),$I$5:$I$84,0)),"")</f>
        <v/>
      </c>
    </row>
    <row r="57" customFormat="false" ht="15" hidden="false" customHeight="false" outlineLevel="0" collapsed="false">
      <c r="A57" s="0" t="n">
        <v>53</v>
      </c>
      <c r="B57" s="0" t="str">
        <f aca="false">IF(AND($C57=0,$D57=0),"",IF($C57=0,$D57,IF($D57=0,$C57,MIN($C57,$D57))))</f>
        <v/>
      </c>
      <c r="C57" s="0" t="n">
        <f aca="false">IF($B56="",0,IFERROR(_xlfn.MINIFS('SC Change Orders'!$B$2:$B$501,'SC Change Orders'!$B$2:$B$501,"&gt;"&amp;$B56,'SC Change Orders'!$C$2:$C$501,"&gt;="&amp;Controls!$C$5,'SC Change Orders'!$C$2:$C$501,"&lt;="&amp;Controls!$C$6),0))</f>
        <v>0</v>
      </c>
      <c r="D57" s="0" t="n">
        <f aca="false">IF($B56="",0,IFERROR(_xlfn.MINIFS(_MainTable!$F$2:$F$2001,_MainTable!$F$2:$F$2001,"&gt;"&amp;$B56,_MainTable!$G$2:$G$2001,"&gt;="&amp;Controls!$C$5,_MainTable!$G$2:$G$2001,"&lt;="&amp;Controls!$C$6),0))</f>
        <v>0</v>
      </c>
      <c r="F57" s="0" t="str">
        <f aca="false">IF('PO Tracker'!$A57="","",'PO Tracker'!$A57)</f>
        <v/>
      </c>
      <c r="G57" s="0" t="str">
        <f aca="false">IF($F57="","",IF(COUNTIF($F$5:$F57,$F57)=1,MAX($G$5:G56)+1,""))</f>
        <v/>
      </c>
      <c r="H57" s="0" t="str">
        <f aca="false">IFERROR(INDEX($F$5:$F$84,MATCH($A57,$G$5:$G$84,0)),"")</f>
        <v/>
      </c>
      <c r="I57" s="0" t="str">
        <f aca="false">IF($H57="","",COUNTIF($H$5:$H$84,"&lt;"&amp;$H57)+1)</f>
        <v/>
      </c>
      <c r="J57" s="0" t="str">
        <f aca="false">IFERROR(INDEX($H$5:$H$84,MATCH(SMALL($I$5:$I$84,$A57),$I$5:$I$84,0)),"")</f>
        <v/>
      </c>
    </row>
    <row r="58" customFormat="false" ht="15" hidden="false" customHeight="false" outlineLevel="0" collapsed="false">
      <c r="A58" s="0" t="n">
        <v>54</v>
      </c>
      <c r="B58" s="0" t="str">
        <f aca="false">IF(AND($C58=0,$D58=0),"",IF($C58=0,$D58,IF($D58=0,$C58,MIN($C58,$D58))))</f>
        <v/>
      </c>
      <c r="C58" s="0" t="n">
        <f aca="false">IF($B57="",0,IFERROR(_xlfn.MINIFS('SC Change Orders'!$B$2:$B$501,'SC Change Orders'!$B$2:$B$501,"&gt;"&amp;$B57,'SC Change Orders'!$C$2:$C$501,"&gt;="&amp;Controls!$C$5,'SC Change Orders'!$C$2:$C$501,"&lt;="&amp;Controls!$C$6),0))</f>
        <v>0</v>
      </c>
      <c r="D58" s="0" t="n">
        <f aca="false">IF($B57="",0,IFERROR(_xlfn.MINIFS(_MainTable!$F$2:$F$2001,_MainTable!$F$2:$F$2001,"&gt;"&amp;$B57,_MainTable!$G$2:$G$2001,"&gt;="&amp;Controls!$C$5,_MainTable!$G$2:$G$2001,"&lt;="&amp;Controls!$C$6),0))</f>
        <v>0</v>
      </c>
      <c r="F58" s="0" t="str">
        <f aca="false">IF('PO Tracker'!$A58="","",'PO Tracker'!$A58)</f>
        <v/>
      </c>
      <c r="G58" s="0" t="str">
        <f aca="false">IF($F58="","",IF(COUNTIF($F$5:$F58,$F58)=1,MAX($G$5:G57)+1,""))</f>
        <v/>
      </c>
      <c r="H58" s="0" t="str">
        <f aca="false">IFERROR(INDEX($F$5:$F$84,MATCH($A58,$G$5:$G$84,0)),"")</f>
        <v/>
      </c>
      <c r="I58" s="0" t="str">
        <f aca="false">IF($H58="","",COUNTIF($H$5:$H$84,"&lt;"&amp;$H58)+1)</f>
        <v/>
      </c>
      <c r="J58" s="0" t="str">
        <f aca="false">IFERROR(INDEX($H$5:$H$84,MATCH(SMALL($I$5:$I$84,$A58),$I$5:$I$84,0)),"")</f>
        <v/>
      </c>
    </row>
    <row r="59" customFormat="false" ht="15" hidden="false" customHeight="false" outlineLevel="0" collapsed="false">
      <c r="A59" s="0" t="n">
        <v>55</v>
      </c>
      <c r="B59" s="0" t="str">
        <f aca="false">IF(AND($C59=0,$D59=0),"",IF($C59=0,$D59,IF($D59=0,$C59,MIN($C59,$D59))))</f>
        <v/>
      </c>
      <c r="C59" s="0" t="n">
        <f aca="false">IF($B58="",0,IFERROR(_xlfn.MINIFS('SC Change Orders'!$B$2:$B$501,'SC Change Orders'!$B$2:$B$501,"&gt;"&amp;$B58,'SC Change Orders'!$C$2:$C$501,"&gt;="&amp;Controls!$C$5,'SC Change Orders'!$C$2:$C$501,"&lt;="&amp;Controls!$C$6),0))</f>
        <v>0</v>
      </c>
      <c r="D59" s="0" t="n">
        <f aca="false">IF($B58="",0,IFERROR(_xlfn.MINIFS(_MainTable!$F$2:$F$2001,_MainTable!$F$2:$F$2001,"&gt;"&amp;$B58,_MainTable!$G$2:$G$2001,"&gt;="&amp;Controls!$C$5,_MainTable!$G$2:$G$2001,"&lt;="&amp;Controls!$C$6),0))</f>
        <v>0</v>
      </c>
      <c r="F59" s="0" t="str">
        <f aca="false">IF('PO Tracker'!$A59="","",'PO Tracker'!$A59)</f>
        <v/>
      </c>
      <c r="G59" s="0" t="str">
        <f aca="false">IF($F59="","",IF(COUNTIF($F$5:$F59,$F59)=1,MAX($G$5:G58)+1,""))</f>
        <v/>
      </c>
      <c r="H59" s="0" t="str">
        <f aca="false">IFERROR(INDEX($F$5:$F$84,MATCH($A59,$G$5:$G$84,0)),"")</f>
        <v/>
      </c>
      <c r="I59" s="0" t="str">
        <f aca="false">IF($H59="","",COUNTIF($H$5:$H$84,"&lt;"&amp;$H59)+1)</f>
        <v/>
      </c>
      <c r="J59" s="0" t="str">
        <f aca="false">IFERROR(INDEX($H$5:$H$84,MATCH(SMALL($I$5:$I$84,$A59),$I$5:$I$84,0)),"")</f>
        <v/>
      </c>
    </row>
    <row r="60" customFormat="false" ht="15" hidden="false" customHeight="false" outlineLevel="0" collapsed="false">
      <c r="A60" s="0" t="n">
        <v>56</v>
      </c>
      <c r="B60" s="0" t="str">
        <f aca="false">IF(AND($C60=0,$D60=0),"",IF($C60=0,$D60,IF($D60=0,$C60,MIN($C60,$D60))))</f>
        <v/>
      </c>
      <c r="C60" s="0" t="n">
        <f aca="false">IF($B59="",0,IFERROR(_xlfn.MINIFS('SC Change Orders'!$B$2:$B$501,'SC Change Orders'!$B$2:$B$501,"&gt;"&amp;$B59,'SC Change Orders'!$C$2:$C$501,"&gt;="&amp;Controls!$C$5,'SC Change Orders'!$C$2:$C$501,"&lt;="&amp;Controls!$C$6),0))</f>
        <v>0</v>
      </c>
      <c r="D60" s="0" t="n">
        <f aca="false">IF($B59="",0,IFERROR(_xlfn.MINIFS(_MainTable!$F$2:$F$2001,_MainTable!$F$2:$F$2001,"&gt;"&amp;$B59,_MainTable!$G$2:$G$2001,"&gt;="&amp;Controls!$C$5,_MainTable!$G$2:$G$2001,"&lt;="&amp;Controls!$C$6),0))</f>
        <v>0</v>
      </c>
      <c r="F60" s="0" t="str">
        <f aca="false">IF('PO Tracker'!$A60="","",'PO Tracker'!$A60)</f>
        <v/>
      </c>
      <c r="G60" s="0" t="str">
        <f aca="false">IF($F60="","",IF(COUNTIF($F$5:$F60,$F60)=1,MAX($G$5:G59)+1,""))</f>
        <v/>
      </c>
      <c r="H60" s="0" t="str">
        <f aca="false">IFERROR(INDEX($F$5:$F$84,MATCH($A60,$G$5:$G$84,0)),"")</f>
        <v/>
      </c>
      <c r="I60" s="0" t="str">
        <f aca="false">IF($H60="","",COUNTIF($H$5:$H$84,"&lt;"&amp;$H60)+1)</f>
        <v/>
      </c>
      <c r="J60" s="0" t="str">
        <f aca="false">IFERROR(INDEX($H$5:$H$84,MATCH(SMALL($I$5:$I$84,$A60),$I$5:$I$84,0)),"")</f>
        <v/>
      </c>
    </row>
    <row r="61" customFormat="false" ht="15" hidden="false" customHeight="false" outlineLevel="0" collapsed="false">
      <c r="A61" s="0" t="n">
        <v>57</v>
      </c>
      <c r="B61" s="0" t="str">
        <f aca="false">IF(AND($C61=0,$D61=0),"",IF($C61=0,$D61,IF($D61=0,$C61,MIN($C61,$D61))))</f>
        <v/>
      </c>
      <c r="C61" s="0" t="n">
        <f aca="false">IF($B60="",0,IFERROR(_xlfn.MINIFS('SC Change Orders'!$B$2:$B$501,'SC Change Orders'!$B$2:$B$501,"&gt;"&amp;$B60,'SC Change Orders'!$C$2:$C$501,"&gt;="&amp;Controls!$C$5,'SC Change Orders'!$C$2:$C$501,"&lt;="&amp;Controls!$C$6),0))</f>
        <v>0</v>
      </c>
      <c r="D61" s="0" t="n">
        <f aca="false">IF($B60="",0,IFERROR(_xlfn.MINIFS(_MainTable!$F$2:$F$2001,_MainTable!$F$2:$F$2001,"&gt;"&amp;$B60,_MainTable!$G$2:$G$2001,"&gt;="&amp;Controls!$C$5,_MainTable!$G$2:$G$2001,"&lt;="&amp;Controls!$C$6),0))</f>
        <v>0</v>
      </c>
      <c r="F61" s="0" t="str">
        <f aca="false">IF('PO Tracker'!$A61="","",'PO Tracker'!$A61)</f>
        <v/>
      </c>
      <c r="G61" s="0" t="str">
        <f aca="false">IF($F61="","",IF(COUNTIF($F$5:$F61,$F61)=1,MAX($G$5:G60)+1,""))</f>
        <v/>
      </c>
      <c r="H61" s="0" t="str">
        <f aca="false">IFERROR(INDEX($F$5:$F$84,MATCH($A61,$G$5:$G$84,0)),"")</f>
        <v/>
      </c>
      <c r="I61" s="0" t="str">
        <f aca="false">IF($H61="","",COUNTIF($H$5:$H$84,"&lt;"&amp;$H61)+1)</f>
        <v/>
      </c>
      <c r="J61" s="0" t="str">
        <f aca="false">IFERROR(INDEX($H$5:$H$84,MATCH(SMALL($I$5:$I$84,$A61),$I$5:$I$84,0)),"")</f>
        <v/>
      </c>
    </row>
    <row r="62" customFormat="false" ht="15" hidden="false" customHeight="false" outlineLevel="0" collapsed="false">
      <c r="A62" s="0" t="n">
        <v>58</v>
      </c>
      <c r="B62" s="0" t="str">
        <f aca="false">IF(AND($C62=0,$D62=0),"",IF($C62=0,$D62,IF($D62=0,$C62,MIN($C62,$D62))))</f>
        <v/>
      </c>
      <c r="C62" s="0" t="n">
        <f aca="false">IF($B61="",0,IFERROR(_xlfn.MINIFS('SC Change Orders'!$B$2:$B$501,'SC Change Orders'!$B$2:$B$501,"&gt;"&amp;$B61,'SC Change Orders'!$C$2:$C$501,"&gt;="&amp;Controls!$C$5,'SC Change Orders'!$C$2:$C$501,"&lt;="&amp;Controls!$C$6),0))</f>
        <v>0</v>
      </c>
      <c r="D62" s="0" t="n">
        <f aca="false">IF($B61="",0,IFERROR(_xlfn.MINIFS(_MainTable!$F$2:$F$2001,_MainTable!$F$2:$F$2001,"&gt;"&amp;$B61,_MainTable!$G$2:$G$2001,"&gt;="&amp;Controls!$C$5,_MainTable!$G$2:$G$2001,"&lt;="&amp;Controls!$C$6),0))</f>
        <v>0</v>
      </c>
      <c r="F62" s="0" t="str">
        <f aca="false">IF('PO Tracker'!$A62="","",'PO Tracker'!$A62)</f>
        <v/>
      </c>
      <c r="G62" s="0" t="str">
        <f aca="false">IF($F62="","",IF(COUNTIF($F$5:$F62,$F62)=1,MAX($G$5:G61)+1,""))</f>
        <v/>
      </c>
      <c r="H62" s="0" t="str">
        <f aca="false">IFERROR(INDEX($F$5:$F$84,MATCH($A62,$G$5:$G$84,0)),"")</f>
        <v/>
      </c>
      <c r="I62" s="0" t="str">
        <f aca="false">IF($H62="","",COUNTIF($H$5:$H$84,"&lt;"&amp;$H62)+1)</f>
        <v/>
      </c>
      <c r="J62" s="0" t="str">
        <f aca="false">IFERROR(INDEX($H$5:$H$84,MATCH(SMALL($I$5:$I$84,$A62),$I$5:$I$84,0)),"")</f>
        <v/>
      </c>
    </row>
    <row r="63" customFormat="false" ht="15" hidden="false" customHeight="false" outlineLevel="0" collapsed="false">
      <c r="A63" s="0" t="n">
        <v>59</v>
      </c>
      <c r="B63" s="0" t="str">
        <f aca="false">IF(AND($C63=0,$D63=0),"",IF($C63=0,$D63,IF($D63=0,$C63,MIN($C63,$D63))))</f>
        <v/>
      </c>
      <c r="C63" s="0" t="n">
        <f aca="false">IF($B62="",0,IFERROR(_xlfn.MINIFS('SC Change Orders'!$B$2:$B$501,'SC Change Orders'!$B$2:$B$501,"&gt;"&amp;$B62,'SC Change Orders'!$C$2:$C$501,"&gt;="&amp;Controls!$C$5,'SC Change Orders'!$C$2:$C$501,"&lt;="&amp;Controls!$C$6),0))</f>
        <v>0</v>
      </c>
      <c r="D63" s="0" t="n">
        <f aca="false">IF($B62="",0,IFERROR(_xlfn.MINIFS(_MainTable!$F$2:$F$2001,_MainTable!$F$2:$F$2001,"&gt;"&amp;$B62,_MainTable!$G$2:$G$2001,"&gt;="&amp;Controls!$C$5,_MainTable!$G$2:$G$2001,"&lt;="&amp;Controls!$C$6),0))</f>
        <v>0</v>
      </c>
      <c r="F63" s="0" t="str">
        <f aca="false">IF('PO Tracker'!$A63="","",'PO Tracker'!$A63)</f>
        <v/>
      </c>
      <c r="G63" s="0" t="str">
        <f aca="false">IF($F63="","",IF(COUNTIF($F$5:$F63,$F63)=1,MAX($G$5:G62)+1,""))</f>
        <v/>
      </c>
      <c r="H63" s="0" t="str">
        <f aca="false">IFERROR(INDEX($F$5:$F$84,MATCH($A63,$G$5:$G$84,0)),"")</f>
        <v/>
      </c>
      <c r="I63" s="0" t="str">
        <f aca="false">IF($H63="","",COUNTIF($H$5:$H$84,"&lt;"&amp;$H63)+1)</f>
        <v/>
      </c>
      <c r="J63" s="0" t="str">
        <f aca="false">IFERROR(INDEX($H$5:$H$84,MATCH(SMALL($I$5:$I$84,$A63),$I$5:$I$84,0)),"")</f>
        <v/>
      </c>
    </row>
    <row r="64" customFormat="false" ht="15" hidden="false" customHeight="false" outlineLevel="0" collapsed="false">
      <c r="A64" s="0" t="n">
        <v>60</v>
      </c>
      <c r="B64" s="0" t="str">
        <f aca="false">IF(AND($C64=0,$D64=0),"",IF($C64=0,$D64,IF($D64=0,$C64,MIN($C64,$D64))))</f>
        <v/>
      </c>
      <c r="C64" s="0" t="n">
        <f aca="false">IF($B63="",0,IFERROR(_xlfn.MINIFS('SC Change Orders'!$B$2:$B$501,'SC Change Orders'!$B$2:$B$501,"&gt;"&amp;$B63,'SC Change Orders'!$C$2:$C$501,"&gt;="&amp;Controls!$C$5,'SC Change Orders'!$C$2:$C$501,"&lt;="&amp;Controls!$C$6),0))</f>
        <v>0</v>
      </c>
      <c r="D64" s="0" t="n">
        <f aca="false">IF($B63="",0,IFERROR(_xlfn.MINIFS(_MainTable!$F$2:$F$2001,_MainTable!$F$2:$F$2001,"&gt;"&amp;$B63,_MainTable!$G$2:$G$2001,"&gt;="&amp;Controls!$C$5,_MainTable!$G$2:$G$2001,"&lt;="&amp;Controls!$C$6),0))</f>
        <v>0</v>
      </c>
      <c r="F64" s="0" t="str">
        <f aca="false">IF('PO Tracker'!$A64="","",'PO Tracker'!$A64)</f>
        <v/>
      </c>
      <c r="G64" s="0" t="str">
        <f aca="false">IF($F64="","",IF(COUNTIF($F$5:$F64,$F64)=1,MAX($G$5:G63)+1,""))</f>
        <v/>
      </c>
      <c r="H64" s="0" t="str">
        <f aca="false">IFERROR(INDEX($F$5:$F$84,MATCH($A64,$G$5:$G$84,0)),"")</f>
        <v/>
      </c>
      <c r="I64" s="0" t="str">
        <f aca="false">IF($H64="","",COUNTIF($H$5:$H$84,"&lt;"&amp;$H64)+1)</f>
        <v/>
      </c>
      <c r="J64" s="0" t="str">
        <f aca="false">IFERROR(INDEX($H$5:$H$84,MATCH(SMALL($I$5:$I$84,$A64),$I$5:$I$84,0)),"")</f>
        <v/>
      </c>
    </row>
    <row r="65" customFormat="false" ht="15" hidden="false" customHeight="false" outlineLevel="0" collapsed="false">
      <c r="A65" s="0" t="n">
        <v>61</v>
      </c>
      <c r="B65" s="0" t="str">
        <f aca="false">IF(AND($C65=0,$D65=0),"",IF($C65=0,$D65,IF($D65=0,$C65,MIN($C65,$D65))))</f>
        <v/>
      </c>
      <c r="C65" s="0" t="n">
        <f aca="false">IF($B64="",0,IFERROR(_xlfn.MINIFS('SC Change Orders'!$B$2:$B$501,'SC Change Orders'!$B$2:$B$501,"&gt;"&amp;$B64,'SC Change Orders'!$C$2:$C$501,"&gt;="&amp;Controls!$C$5,'SC Change Orders'!$C$2:$C$501,"&lt;="&amp;Controls!$C$6),0))</f>
        <v>0</v>
      </c>
      <c r="D65" s="0" t="n">
        <f aca="false">IF($B64="",0,IFERROR(_xlfn.MINIFS(_MainTable!$F$2:$F$2001,_MainTable!$F$2:$F$2001,"&gt;"&amp;$B64,_MainTable!$G$2:$G$2001,"&gt;="&amp;Controls!$C$5,_MainTable!$G$2:$G$2001,"&lt;="&amp;Controls!$C$6),0))</f>
        <v>0</v>
      </c>
      <c r="F65" s="0" t="str">
        <f aca="false">IF('PO Tracker'!$A65="","",'PO Tracker'!$A65)</f>
        <v/>
      </c>
      <c r="G65" s="0" t="str">
        <f aca="false">IF($F65="","",IF(COUNTIF($F$5:$F65,$F65)=1,MAX($G$5:G64)+1,""))</f>
        <v/>
      </c>
      <c r="H65" s="0" t="str">
        <f aca="false">IFERROR(INDEX($F$5:$F$84,MATCH($A65,$G$5:$G$84,0)),"")</f>
        <v/>
      </c>
      <c r="I65" s="0" t="str">
        <f aca="false">IF($H65="","",COUNTIF($H$5:$H$84,"&lt;"&amp;$H65)+1)</f>
        <v/>
      </c>
      <c r="J65" s="0" t="str">
        <f aca="false">IFERROR(INDEX($H$5:$H$84,MATCH(SMALL($I$5:$I$84,$A65),$I$5:$I$84,0)),"")</f>
        <v/>
      </c>
    </row>
    <row r="66" customFormat="false" ht="15" hidden="false" customHeight="false" outlineLevel="0" collapsed="false">
      <c r="A66" s="0" t="n">
        <v>62</v>
      </c>
      <c r="B66" s="0" t="str">
        <f aca="false">IF(AND($C66=0,$D66=0),"",IF($C66=0,$D66,IF($D66=0,$C66,MIN($C66,$D66))))</f>
        <v/>
      </c>
      <c r="C66" s="0" t="n">
        <f aca="false">IF($B65="",0,IFERROR(_xlfn.MINIFS('SC Change Orders'!$B$2:$B$501,'SC Change Orders'!$B$2:$B$501,"&gt;"&amp;$B65,'SC Change Orders'!$C$2:$C$501,"&gt;="&amp;Controls!$C$5,'SC Change Orders'!$C$2:$C$501,"&lt;="&amp;Controls!$C$6),0))</f>
        <v>0</v>
      </c>
      <c r="D66" s="0" t="n">
        <f aca="false">IF($B65="",0,IFERROR(_xlfn.MINIFS(_MainTable!$F$2:$F$2001,_MainTable!$F$2:$F$2001,"&gt;"&amp;$B65,_MainTable!$G$2:$G$2001,"&gt;="&amp;Controls!$C$5,_MainTable!$G$2:$G$2001,"&lt;="&amp;Controls!$C$6),0))</f>
        <v>0</v>
      </c>
      <c r="F66" s="0" t="str">
        <f aca="false">IF('PO Tracker'!$A66="","",'PO Tracker'!$A66)</f>
        <v/>
      </c>
      <c r="G66" s="0" t="str">
        <f aca="false">IF($F66="","",IF(COUNTIF($F$5:$F66,$F66)=1,MAX($G$5:G65)+1,""))</f>
        <v/>
      </c>
      <c r="H66" s="0" t="str">
        <f aca="false">IFERROR(INDEX($F$5:$F$84,MATCH($A66,$G$5:$G$84,0)),"")</f>
        <v/>
      </c>
      <c r="I66" s="0" t="str">
        <f aca="false">IF($H66="","",COUNTIF($H$5:$H$84,"&lt;"&amp;$H66)+1)</f>
        <v/>
      </c>
      <c r="J66" s="0" t="str">
        <f aca="false">IFERROR(INDEX($H$5:$H$84,MATCH(SMALL($I$5:$I$84,$A66),$I$5:$I$84,0)),"")</f>
        <v/>
      </c>
    </row>
    <row r="67" customFormat="false" ht="15" hidden="false" customHeight="false" outlineLevel="0" collapsed="false">
      <c r="A67" s="0" t="n">
        <v>63</v>
      </c>
      <c r="B67" s="0" t="str">
        <f aca="false">IF(AND($C67=0,$D67=0),"",IF($C67=0,$D67,IF($D67=0,$C67,MIN($C67,$D67))))</f>
        <v/>
      </c>
      <c r="C67" s="0" t="n">
        <f aca="false">IF($B66="",0,IFERROR(_xlfn.MINIFS('SC Change Orders'!$B$2:$B$501,'SC Change Orders'!$B$2:$B$501,"&gt;"&amp;$B66,'SC Change Orders'!$C$2:$C$501,"&gt;="&amp;Controls!$C$5,'SC Change Orders'!$C$2:$C$501,"&lt;="&amp;Controls!$C$6),0))</f>
        <v>0</v>
      </c>
      <c r="D67" s="0" t="n">
        <f aca="false">IF($B66="",0,IFERROR(_xlfn.MINIFS(_MainTable!$F$2:$F$2001,_MainTable!$F$2:$F$2001,"&gt;"&amp;$B66,_MainTable!$G$2:$G$2001,"&gt;="&amp;Controls!$C$5,_MainTable!$G$2:$G$2001,"&lt;="&amp;Controls!$C$6),0))</f>
        <v>0</v>
      </c>
      <c r="F67" s="0" t="str">
        <f aca="false">IF('PO Tracker'!$A67="","",'PO Tracker'!$A67)</f>
        <v/>
      </c>
      <c r="G67" s="0" t="str">
        <f aca="false">IF($F67="","",IF(COUNTIF($F$5:$F67,$F67)=1,MAX($G$5:G66)+1,""))</f>
        <v/>
      </c>
      <c r="H67" s="0" t="str">
        <f aca="false">IFERROR(INDEX($F$5:$F$84,MATCH($A67,$G$5:$G$84,0)),"")</f>
        <v/>
      </c>
      <c r="I67" s="0" t="str">
        <f aca="false">IF($H67="","",COUNTIF($H$5:$H$84,"&lt;"&amp;$H67)+1)</f>
        <v/>
      </c>
      <c r="J67" s="0" t="str">
        <f aca="false">IFERROR(INDEX($H$5:$H$84,MATCH(SMALL($I$5:$I$84,$A67),$I$5:$I$84,0)),"")</f>
        <v/>
      </c>
    </row>
    <row r="68" customFormat="false" ht="15" hidden="false" customHeight="false" outlineLevel="0" collapsed="false">
      <c r="A68" s="0" t="n">
        <v>64</v>
      </c>
      <c r="B68" s="0" t="str">
        <f aca="false">IF(AND($C68=0,$D68=0),"",IF($C68=0,$D68,IF($D68=0,$C68,MIN($C68,$D68))))</f>
        <v/>
      </c>
      <c r="C68" s="0" t="n">
        <f aca="false">IF($B67="",0,IFERROR(_xlfn.MINIFS('SC Change Orders'!$B$2:$B$501,'SC Change Orders'!$B$2:$B$501,"&gt;"&amp;$B67,'SC Change Orders'!$C$2:$C$501,"&gt;="&amp;Controls!$C$5,'SC Change Orders'!$C$2:$C$501,"&lt;="&amp;Controls!$C$6),0))</f>
        <v>0</v>
      </c>
      <c r="D68" s="0" t="n">
        <f aca="false">IF($B67="",0,IFERROR(_xlfn.MINIFS(_MainTable!$F$2:$F$2001,_MainTable!$F$2:$F$2001,"&gt;"&amp;$B67,_MainTable!$G$2:$G$2001,"&gt;="&amp;Controls!$C$5,_MainTable!$G$2:$G$2001,"&lt;="&amp;Controls!$C$6),0))</f>
        <v>0</v>
      </c>
      <c r="F68" s="0" t="str">
        <f aca="false">IF('PO Tracker'!$A68="","",'PO Tracker'!$A68)</f>
        <v/>
      </c>
      <c r="G68" s="0" t="str">
        <f aca="false">IF($F68="","",IF(COUNTIF($F$5:$F68,$F68)=1,MAX($G$5:G67)+1,""))</f>
        <v/>
      </c>
      <c r="H68" s="0" t="str">
        <f aca="false">IFERROR(INDEX($F$5:$F$84,MATCH($A68,$G$5:$G$84,0)),"")</f>
        <v/>
      </c>
      <c r="I68" s="0" t="str">
        <f aca="false">IF($H68="","",COUNTIF($H$5:$H$84,"&lt;"&amp;$H68)+1)</f>
        <v/>
      </c>
      <c r="J68" s="0" t="str">
        <f aca="false">IFERROR(INDEX($H$5:$H$84,MATCH(SMALL($I$5:$I$84,$A68),$I$5:$I$84,0)),"")</f>
        <v/>
      </c>
    </row>
    <row r="69" customFormat="false" ht="15" hidden="false" customHeight="false" outlineLevel="0" collapsed="false">
      <c r="A69" s="0" t="n">
        <v>65</v>
      </c>
      <c r="B69" s="0" t="str">
        <f aca="false">IF(AND($C69=0,$D69=0),"",IF($C69=0,$D69,IF($D69=0,$C69,MIN($C69,$D69))))</f>
        <v/>
      </c>
      <c r="C69" s="0" t="n">
        <f aca="false">IF($B68="",0,IFERROR(_xlfn.MINIFS('SC Change Orders'!$B$2:$B$501,'SC Change Orders'!$B$2:$B$501,"&gt;"&amp;$B68,'SC Change Orders'!$C$2:$C$501,"&gt;="&amp;Controls!$C$5,'SC Change Orders'!$C$2:$C$501,"&lt;="&amp;Controls!$C$6),0))</f>
        <v>0</v>
      </c>
      <c r="D69" s="0" t="n">
        <f aca="false">IF($B68="",0,IFERROR(_xlfn.MINIFS(_MainTable!$F$2:$F$2001,_MainTable!$F$2:$F$2001,"&gt;"&amp;$B68,_MainTable!$G$2:$G$2001,"&gt;="&amp;Controls!$C$5,_MainTable!$G$2:$G$2001,"&lt;="&amp;Controls!$C$6),0))</f>
        <v>0</v>
      </c>
      <c r="F69" s="0" t="str">
        <f aca="false">IF('PO Tracker'!$A69="","",'PO Tracker'!$A69)</f>
        <v/>
      </c>
      <c r="G69" s="0" t="str">
        <f aca="false">IF($F69="","",IF(COUNTIF($F$5:$F69,$F69)=1,MAX($G$5:G68)+1,""))</f>
        <v/>
      </c>
      <c r="H69" s="0" t="str">
        <f aca="false">IFERROR(INDEX($F$5:$F$84,MATCH($A69,$G$5:$G$84,0)),"")</f>
        <v/>
      </c>
      <c r="I69" s="0" t="str">
        <f aca="false">IF($H69="","",COUNTIF($H$5:$H$84,"&lt;"&amp;$H69)+1)</f>
        <v/>
      </c>
      <c r="J69" s="0" t="str">
        <f aca="false">IFERROR(INDEX($H$5:$H$84,MATCH(SMALL($I$5:$I$84,$A69),$I$5:$I$84,0)),"")</f>
        <v/>
      </c>
    </row>
    <row r="70" customFormat="false" ht="15" hidden="false" customHeight="false" outlineLevel="0" collapsed="false">
      <c r="A70" s="0" t="n">
        <v>66</v>
      </c>
      <c r="B70" s="0" t="str">
        <f aca="false">IF(AND($C70=0,$D70=0),"",IF($C70=0,$D70,IF($D70=0,$C70,MIN($C70,$D70))))</f>
        <v/>
      </c>
      <c r="C70" s="0" t="n">
        <f aca="false">IF($B69="",0,IFERROR(_xlfn.MINIFS('SC Change Orders'!$B$2:$B$501,'SC Change Orders'!$B$2:$B$501,"&gt;"&amp;$B69,'SC Change Orders'!$C$2:$C$501,"&gt;="&amp;Controls!$C$5,'SC Change Orders'!$C$2:$C$501,"&lt;="&amp;Controls!$C$6),0))</f>
        <v>0</v>
      </c>
      <c r="D70" s="0" t="n">
        <f aca="false">IF($B69="",0,IFERROR(_xlfn.MINIFS(_MainTable!$F$2:$F$2001,_MainTable!$F$2:$F$2001,"&gt;"&amp;$B69,_MainTable!$G$2:$G$2001,"&gt;="&amp;Controls!$C$5,_MainTable!$G$2:$G$2001,"&lt;="&amp;Controls!$C$6),0))</f>
        <v>0</v>
      </c>
      <c r="F70" s="0" t="str">
        <f aca="false">IF('PO Tracker'!$A70="","",'PO Tracker'!$A70)</f>
        <v/>
      </c>
      <c r="G70" s="0" t="str">
        <f aca="false">IF($F70="","",IF(COUNTIF($F$5:$F70,$F70)=1,MAX($G$5:G69)+1,""))</f>
        <v/>
      </c>
      <c r="H70" s="0" t="str">
        <f aca="false">IFERROR(INDEX($F$5:$F$84,MATCH($A70,$G$5:$G$84,0)),"")</f>
        <v/>
      </c>
      <c r="I70" s="0" t="str">
        <f aca="false">IF($H70="","",COUNTIF($H$5:$H$84,"&lt;"&amp;$H70)+1)</f>
        <v/>
      </c>
      <c r="J70" s="0" t="str">
        <f aca="false">IFERROR(INDEX($H$5:$H$84,MATCH(SMALL($I$5:$I$84,$A70),$I$5:$I$84,0)),"")</f>
        <v/>
      </c>
    </row>
    <row r="71" customFormat="false" ht="15" hidden="false" customHeight="false" outlineLevel="0" collapsed="false">
      <c r="A71" s="0" t="n">
        <v>67</v>
      </c>
      <c r="B71" s="0" t="str">
        <f aca="false">IF(AND($C71=0,$D71=0),"",IF($C71=0,$D71,IF($D71=0,$C71,MIN($C71,$D71))))</f>
        <v/>
      </c>
      <c r="C71" s="0" t="n">
        <f aca="false">IF($B70="",0,IFERROR(_xlfn.MINIFS('SC Change Orders'!$B$2:$B$501,'SC Change Orders'!$B$2:$B$501,"&gt;"&amp;$B70,'SC Change Orders'!$C$2:$C$501,"&gt;="&amp;Controls!$C$5,'SC Change Orders'!$C$2:$C$501,"&lt;="&amp;Controls!$C$6),0))</f>
        <v>0</v>
      </c>
      <c r="D71" s="0" t="n">
        <f aca="false">IF($B70="",0,IFERROR(_xlfn.MINIFS(_MainTable!$F$2:$F$2001,_MainTable!$F$2:$F$2001,"&gt;"&amp;$B70,_MainTable!$G$2:$G$2001,"&gt;="&amp;Controls!$C$5,_MainTable!$G$2:$G$2001,"&lt;="&amp;Controls!$C$6),0))</f>
        <v>0</v>
      </c>
      <c r="F71" s="0" t="str">
        <f aca="false">IF('PO Tracker'!$A71="","",'PO Tracker'!$A71)</f>
        <v/>
      </c>
      <c r="G71" s="0" t="str">
        <f aca="false">IF($F71="","",IF(COUNTIF($F$5:$F71,$F71)=1,MAX($G$5:G70)+1,""))</f>
        <v/>
      </c>
      <c r="H71" s="0" t="str">
        <f aca="false">IFERROR(INDEX($F$5:$F$84,MATCH($A71,$G$5:$G$84,0)),"")</f>
        <v/>
      </c>
      <c r="I71" s="0" t="str">
        <f aca="false">IF($H71="","",COUNTIF($H$5:$H$84,"&lt;"&amp;$H71)+1)</f>
        <v/>
      </c>
      <c r="J71" s="0" t="str">
        <f aca="false">IFERROR(INDEX($H$5:$H$84,MATCH(SMALL($I$5:$I$84,$A71),$I$5:$I$84,0)),"")</f>
        <v/>
      </c>
    </row>
    <row r="72" customFormat="false" ht="15" hidden="false" customHeight="false" outlineLevel="0" collapsed="false">
      <c r="A72" s="0" t="n">
        <v>68</v>
      </c>
      <c r="B72" s="0" t="str">
        <f aca="false">IF(AND($C72=0,$D72=0),"",IF($C72=0,$D72,IF($D72=0,$C72,MIN($C72,$D72))))</f>
        <v/>
      </c>
      <c r="C72" s="0" t="n">
        <f aca="false">IF($B71="",0,IFERROR(_xlfn.MINIFS('SC Change Orders'!$B$2:$B$501,'SC Change Orders'!$B$2:$B$501,"&gt;"&amp;$B71,'SC Change Orders'!$C$2:$C$501,"&gt;="&amp;Controls!$C$5,'SC Change Orders'!$C$2:$C$501,"&lt;="&amp;Controls!$C$6),0))</f>
        <v>0</v>
      </c>
      <c r="D72" s="0" t="n">
        <f aca="false">IF($B71="",0,IFERROR(_xlfn.MINIFS(_MainTable!$F$2:$F$2001,_MainTable!$F$2:$F$2001,"&gt;"&amp;$B71,_MainTable!$G$2:$G$2001,"&gt;="&amp;Controls!$C$5,_MainTable!$G$2:$G$2001,"&lt;="&amp;Controls!$C$6),0))</f>
        <v>0</v>
      </c>
      <c r="F72" s="0" t="str">
        <f aca="false">IF('PO Tracker'!$A72="","",'PO Tracker'!$A72)</f>
        <v/>
      </c>
      <c r="G72" s="0" t="str">
        <f aca="false">IF($F72="","",IF(COUNTIF($F$5:$F72,$F72)=1,MAX($G$5:G71)+1,""))</f>
        <v/>
      </c>
      <c r="H72" s="0" t="str">
        <f aca="false">IFERROR(INDEX($F$5:$F$84,MATCH($A72,$G$5:$G$84,0)),"")</f>
        <v/>
      </c>
      <c r="I72" s="0" t="str">
        <f aca="false">IF($H72="","",COUNTIF($H$5:$H$84,"&lt;"&amp;$H72)+1)</f>
        <v/>
      </c>
      <c r="J72" s="0" t="str">
        <f aca="false">IFERROR(INDEX($H$5:$H$84,MATCH(SMALL($I$5:$I$84,$A72),$I$5:$I$84,0)),"")</f>
        <v/>
      </c>
    </row>
    <row r="73" customFormat="false" ht="15" hidden="false" customHeight="false" outlineLevel="0" collapsed="false">
      <c r="A73" s="0" t="n">
        <v>69</v>
      </c>
      <c r="B73" s="0" t="str">
        <f aca="false">IF(AND($C73=0,$D73=0),"",IF($C73=0,$D73,IF($D73=0,$C73,MIN($C73,$D73))))</f>
        <v/>
      </c>
      <c r="C73" s="0" t="n">
        <f aca="false">IF($B72="",0,IFERROR(_xlfn.MINIFS('SC Change Orders'!$B$2:$B$501,'SC Change Orders'!$B$2:$B$501,"&gt;"&amp;$B72,'SC Change Orders'!$C$2:$C$501,"&gt;="&amp;Controls!$C$5,'SC Change Orders'!$C$2:$C$501,"&lt;="&amp;Controls!$C$6),0))</f>
        <v>0</v>
      </c>
      <c r="D73" s="0" t="n">
        <f aca="false">IF($B72="",0,IFERROR(_xlfn.MINIFS(_MainTable!$F$2:$F$2001,_MainTable!$F$2:$F$2001,"&gt;"&amp;$B72,_MainTable!$G$2:$G$2001,"&gt;="&amp;Controls!$C$5,_MainTable!$G$2:$G$2001,"&lt;="&amp;Controls!$C$6),0))</f>
        <v>0</v>
      </c>
      <c r="F73" s="0" t="str">
        <f aca="false">IF('PO Tracker'!$A73="","",'PO Tracker'!$A73)</f>
        <v/>
      </c>
      <c r="G73" s="0" t="str">
        <f aca="false">IF($F73="","",IF(COUNTIF($F$5:$F73,$F73)=1,MAX($G$5:G72)+1,""))</f>
        <v/>
      </c>
      <c r="H73" s="0" t="str">
        <f aca="false">IFERROR(INDEX($F$5:$F$84,MATCH($A73,$G$5:$G$84,0)),"")</f>
        <v/>
      </c>
      <c r="I73" s="0" t="str">
        <f aca="false">IF($H73="","",COUNTIF($H$5:$H$84,"&lt;"&amp;$H73)+1)</f>
        <v/>
      </c>
      <c r="J73" s="0" t="str">
        <f aca="false">IFERROR(INDEX($H$5:$H$84,MATCH(SMALL($I$5:$I$84,$A73),$I$5:$I$84,0)),"")</f>
        <v/>
      </c>
    </row>
    <row r="74" customFormat="false" ht="15" hidden="false" customHeight="false" outlineLevel="0" collapsed="false">
      <c r="A74" s="0" t="n">
        <v>70</v>
      </c>
      <c r="B74" s="0" t="str">
        <f aca="false">IF(AND($C74=0,$D74=0),"",IF($C74=0,$D74,IF($D74=0,$C74,MIN($C74,$D74))))</f>
        <v/>
      </c>
      <c r="C74" s="0" t="n">
        <f aca="false">IF($B73="",0,IFERROR(_xlfn.MINIFS('SC Change Orders'!$B$2:$B$501,'SC Change Orders'!$B$2:$B$501,"&gt;"&amp;$B73,'SC Change Orders'!$C$2:$C$501,"&gt;="&amp;Controls!$C$5,'SC Change Orders'!$C$2:$C$501,"&lt;="&amp;Controls!$C$6),0))</f>
        <v>0</v>
      </c>
      <c r="D74" s="0" t="n">
        <f aca="false">IF($B73="",0,IFERROR(_xlfn.MINIFS(_MainTable!$F$2:$F$2001,_MainTable!$F$2:$F$2001,"&gt;"&amp;$B73,_MainTable!$G$2:$G$2001,"&gt;="&amp;Controls!$C$5,_MainTable!$G$2:$G$2001,"&lt;="&amp;Controls!$C$6),0))</f>
        <v>0</v>
      </c>
      <c r="F74" s="0" t="str">
        <f aca="false">IF('PO Tracker'!$A74="","",'PO Tracker'!$A74)</f>
        <v/>
      </c>
      <c r="G74" s="0" t="str">
        <f aca="false">IF($F74="","",IF(COUNTIF($F$5:$F74,$F74)=1,MAX($G$5:G73)+1,""))</f>
        <v/>
      </c>
      <c r="H74" s="0" t="str">
        <f aca="false">IFERROR(INDEX($F$5:$F$84,MATCH($A74,$G$5:$G$84,0)),"")</f>
        <v/>
      </c>
      <c r="I74" s="0" t="str">
        <f aca="false">IF($H74="","",COUNTIF($H$5:$H$84,"&lt;"&amp;$H74)+1)</f>
        <v/>
      </c>
      <c r="J74" s="0" t="str">
        <f aca="false">IFERROR(INDEX($H$5:$H$84,MATCH(SMALL($I$5:$I$84,$A74),$I$5:$I$84,0)),"")</f>
        <v/>
      </c>
    </row>
    <row r="75" customFormat="false" ht="15" hidden="false" customHeight="false" outlineLevel="0" collapsed="false">
      <c r="A75" s="0" t="n">
        <v>71</v>
      </c>
      <c r="B75" s="0" t="str">
        <f aca="false">IF(AND($C75=0,$D75=0),"",IF($C75=0,$D75,IF($D75=0,$C75,MIN($C75,$D75))))</f>
        <v/>
      </c>
      <c r="C75" s="0" t="n">
        <f aca="false">IF($B74="",0,IFERROR(_xlfn.MINIFS('SC Change Orders'!$B$2:$B$501,'SC Change Orders'!$B$2:$B$501,"&gt;"&amp;$B74,'SC Change Orders'!$C$2:$C$501,"&gt;="&amp;Controls!$C$5,'SC Change Orders'!$C$2:$C$501,"&lt;="&amp;Controls!$C$6),0))</f>
        <v>0</v>
      </c>
      <c r="D75" s="0" t="n">
        <f aca="false">IF($B74="",0,IFERROR(_xlfn.MINIFS(_MainTable!$F$2:$F$2001,_MainTable!$F$2:$F$2001,"&gt;"&amp;$B74,_MainTable!$G$2:$G$2001,"&gt;="&amp;Controls!$C$5,_MainTable!$G$2:$G$2001,"&lt;="&amp;Controls!$C$6),0))</f>
        <v>0</v>
      </c>
      <c r="F75" s="0" t="str">
        <f aca="false">IF('PO Tracker'!$A75="","",'PO Tracker'!$A75)</f>
        <v/>
      </c>
      <c r="G75" s="0" t="str">
        <f aca="false">IF($F75="","",IF(COUNTIF($F$5:$F75,$F75)=1,MAX($G$5:G74)+1,""))</f>
        <v/>
      </c>
      <c r="H75" s="0" t="str">
        <f aca="false">IFERROR(INDEX($F$5:$F$84,MATCH($A75,$G$5:$G$84,0)),"")</f>
        <v/>
      </c>
      <c r="I75" s="0" t="str">
        <f aca="false">IF($H75="","",COUNTIF($H$5:$H$84,"&lt;"&amp;$H75)+1)</f>
        <v/>
      </c>
      <c r="J75" s="0" t="str">
        <f aca="false">IFERROR(INDEX($H$5:$H$84,MATCH(SMALL($I$5:$I$84,$A75),$I$5:$I$84,0)),"")</f>
        <v/>
      </c>
    </row>
    <row r="76" customFormat="false" ht="15" hidden="false" customHeight="false" outlineLevel="0" collapsed="false">
      <c r="A76" s="0" t="n">
        <v>72</v>
      </c>
      <c r="B76" s="0" t="str">
        <f aca="false">IF(AND($C76=0,$D76=0),"",IF($C76=0,$D76,IF($D76=0,$C76,MIN($C76,$D76))))</f>
        <v/>
      </c>
      <c r="C76" s="0" t="n">
        <f aca="false">IF($B75="",0,IFERROR(_xlfn.MINIFS('SC Change Orders'!$B$2:$B$501,'SC Change Orders'!$B$2:$B$501,"&gt;"&amp;$B75,'SC Change Orders'!$C$2:$C$501,"&gt;="&amp;Controls!$C$5,'SC Change Orders'!$C$2:$C$501,"&lt;="&amp;Controls!$C$6),0))</f>
        <v>0</v>
      </c>
      <c r="D76" s="0" t="n">
        <f aca="false">IF($B75="",0,IFERROR(_xlfn.MINIFS(_MainTable!$F$2:$F$2001,_MainTable!$F$2:$F$2001,"&gt;"&amp;$B75,_MainTable!$G$2:$G$2001,"&gt;="&amp;Controls!$C$5,_MainTable!$G$2:$G$2001,"&lt;="&amp;Controls!$C$6),0))</f>
        <v>0</v>
      </c>
      <c r="F76" s="0" t="str">
        <f aca="false">IF('PO Tracker'!$A76="","",'PO Tracker'!$A76)</f>
        <v/>
      </c>
      <c r="G76" s="0" t="str">
        <f aca="false">IF($F76="","",IF(COUNTIF($F$5:$F76,$F76)=1,MAX($G$5:G75)+1,""))</f>
        <v/>
      </c>
      <c r="H76" s="0" t="str">
        <f aca="false">IFERROR(INDEX($F$5:$F$84,MATCH($A76,$G$5:$G$84,0)),"")</f>
        <v/>
      </c>
      <c r="I76" s="0" t="str">
        <f aca="false">IF($H76="","",COUNTIF($H$5:$H$84,"&lt;"&amp;$H76)+1)</f>
        <v/>
      </c>
      <c r="J76" s="0" t="str">
        <f aca="false">IFERROR(INDEX($H$5:$H$84,MATCH(SMALL($I$5:$I$84,$A76),$I$5:$I$84,0)),"")</f>
        <v/>
      </c>
    </row>
    <row r="77" customFormat="false" ht="15" hidden="false" customHeight="false" outlineLevel="0" collapsed="false">
      <c r="A77" s="0" t="n">
        <v>73</v>
      </c>
      <c r="B77" s="0" t="str">
        <f aca="false">IF(AND($C77=0,$D77=0),"",IF($C77=0,$D77,IF($D77=0,$C77,MIN($C77,$D77))))</f>
        <v/>
      </c>
      <c r="C77" s="0" t="n">
        <f aca="false">IF($B76="",0,IFERROR(_xlfn.MINIFS('SC Change Orders'!$B$2:$B$501,'SC Change Orders'!$B$2:$B$501,"&gt;"&amp;$B76,'SC Change Orders'!$C$2:$C$501,"&gt;="&amp;Controls!$C$5,'SC Change Orders'!$C$2:$C$501,"&lt;="&amp;Controls!$C$6),0))</f>
        <v>0</v>
      </c>
      <c r="D77" s="0" t="n">
        <f aca="false">IF($B76="",0,IFERROR(_xlfn.MINIFS(_MainTable!$F$2:$F$2001,_MainTable!$F$2:$F$2001,"&gt;"&amp;$B76,_MainTable!$G$2:$G$2001,"&gt;="&amp;Controls!$C$5,_MainTable!$G$2:$G$2001,"&lt;="&amp;Controls!$C$6),0))</f>
        <v>0</v>
      </c>
      <c r="F77" s="0" t="str">
        <f aca="false">IF('PO Tracker'!$A77="","",'PO Tracker'!$A77)</f>
        <v/>
      </c>
      <c r="G77" s="0" t="str">
        <f aca="false">IF($F77="","",IF(COUNTIF($F$5:$F77,$F77)=1,MAX($G$5:G76)+1,""))</f>
        <v/>
      </c>
      <c r="H77" s="0" t="str">
        <f aca="false">IFERROR(INDEX($F$5:$F$84,MATCH($A77,$G$5:$G$84,0)),"")</f>
        <v/>
      </c>
      <c r="I77" s="0" t="str">
        <f aca="false">IF($H77="","",COUNTIF($H$5:$H$84,"&lt;"&amp;$H77)+1)</f>
        <v/>
      </c>
      <c r="J77" s="0" t="str">
        <f aca="false">IFERROR(INDEX($H$5:$H$84,MATCH(SMALL($I$5:$I$84,$A77),$I$5:$I$84,0)),"")</f>
        <v/>
      </c>
    </row>
    <row r="78" customFormat="false" ht="15" hidden="false" customHeight="false" outlineLevel="0" collapsed="false">
      <c r="A78" s="0" t="n">
        <v>74</v>
      </c>
      <c r="B78" s="0" t="str">
        <f aca="false">IF(AND($C78=0,$D78=0),"",IF($C78=0,$D78,IF($D78=0,$C78,MIN($C78,$D78))))</f>
        <v/>
      </c>
      <c r="C78" s="0" t="n">
        <f aca="false">IF($B77="",0,IFERROR(_xlfn.MINIFS('SC Change Orders'!$B$2:$B$501,'SC Change Orders'!$B$2:$B$501,"&gt;"&amp;$B77,'SC Change Orders'!$C$2:$C$501,"&gt;="&amp;Controls!$C$5,'SC Change Orders'!$C$2:$C$501,"&lt;="&amp;Controls!$C$6),0))</f>
        <v>0</v>
      </c>
      <c r="D78" s="0" t="n">
        <f aca="false">IF($B77="",0,IFERROR(_xlfn.MINIFS(_MainTable!$F$2:$F$2001,_MainTable!$F$2:$F$2001,"&gt;"&amp;$B77,_MainTable!$G$2:$G$2001,"&gt;="&amp;Controls!$C$5,_MainTable!$G$2:$G$2001,"&lt;="&amp;Controls!$C$6),0))</f>
        <v>0</v>
      </c>
      <c r="F78" s="0" t="str">
        <f aca="false">IF('PO Tracker'!$A78="","",'PO Tracker'!$A78)</f>
        <v/>
      </c>
      <c r="G78" s="0" t="str">
        <f aca="false">IF($F78="","",IF(COUNTIF($F$5:$F78,$F78)=1,MAX($G$5:G77)+1,""))</f>
        <v/>
      </c>
      <c r="H78" s="0" t="str">
        <f aca="false">IFERROR(INDEX($F$5:$F$84,MATCH($A78,$G$5:$G$84,0)),"")</f>
        <v/>
      </c>
      <c r="I78" s="0" t="str">
        <f aca="false">IF($H78="","",COUNTIF($H$5:$H$84,"&lt;"&amp;$H78)+1)</f>
        <v/>
      </c>
      <c r="J78" s="0" t="str">
        <f aca="false">IFERROR(INDEX($H$5:$H$84,MATCH(SMALL($I$5:$I$84,$A78),$I$5:$I$84,0)),"")</f>
        <v/>
      </c>
    </row>
    <row r="79" customFormat="false" ht="15" hidden="false" customHeight="false" outlineLevel="0" collapsed="false">
      <c r="A79" s="0" t="n">
        <v>75</v>
      </c>
      <c r="B79" s="0" t="str">
        <f aca="false">IF(AND($C79=0,$D79=0),"",IF($C79=0,$D79,IF($D79=0,$C79,MIN($C79,$D79))))</f>
        <v/>
      </c>
      <c r="C79" s="0" t="n">
        <f aca="false">IF($B78="",0,IFERROR(_xlfn.MINIFS('SC Change Orders'!$B$2:$B$501,'SC Change Orders'!$B$2:$B$501,"&gt;"&amp;$B78,'SC Change Orders'!$C$2:$C$501,"&gt;="&amp;Controls!$C$5,'SC Change Orders'!$C$2:$C$501,"&lt;="&amp;Controls!$C$6),0))</f>
        <v>0</v>
      </c>
      <c r="D79" s="0" t="n">
        <f aca="false">IF($B78="",0,IFERROR(_xlfn.MINIFS(_MainTable!$F$2:$F$2001,_MainTable!$F$2:$F$2001,"&gt;"&amp;$B78,_MainTable!$G$2:$G$2001,"&gt;="&amp;Controls!$C$5,_MainTable!$G$2:$G$2001,"&lt;="&amp;Controls!$C$6),0))</f>
        <v>0</v>
      </c>
      <c r="F79" s="0" t="str">
        <f aca="false">IF('PO Tracker'!$A79="","",'PO Tracker'!$A79)</f>
        <v/>
      </c>
      <c r="G79" s="0" t="str">
        <f aca="false">IF($F79="","",IF(COUNTIF($F$5:$F79,$F79)=1,MAX($G$5:G78)+1,""))</f>
        <v/>
      </c>
      <c r="H79" s="0" t="str">
        <f aca="false">IFERROR(INDEX($F$5:$F$84,MATCH($A79,$G$5:$G$84,0)),"")</f>
        <v/>
      </c>
      <c r="I79" s="0" t="str">
        <f aca="false">IF($H79="","",COUNTIF($H$5:$H$84,"&lt;"&amp;$H79)+1)</f>
        <v/>
      </c>
      <c r="J79" s="0" t="str">
        <f aca="false">IFERROR(INDEX($H$5:$H$84,MATCH(SMALL($I$5:$I$84,$A79),$I$5:$I$84,0)),"")</f>
        <v/>
      </c>
    </row>
    <row r="80" customFormat="false" ht="15" hidden="false" customHeight="false" outlineLevel="0" collapsed="false">
      <c r="A80" s="0" t="n">
        <v>76</v>
      </c>
      <c r="B80" s="0" t="str">
        <f aca="false">IF(AND($C80=0,$D80=0),"",IF($C80=0,$D80,IF($D80=0,$C80,MIN($C80,$D80))))</f>
        <v/>
      </c>
      <c r="C80" s="0" t="n">
        <f aca="false">IF($B79="",0,IFERROR(_xlfn.MINIFS('SC Change Orders'!$B$2:$B$501,'SC Change Orders'!$B$2:$B$501,"&gt;"&amp;$B79,'SC Change Orders'!$C$2:$C$501,"&gt;="&amp;Controls!$C$5,'SC Change Orders'!$C$2:$C$501,"&lt;="&amp;Controls!$C$6),0))</f>
        <v>0</v>
      </c>
      <c r="D80" s="0" t="n">
        <f aca="false">IF($B79="",0,IFERROR(_xlfn.MINIFS(_MainTable!$F$2:$F$2001,_MainTable!$F$2:$F$2001,"&gt;"&amp;$B79,_MainTable!$G$2:$G$2001,"&gt;="&amp;Controls!$C$5,_MainTable!$G$2:$G$2001,"&lt;="&amp;Controls!$C$6),0))</f>
        <v>0</v>
      </c>
      <c r="F80" s="0" t="str">
        <f aca="false">IF('PO Tracker'!$A80="","",'PO Tracker'!$A80)</f>
        <v/>
      </c>
      <c r="G80" s="0" t="str">
        <f aca="false">IF($F80="","",IF(COUNTIF($F$5:$F80,$F80)=1,MAX($G$5:G79)+1,""))</f>
        <v/>
      </c>
      <c r="H80" s="0" t="str">
        <f aca="false">IFERROR(INDEX($F$5:$F$84,MATCH($A80,$G$5:$G$84,0)),"")</f>
        <v/>
      </c>
      <c r="I80" s="0" t="str">
        <f aca="false">IF($H80="","",COUNTIF($H$5:$H$84,"&lt;"&amp;$H80)+1)</f>
        <v/>
      </c>
      <c r="J80" s="0" t="str">
        <f aca="false">IFERROR(INDEX($H$5:$H$84,MATCH(SMALL($I$5:$I$84,$A80),$I$5:$I$84,0)),"")</f>
        <v/>
      </c>
    </row>
    <row r="81" customFormat="false" ht="15" hidden="false" customHeight="false" outlineLevel="0" collapsed="false">
      <c r="A81" s="0" t="n">
        <v>77</v>
      </c>
      <c r="B81" s="0" t="str">
        <f aca="false">IF(AND($C81=0,$D81=0),"",IF($C81=0,$D81,IF($D81=0,$C81,MIN($C81,$D81))))</f>
        <v/>
      </c>
      <c r="C81" s="0" t="n">
        <f aca="false">IF($B80="",0,IFERROR(_xlfn.MINIFS('SC Change Orders'!$B$2:$B$501,'SC Change Orders'!$B$2:$B$501,"&gt;"&amp;$B80,'SC Change Orders'!$C$2:$C$501,"&gt;="&amp;Controls!$C$5,'SC Change Orders'!$C$2:$C$501,"&lt;="&amp;Controls!$C$6),0))</f>
        <v>0</v>
      </c>
      <c r="D81" s="0" t="n">
        <f aca="false">IF($B80="",0,IFERROR(_xlfn.MINIFS(_MainTable!$F$2:$F$2001,_MainTable!$F$2:$F$2001,"&gt;"&amp;$B80,_MainTable!$G$2:$G$2001,"&gt;="&amp;Controls!$C$5,_MainTable!$G$2:$G$2001,"&lt;="&amp;Controls!$C$6),0))</f>
        <v>0</v>
      </c>
      <c r="F81" s="0" t="str">
        <f aca="false">IF('PO Tracker'!$A81="","",'PO Tracker'!$A81)</f>
        <v/>
      </c>
      <c r="G81" s="0" t="str">
        <f aca="false">IF($F81="","",IF(COUNTIF($F$5:$F81,$F81)=1,MAX($G$5:G80)+1,""))</f>
        <v/>
      </c>
      <c r="H81" s="0" t="str">
        <f aca="false">IFERROR(INDEX($F$5:$F$84,MATCH($A81,$G$5:$G$84,0)),"")</f>
        <v/>
      </c>
      <c r="I81" s="0" t="str">
        <f aca="false">IF($H81="","",COUNTIF($H$5:$H$84,"&lt;"&amp;$H81)+1)</f>
        <v/>
      </c>
      <c r="J81" s="0" t="str">
        <f aca="false">IFERROR(INDEX($H$5:$H$84,MATCH(SMALL($I$5:$I$84,$A81),$I$5:$I$84,0)),"")</f>
        <v/>
      </c>
    </row>
    <row r="82" customFormat="false" ht="15" hidden="false" customHeight="false" outlineLevel="0" collapsed="false">
      <c r="A82" s="0" t="n">
        <v>78</v>
      </c>
      <c r="B82" s="0" t="str">
        <f aca="false">IF(AND($C82=0,$D82=0),"",IF($C82=0,$D82,IF($D82=0,$C82,MIN($C82,$D82))))</f>
        <v/>
      </c>
      <c r="C82" s="0" t="n">
        <f aca="false">IF($B81="",0,IFERROR(_xlfn.MINIFS('SC Change Orders'!$B$2:$B$501,'SC Change Orders'!$B$2:$B$501,"&gt;"&amp;$B81,'SC Change Orders'!$C$2:$C$501,"&gt;="&amp;Controls!$C$5,'SC Change Orders'!$C$2:$C$501,"&lt;="&amp;Controls!$C$6),0))</f>
        <v>0</v>
      </c>
      <c r="D82" s="0" t="n">
        <f aca="false">IF($B81="",0,IFERROR(_xlfn.MINIFS(_MainTable!$F$2:$F$2001,_MainTable!$F$2:$F$2001,"&gt;"&amp;$B81,_MainTable!$G$2:$G$2001,"&gt;="&amp;Controls!$C$5,_MainTable!$G$2:$G$2001,"&lt;="&amp;Controls!$C$6),0))</f>
        <v>0</v>
      </c>
      <c r="F82" s="0" t="str">
        <f aca="false">IF('PO Tracker'!$A82="","",'PO Tracker'!$A82)</f>
        <v/>
      </c>
      <c r="G82" s="0" t="str">
        <f aca="false">IF($F82="","",IF(COUNTIF($F$5:$F82,$F82)=1,MAX($G$5:G81)+1,""))</f>
        <v/>
      </c>
      <c r="H82" s="0" t="str">
        <f aca="false">IFERROR(INDEX($F$5:$F$84,MATCH($A82,$G$5:$G$84,0)),"")</f>
        <v/>
      </c>
      <c r="I82" s="0" t="str">
        <f aca="false">IF($H82="","",COUNTIF($H$5:$H$84,"&lt;"&amp;$H82)+1)</f>
        <v/>
      </c>
      <c r="J82" s="0" t="str">
        <f aca="false">IFERROR(INDEX($H$5:$H$84,MATCH(SMALL($I$5:$I$84,$A82),$I$5:$I$84,0)),"")</f>
        <v/>
      </c>
    </row>
    <row r="83" customFormat="false" ht="15" hidden="false" customHeight="false" outlineLevel="0" collapsed="false">
      <c r="A83" s="0" t="n">
        <v>79</v>
      </c>
      <c r="B83" s="0" t="str">
        <f aca="false">IF(AND($C83=0,$D83=0),"",IF($C83=0,$D83,IF($D83=0,$C83,MIN($C83,$D83))))</f>
        <v/>
      </c>
      <c r="C83" s="0" t="n">
        <f aca="false">IF($B82="",0,IFERROR(_xlfn.MINIFS('SC Change Orders'!$B$2:$B$501,'SC Change Orders'!$B$2:$B$501,"&gt;"&amp;$B82,'SC Change Orders'!$C$2:$C$501,"&gt;="&amp;Controls!$C$5,'SC Change Orders'!$C$2:$C$501,"&lt;="&amp;Controls!$C$6),0))</f>
        <v>0</v>
      </c>
      <c r="D83" s="0" t="n">
        <f aca="false">IF($B82="",0,IFERROR(_xlfn.MINIFS(_MainTable!$F$2:$F$2001,_MainTable!$F$2:$F$2001,"&gt;"&amp;$B82,_MainTable!$G$2:$G$2001,"&gt;="&amp;Controls!$C$5,_MainTable!$G$2:$G$2001,"&lt;="&amp;Controls!$C$6),0))</f>
        <v>0</v>
      </c>
      <c r="F83" s="0" t="str">
        <f aca="false">IF('PO Tracker'!$A83="","",'PO Tracker'!$A83)</f>
        <v/>
      </c>
      <c r="G83" s="0" t="str">
        <f aca="false">IF($F83="","",IF(COUNTIF($F$5:$F83,$F83)=1,MAX($G$5:G82)+1,""))</f>
        <v/>
      </c>
      <c r="H83" s="0" t="str">
        <f aca="false">IFERROR(INDEX($F$5:$F$84,MATCH($A83,$G$5:$G$84,0)),"")</f>
        <v/>
      </c>
      <c r="I83" s="0" t="str">
        <f aca="false">IF($H83="","",COUNTIF($H$5:$H$84,"&lt;"&amp;$H83)+1)</f>
        <v/>
      </c>
      <c r="J83" s="0" t="str">
        <f aca="false">IFERROR(INDEX($H$5:$H$84,MATCH(SMALL($I$5:$I$84,$A83),$I$5:$I$84,0)),"")</f>
        <v/>
      </c>
    </row>
    <row r="84" customFormat="false" ht="15" hidden="false" customHeight="false" outlineLevel="0" collapsed="false">
      <c r="A84" s="0" t="n">
        <v>80</v>
      </c>
      <c r="B84" s="0" t="str">
        <f aca="false">IF(AND($C84=0,$D84=0),"",IF($C84=0,$D84,IF($D84=0,$C84,MIN($C84,$D84))))</f>
        <v/>
      </c>
      <c r="C84" s="0" t="n">
        <f aca="false">IF($B83="",0,IFERROR(_xlfn.MINIFS('SC Change Orders'!$B$2:$B$501,'SC Change Orders'!$B$2:$B$501,"&gt;"&amp;$B83,'SC Change Orders'!$C$2:$C$501,"&gt;="&amp;Controls!$C$5,'SC Change Orders'!$C$2:$C$501,"&lt;="&amp;Controls!$C$6),0))</f>
        <v>0</v>
      </c>
      <c r="D84" s="0" t="n">
        <f aca="false">IF($B83="",0,IFERROR(_xlfn.MINIFS(_MainTable!$F$2:$F$2001,_MainTable!$F$2:$F$2001,"&gt;"&amp;$B83,_MainTable!$G$2:$G$2001,"&gt;="&amp;Controls!$C$5,_MainTable!$G$2:$G$2001,"&lt;="&amp;Controls!$C$6),0))</f>
        <v>0</v>
      </c>
      <c r="F84" s="0" t="str">
        <f aca="false">IF('PO Tracker'!$A84="","",'PO Tracker'!$A84)</f>
        <v/>
      </c>
      <c r="G84" s="0" t="str">
        <f aca="false">IF($F84="","",IF(COUNTIF($F$5:$F84,$F84)=1,MAX($G$5:G83)+1,""))</f>
        <v/>
      </c>
      <c r="H84" s="0" t="str">
        <f aca="false">IFERROR(INDEX($F$5:$F$84,MATCH($A84,$G$5:$G$84,0)),"")</f>
        <v/>
      </c>
      <c r="I84" s="0" t="str">
        <f aca="false">IF($H84="","",COUNTIF($H$5:$H$84,"&lt;"&amp;$H84)+1)</f>
        <v/>
      </c>
      <c r="J84" s="0" t="str">
        <f aca="false">IFERROR(INDEX($H$5:$H$84,MATCH(SMALL($I$5:$I$84,$A84),$I$5:$I$84,0)),"")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2026-08-25T22:58:06Z</dcterms:created>
  <dc:creator>openpyxl</dc:creator>
  <dc:description/>
  <dc:language>en-US</dc:language>
  <cp:lastModifiedBy/>
  <dcterms:modified xsi:type="dcterms:W3CDTF">2026-08-25T22:58:06Z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